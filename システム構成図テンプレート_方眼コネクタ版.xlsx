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15"/>
  <workbookPr defaultThemeVersion="124226"/>
  <xr:revisionPtr revIDLastSave="0" documentId="8_{122EC3FA-6D5D-4BEA-9FFB-49E70A5D60DD}" xr6:coauthVersionLast="47" xr6:coauthVersionMax="47" xr10:uidLastSave="{00000000-0000-0000-0000-000000000000}"/>
  <bookViews>
    <workbookView xWindow="0" yWindow="0" windowWidth="28800" windowHeight="15600" activeTab="0" xr2:uid="{00000000-000D-0000-FFFF-FFFF00000000}"/>
  </bookViews>
  <sheets>
    <sheet name="表紙" sheetId="1" r:id="rId1"/>
    <sheet name="使い方" sheetId="2" r:id="rId2"/>
    <sheet name="構成図" sheetId="3" r:id="rId3"/>
    <sheet name="構成図_記入例" sheetId="4" r:id="rId4"/>
    <sheet name="部品" sheetId="5" r:id="rId5"/>
    <sheet name="連携一覧" sheetId="6" r:id="rId6"/>
    <sheet name="構成要素一覧" sheetId="7" r:id="rId7"/>
  </sheets>
  <definedNames>
    <definedName name="_xlnm.Print_Area" localSheetId="2">構成図!$A$1:$BX$51</definedName>
    <definedName name="_xlnm.Print_Area" localSheetId="3">構成図_記入例!$A$1:$BX$51</definedName>
    <definedName name="_xlnm.Print_Area" localSheetId="6">構成要素一覧!$A$1:$I$65</definedName>
    <definedName name="_xlnm.Print_Area" localSheetId="1">使い方!$A$1:$BX$130</definedName>
    <definedName name="_xlnm.Print_Area" localSheetId="0">表紙!$A$1:$BX$51</definedName>
    <definedName name="_xlnm.Print_Area" localSheetId="4">部品!$A$1:$BX$207</definedName>
    <definedName name="_xlnm.Print_Area" localSheetId="5">連携一覧!$A$1:$L$65</definedName>
    <definedName name="_xlnm.Print_Titles" localSheetId="6">構成要素一覧!$5:$5</definedName>
    <definedName name="_xlnm.Print_Titles" localSheetId="5">連携一覧!$5:$5</definedName>
    <definedName name="システム名">表紙!$J$17</definedName>
    <definedName name="ルートA名">表紙!$G$31</definedName>
    <definedName name="ルートB名">表紙!$G$32</definedName>
    <definedName name="ルートC名">表紙!$G$33</definedName>
    <definedName name="会社名">表紙!$J$24</definedName>
    <definedName name="機密区分">表紙!$J$25</definedName>
    <definedName name="更新日">表紙!$J$21</definedName>
    <definedName name="作成者">表紙!$J$22</definedName>
    <definedName name="作成日">表紙!$J$20</definedName>
    <definedName name="承認者">表紙!$J$23</definedName>
    <definedName name="版数">表紙!$J$19</definedName>
    <definedName name="文書番号">表紙!$J$18</definedName>
    <definedName name="文書名">表紙!$J$16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51" i="4" l="1"/>
  <c r="Z51" i="4"/>
  <c r="B51" i="4"/>
  <c r="C1" i="4"/>
  <c r="AZ51" i="3"/>
  <c r="Z51" i="3"/>
  <c r="B51" i="3"/>
  <c r="BR2" i="3"/>
  <c r="BL2" i="3"/>
  <c r="BF2" i="3"/>
  <c r="BB2" i="3"/>
  <c r="AO2" i="3"/>
  <c r="C1" i="3"/>
  <c r="AZ51" i="1"/>
  <c r="Z51" i="1"/>
  <c r="B51" i="1"/>
  <c r="C5" i="1"/>
</calcChain>
</file>

<file path=xl/sharedStrings.xml><?xml version="1.0" encoding="utf-8"?>
<sst xmlns="http://schemas.openxmlformats.org/spreadsheetml/2006/main" count="597" uniqueCount="453">
  <si>
    <t>SYSTEM ARCHITECTURE DIAGRAM ／ GRID・12-POINT CONNECTORS・3 ROUTES</t>
  </si>
  <si>
    <t>方眼（マス目）に吸着する図形と、12か所の接続点をもつ図形部品で、接続経路（ルート）ごとに3色で色分けして描くシステム構成図</t>
  </si>
  <si>
    <t>文書情報</t>
  </si>
  <si>
    <t>白いセルに入力すると、各図の表題欄・フッター・凡例に自動反映されます。</t>
  </si>
  <si>
    <t>文書名</t>
  </si>
  <si>
    <t>システム構成図</t>
  </si>
  <si>
    <t>システム名</t>
  </si>
  <si>
    <t>○○システム</t>
  </si>
  <si>
    <t>文書番号</t>
  </si>
  <si>
    <t>ARC-0002</t>
  </si>
  <si>
    <t>版数</t>
  </si>
  <si>
    <t>1.0</t>
  </si>
  <si>
    <t>作成日</t>
  </si>
  <si>
    <t>最終更新日</t>
  </si>
  <si>
    <t>作成者</t>
  </si>
  <si>
    <t>（氏名）</t>
  </si>
  <si>
    <t>承認者</t>
  </si>
  <si>
    <t>会社名・部署</t>
  </si>
  <si>
    <t>（会社名・部署名）</t>
  </si>
  <si>
    <t>機密区分</t>
  </si>
  <si>
    <t>社外秘</t>
  </si>
  <si>
    <t>目次（シート一覧）</t>
  </si>
  <si>
    <t>シート名をクリックすると移動します。</t>
  </si>
  <si>
    <t>No.</t>
  </si>
  <si>
    <t>シート</t>
  </si>
  <si>
    <t>内容</t>
  </si>
  <si>
    <t>使い方</t>
  </si>
  <si>
    <t>特長・作図手順・方眼と吸着・12点接続・3色ルートのルール・コメントの使い方</t>
  </si>
  <si>
    <t>構成図</t>
  </si>
  <si>
    <t>【テンプレート】A3横1枚。ルート別ゾーン・AWS枠・凡例を配置済み（右側に部品パレット）</t>
  </si>
  <si>
    <t>構成図_記入例</t>
  </si>
  <si>
    <t>記入例：Salesforce・社内（イントラ）・外部の3ルートからAWSへの連携</t>
  </si>
  <si>
    <t>部品</t>
  </si>
  <si>
    <t>12点接続のノード・線・コメント・番号・ゾーン・凡例（共通＋3色）</t>
  </si>
  <si>
    <t>連携一覧</t>
  </si>
  <si>
    <t>図の連携番号（A1・B1・C1…）ごとの方式・頻度・経路・プロトコル</t>
  </si>
  <si>
    <t>構成要素一覧</t>
  </si>
  <si>
    <t>図のノード（システム・サービス・機器）ごとの種別・役割・配置先</t>
  </si>
  <si>
    <t>ルート定義（色分けのルール）</t>
  </si>
  <si>
    <t>ルート名は各図の凡例に自動で表示されます。データの流れ（接続経路）ごとに A・B・C の色を割り当てます。</t>
  </si>
  <si>
    <t>記号</t>
  </si>
  <si>
    <t>色</t>
  </si>
  <si>
    <t>ルート名（凡例に表示）</t>
  </si>
  <si>
    <t>説明（どこから・どのデータが流れるか）</t>
  </si>
  <si>
    <t>A</t>
  </si>
  <si>
    <t>藍</t>
  </si>
  <si>
    <t>Salesforce連携</t>
  </si>
  <si>
    <t>Salesforce（SaaS）とAWSのデータ連携（API・イベント・日次）</t>
  </si>
  <si>
    <t>B</t>
  </si>
  <si>
    <t>青緑</t>
  </si>
  <si>
    <t>社内（イントラ）連携</t>
  </si>
  <si>
    <t>社内ネットワーク（閉域網・Direct Connect）経由の利用・連携</t>
  </si>
  <si>
    <t>C</t>
  </si>
  <si>
    <t>橙</t>
  </si>
  <si>
    <t>外部連携</t>
  </si>
  <si>
    <t>インターネット経由の外部ユーザー・取引先からの接続</t>
  </si>
  <si>
    <t>共通</t>
  </si>
  <si>
    <t>モノトーン</t>
  </si>
  <si>
    <t>共通（複数ルート・基盤）</t>
  </si>
  <si>
    <t>複数ルートで共有する要素（業務アプリ・DB・監視 など）</t>
  </si>
  <si>
    <t>改訂履歴</t>
  </si>
  <si>
    <t>改訂日</t>
  </si>
  <si>
    <t>改訂箇所・内容</t>
  </si>
  <si>
    <t>改訂者</t>
  </si>
  <si>
    <t>新規作成</t>
  </si>
  <si>
    <t>作成の流れ</t>
  </si>
  <si>
    <t>□ 白いセル：入力欄　　■ 灰色のセル：見出し（入力不要）　　図形は「部品」シート、または「構成図」シート右側の部品パレットからコピーして使います。</t>
  </si>
  <si>
    <t>アイコン出典：AWS Architecture Icons（AWS Cloud ロゴ、AWS Lambda）© Amazon Web Services, Inc. or its affiliates（詳細は「使い方」の 9 章）</t>
  </si>
  <si>
    <t>対象範囲：（例：○○システムの全体構成と、Salesforce・社内・外部からの接続経路）</t>
  </si>
  <si>
    <t>図番</t>
  </si>
  <si>
    <t>更新日</t>
  </si>
  <si>
    <t>SC-01</t>
  </si>
  <si>
    <t>部品パレット（印刷範囲外）　Ctrl＋ドラッグで左の図面に複製</t>
  </si>
  <si>
    <t>貼り付け後は Alt＋ドラッグ（または［枠線に合わせる］）でマス目に吸着。線は両端を図形の接続点（灰色の点）に重ねて接続。全部品は「部品」シート。</t>
  </si>
  <si>
    <t>共通（モノトーン）</t>
  </si>
  <si>
    <t>A：藍</t>
  </si>
  <si>
    <t>B：青緑</t>
  </si>
  <si>
    <t>C：橙</t>
  </si>
  <si>
    <t>ノード（標準・強調・円柱・円・カプセル）</t>
  </si>
  <si>
    <t>線（直線：オンライン・バッチ・監視／カギ線）</t>
  </si>
  <si>
    <t>コメント（ポイント・付記・吹き出し）</t>
  </si>
  <si>
    <t>番号・線ラベル</t>
  </si>
  <si>
    <t>対象範囲：（例）顧客ポータル連携基盤（AWS）と、Salesforce・社内（イントラ）・外部からの3つの接続経路</t>
  </si>
  <si>
    <t>（例）顧客ポータル連携基盤</t>
  </si>
  <si>
    <t>情報システム部 山田</t>
  </si>
  <si>
    <t>部品　│　方眼に吸着・12点接続・3色ルートの図形部品集</t>
  </si>
  <si>
    <t>使い方：部品をクリック → Ctrl＋C →「構成図」で貼り付けたい位置のセルを選択 → Ctrl＋V（部品の左上がそのセルに揃います）。文字はダブルクリックで編集。「構成図」右側の部品パレットからは Ctrl＋ドラッグで複製できます。</t>
  </si>
  <si>
    <t>接続点ガイド　─　どの図形も12か所（時計の文字盤と同じ位置）</t>
  </si>
  <si>
    <t>● 各辺を4等分した3点ずつ、計12か所。12時＝上中央、3時＝右中央、6時＝下中央、9時＝左中央。</t>
  </si>
  <si>
    <t>● 図形の幅・高さを4マス単位（4・8・12・16マス）にすると、12か所すべてが方眼の線上に乗り、線がまっすぐつながります。</t>
  </si>
  <si>
    <t>● 円・円柱・カプセル・ファイルも同じ12か所。線の端を図形に近づけると接続点（灰色の点）が表示されます。</t>
  </si>
  <si>
    <t>● 1つの辺に最大3本の線を、重ならずにつなげます（例：左辺の10時・9時・8時に、ルートA・B・Cの線を入れる）。</t>
  </si>
  <si>
    <t>● 色：共通＝モノトーン、A＝藍、B＝青緑、C＝橙。ルート名は「表紙」のルート定義で設定（凡例に自動表示）。</t>
  </si>
  <si>
    <t>A　ノード（12点接続の図形）</t>
  </si>
  <si>
    <t>▲ 先頭へ</t>
  </si>
  <si>
    <t>四角・円・円柱など、どの図形も12か所の接続点つき。大きさは4マス単位（標準 8×4マス）。接続元＝ルートの色、共通の要素＝モノトーンにします。</t>
  </si>
  <si>
    <t>A：ルートA（藍）</t>
  </si>
  <si>
    <t>B：ルートB（青緑）</t>
  </si>
  <si>
    <t>C：ルートC（橙）</t>
  </si>
  <si>
    <t>角丸ノード（標準）</t>
  </si>
  <si>
    <t>システム・サービス・アプリ</t>
  </si>
  <si>
    <t>8×4マス</t>
  </si>
  <si>
    <t>角丸ノード（強調）</t>
  </si>
  <si>
    <t>接続元・主要システム</t>
  </si>
  <si>
    <t>1ルート1〜2個まで</t>
  </si>
  <si>
    <t>四角ノード</t>
  </si>
  <si>
    <t>サーバ・ネットワーク・機器</t>
  </si>
  <si>
    <t>線のみノード</t>
  </si>
  <si>
    <t>塗りを使わない場合</t>
  </si>
  <si>
    <t>（白地・色枠）</t>
  </si>
  <si>
    <t>小ノード／円／円柱</t>
  </si>
  <si>
    <t>ゲートウェイ・利用者・DB</t>
  </si>
  <si>
    <t>各4×4マス</t>
  </si>
  <si>
    <t>カプセル／ファイル</t>
  </si>
  <si>
    <t>API・キュー・イベント（8×4）</t>
  </si>
  <si>
    <t>ファイル・CSV・帳票（4×4）</t>
  </si>
  <si>
    <t>横長ノード</t>
  </si>
  <si>
    <t>名称が長い要素・基盤</t>
  </si>
  <si>
    <t>12×4マス</t>
  </si>
  <si>
    <t>システム枠</t>
  </si>
  <si>
    <t>複数ノードをまとめる</t>
  </si>
  <si>
    <t>12×8マス（枠自体も接続可）</t>
  </si>
  <si>
    <t>状態のバリエーション</t>
  </si>
  <si>
    <t>既存／外部／新規／将来</t>
  </si>
  <si>
    <t>（モノトーン＋赤）</t>
  </si>
  <si>
    <t>アイコン接続フレーム</t>
  </si>
  <si>
    <t>アイコンを12点接続にする</t>
  </si>
  <si>
    <t>透明の枠（4×4）</t>
  </si>
  <si>
    <t>B　線（コネクタ）</t>
  </si>
  <si>
    <t>両端を図形の接続点に重ねると接続され、図形を動かしても追従します。揃った2点は直線コネクタ、曲げてつなぐ所はカギ線コネクタを使います。色＝ルート、線の種類＝連携方式。</t>
  </si>
  <si>
    <t>各色の左＝直線コネクタ（揃った2点をまっすぐ結ぶ）　右＝カギ線コネクタ（直角に曲げて結ぶ）</t>
  </si>
  <si>
    <t>オンライン連携</t>
  </si>
  <si>
    <t>実線＋矢印：API・画面・イベント</t>
  </si>
  <si>
    <t>双方向</t>
  </si>
  <si>
    <t>両矢印：双方向の連携</t>
  </si>
  <si>
    <t>バッチ・ファイル</t>
  </si>
  <si>
    <t>破線＋矢印：日次・定期・非同期</t>
  </si>
  <si>
    <t>監視・運用</t>
  </si>
  <si>
    <t>点線＋矢印：監視・ログ・運用</t>
  </si>
  <si>
    <t>ネットワーク接続</t>
  </si>
  <si>
    <t>細い実線：LAN・インターネット</t>
  </si>
  <si>
    <t>専用線・閉域網</t>
  </si>
  <si>
    <t>太い実線：Direct Connect等</t>
  </si>
  <si>
    <t>VPN・論理接続</t>
  </si>
  <si>
    <t>破線（矢印なし）：VPN・トンネル</t>
  </si>
  <si>
    <t>引出線</t>
  </si>
  <si>
    <t>点線：コメントと対象を結ぶ</t>
  </si>
  <si>
    <t>既存・対象外</t>
  </si>
  <si>
    <t>グレーの線</t>
  </si>
  <si>
    <t>接続済みの見本</t>
  </si>
  <si>
    <t>ノード2つ＋カギ線（3点セット）</t>
  </si>
  <si>
    <t>まとめてコピーして使えます</t>
  </si>
  <si>
    <t>黄色のハンドルで曲がる位置を調整</t>
  </si>
  <si>
    <t>C　コメント（ポイント・付記）</t>
  </si>
  <si>
    <t>ポイント・付記事項を書き込む図形です。説明するルートの色に合わせます（共通の注記はモノトーン）。本文はダブルクリックで編集。</t>
  </si>
  <si>
    <t>ポイント（見出し付き）</t>
  </si>
  <si>
    <t>重要な設計判断・注意点</t>
  </si>
  <si>
    <t>14×4マス（グループ）</t>
  </si>
  <si>
    <t>付記（左ライン）</t>
  </si>
  <si>
    <t>前提・制約・補足</t>
  </si>
  <si>
    <t>14×3マス（グループ）</t>
  </si>
  <si>
    <t>吹き出し</t>
  </si>
  <si>
    <t>特定の図形・線への指摘</t>
  </si>
  <si>
    <t>黄色のハンドルで向きを変更</t>
  </si>
  <si>
    <t>付箋／番号付き注記</t>
  </si>
  <si>
    <t>確認事項・TODO（8×4）</t>
  </si>
  <si>
    <t>図の外にまとめる注記</t>
  </si>
  <si>
    <t>D　番号・ラベル</t>
  </si>
  <si>
    <t>連携番号は「ルート記号＋連番」（A1・B1・C1…）。白黒印刷でもルートが分かり、「連携一覧」の No. と対応します。</t>
  </si>
  <si>
    <t>連携番号（ルート記号付き）</t>
  </si>
  <si>
    <t>線の上・横に置く（2×1マス）</t>
  </si>
  <si>
    <t>丸番号</t>
  </si>
  <si>
    <t>手順・注記の番号（1マス）</t>
  </si>
  <si>
    <t>線ラベル（白地）</t>
  </si>
  <si>
    <t>プロトコル・方式・頻度</t>
  </si>
  <si>
    <t>状態タグ</t>
  </si>
  <si>
    <t>新規／変更／既存／将来</t>
  </si>
  <si>
    <t>E　枠・ゾーン</t>
  </si>
  <si>
    <t>ゾーンは接続元のまとまり（ルートの淡色）、AWS・VPC等の枠はモノトーン。枠は最背面に置きます（右クリック →［最背面へ移動］）。</t>
  </si>
  <si>
    <t>ルートゾーン</t>
  </si>
  <si>
    <t>接続元のまとまり（淡色）</t>
  </si>
  <si>
    <t>大きさは自由</t>
  </si>
  <si>
    <t>AWS・ネットワークの枠</t>
  </si>
  <si>
    <t>左から AWS Cloud／VPC／</t>
  </si>
  <si>
    <t>サブネット／論理グループ</t>
  </si>
  <si>
    <t>拠点・強調の枠</t>
  </si>
  <si>
    <t>拠点（淡グレー）</t>
  </si>
  <si>
    <t>新規・変更箇所（赤破線）</t>
  </si>
  <si>
    <t>F　凡例</t>
  </si>
  <si>
    <t>「構成図」に配置済みの凡例と同じものです。ルート名は「表紙」のルート定義と連動して表示されます（凡例の文字は表紙で編集）。</t>
  </si>
  <si>
    <t>▶ A　ノード（12点接続）</t>
  </si>
  <si>
    <t>▶ B　線（コネクタ）</t>
  </si>
  <si>
    <t>▶ C　コメント（ポイント・付記）</t>
  </si>
  <si>
    <t>▶ D　番号・ラベル</t>
  </si>
  <si>
    <t>▶ E　枠・ゾーン</t>
  </si>
  <si>
    <t>▶ F　凡例</t>
  </si>
  <si>
    <t>連携一覧（図の連携番号 A1・B1・C1… と対応）</t>
  </si>
  <si>
    <t>図の連携番号ごとに1行記入します。図には番号だけを書き、方式・タイミング・経路・プロトコルはこの表で管理します。共通（複数ルート）の連携は数字のみの番号にします。</t>
  </si>
  <si>
    <t>記入方法：白いセルに入力。ルートはプルダウンから選択（A・B・C・共通）すると行の先頭が色分けされます。（記入例）の行は確認後に削除・上書きしてください。</t>
  </si>
  <si>
    <t>ルート</t>
  </si>
  <si>
    <t>連携元</t>
  </si>
  <si>
    <t>連携先</t>
  </si>
  <si>
    <t>連携方式</t>
  </si>
  <si>
    <t>データ・内容</t>
  </si>
  <si>
    <t>タイミング・頻度</t>
  </si>
  <si>
    <t>経路（回線）</t>
  </si>
  <si>
    <t>プロトコル・認証</t>
  </si>
  <si>
    <t>方向</t>
  </si>
  <si>
    <t>備考</t>
  </si>
  <si>
    <t>A1</t>
  </si>
  <si>
    <t>Salesforce</t>
  </si>
  <si>
    <t>Amazon AppFlow → S3</t>
  </si>
  <si>
    <t>バッチ（API）</t>
  </si>
  <si>
    <t>顧客・商談（全件）</t>
  </si>
  <si>
    <t>日次 1:00</t>
  </si>
  <si>
    <t>インターネット（HTTPS）</t>
  </si>
  <si>
    <t>HTTPS（OAuth 2.0）</t>
  </si>
  <si>
    <t>片方向</t>
  </si>
  <si>
    <t>（記入例）差分補正を兼ねる</t>
  </si>
  <si>
    <t>A2</t>
  </si>
  <si>
    <t>EventBridge → 取込処理</t>
  </si>
  <si>
    <t>イベント</t>
  </si>
  <si>
    <t>顧客・商談の変更</t>
  </si>
  <si>
    <t>即時</t>
  </si>
  <si>
    <t>パートナーイベント</t>
  </si>
  <si>
    <t>（記入例）</t>
  </si>
  <si>
    <t>A3</t>
  </si>
  <si>
    <t>取込処理（Lambda）</t>
  </si>
  <si>
    <t>業務DB（Aurora）</t>
  </si>
  <si>
    <t>DB連携</t>
  </si>
  <si>
    <t>顧客・商談</t>
  </si>
  <si>
    <t>即時／日次</t>
  </si>
  <si>
    <t>AWS内（VPC）</t>
  </si>
  <si>
    <t>PostgreSQL（TLS）</t>
  </si>
  <si>
    <t>B1</t>
  </si>
  <si>
    <t>社内ユーザー</t>
  </si>
  <si>
    <t>業務アプリ（ALB経由）</t>
  </si>
  <si>
    <t>画面（オンライン）</t>
  </si>
  <si>
    <t>業務画面</t>
  </si>
  <si>
    <t>随時</t>
  </si>
  <si>
    <t>閉域網＋Direct Connect</t>
  </si>
  <si>
    <t>HTTPS（SSO）</t>
  </si>
  <si>
    <t>B2</t>
  </si>
  <si>
    <t>基幹システム</t>
  </si>
  <si>
    <t>API（オンライン）</t>
  </si>
  <si>
    <t>受注・出荷</t>
  </si>
  <si>
    <t>HTTPS（REST）</t>
  </si>
  <si>
    <t>C1</t>
  </si>
  <si>
    <t>外部ユーザー</t>
  </si>
  <si>
    <t>業務アプリ（CloudFront経由）</t>
  </si>
  <si>
    <t>画面・API</t>
  </si>
  <si>
    <t>申込・照会</t>
  </si>
  <si>
    <t>インターネット→CloudFront＋WAF</t>
  </si>
  <si>
    <t>HTTPS（Cognito）</t>
  </si>
  <si>
    <t>1</t>
  </si>
  <si>
    <t>業務アプリ</t>
  </si>
  <si>
    <t>業務データ</t>
  </si>
  <si>
    <t>2</t>
  </si>
  <si>
    <t>全リソース</t>
  </si>
  <si>
    <t>監視（CloudWatch）</t>
  </si>
  <si>
    <t>監視</t>
  </si>
  <si>
    <t>メトリクス・ログ</t>
  </si>
  <si>
    <t>常時</t>
  </si>
  <si>
    <t>AWS内</t>
  </si>
  <si>
    <t>―</t>
  </si>
  <si>
    <t>（記入例）線は代表のみ記載</t>
  </si>
  <si>
    <t>構成要素一覧（図のノードと対応）</t>
  </si>
  <si>
    <t>図に描いたノード（システム・サービス・機器）を1行ずつ記入します。ルートは「その要素を使うルート」。複数ルートで共有する要素は「共通」にします。</t>
  </si>
  <si>
    <t>ID</t>
  </si>
  <si>
    <t>名称（図の表記）</t>
  </si>
  <si>
    <t>種別（サービス・製品）</t>
  </si>
  <si>
    <t>役割・用途</t>
  </si>
  <si>
    <t>配置先（ゾーン）</t>
  </si>
  <si>
    <t>図形</t>
  </si>
  <si>
    <t>N01</t>
  </si>
  <si>
    <t>SaaS（Salesforce）</t>
  </si>
  <si>
    <t>顧客・商談の管理</t>
  </si>
  <si>
    <t>外部SaaS</t>
  </si>
  <si>
    <t>角丸・強調</t>
  </si>
  <si>
    <t>N02</t>
  </si>
  <si>
    <t>Amazon AppFlow</t>
  </si>
  <si>
    <t>AWSサービス</t>
  </si>
  <si>
    <t>Salesforceデータの日次取込</t>
  </si>
  <si>
    <t>AWS（東京リージョン）</t>
  </si>
  <si>
    <t>角丸</t>
  </si>
  <si>
    <t>N03</t>
  </si>
  <si>
    <t>EventBridge</t>
  </si>
  <si>
    <t>Amazon EventBridge</t>
  </si>
  <si>
    <t>変更イベントの受信</t>
  </si>
  <si>
    <t>カプセル</t>
  </si>
  <si>
    <t>（記入例）パートナーイベントバス</t>
  </si>
  <si>
    <t>N04</t>
  </si>
  <si>
    <t>S3</t>
  </si>
  <si>
    <t>Amazon S3</t>
  </si>
  <si>
    <t>取込データの保管</t>
  </si>
  <si>
    <t>円柱</t>
  </si>
  <si>
    <t>N05</t>
  </si>
  <si>
    <t>取込処理</t>
  </si>
  <si>
    <t>AWS Lambda</t>
  </si>
  <si>
    <t>取込データの変換・反映</t>
  </si>
  <si>
    <t>AWS（VPC）</t>
  </si>
  <si>
    <t>N06</t>
  </si>
  <si>
    <t>社内PC</t>
  </si>
  <si>
    <t>業務画面の利用</t>
  </si>
  <si>
    <t>本社・支店</t>
  </si>
  <si>
    <t>（記入例）約500名</t>
  </si>
  <si>
    <t>N07</t>
  </si>
  <si>
    <t>オンプレミス（ERP）</t>
  </si>
  <si>
    <t>受注・出荷データ</t>
  </si>
  <si>
    <t>本社データセンター</t>
  </si>
  <si>
    <t>N08</t>
  </si>
  <si>
    <t>Direct Connect</t>
  </si>
  <si>
    <t>AWS Direct Connect</t>
  </si>
  <si>
    <t>社内とAWSの閉域接続</t>
  </si>
  <si>
    <t>接続拠点</t>
  </si>
  <si>
    <t>四角</t>
  </si>
  <si>
    <t>（記入例）1Gbps×2</t>
  </si>
  <si>
    <t>N09</t>
  </si>
  <si>
    <t>ALB（社内向け）</t>
  </si>
  <si>
    <t>Elastic Load Balancing</t>
  </si>
  <si>
    <t>社内からのアクセス受付</t>
  </si>
  <si>
    <t>N10</t>
  </si>
  <si>
    <t>インターネット利用者</t>
  </si>
  <si>
    <t>インターネット</t>
  </si>
  <si>
    <t>N11</t>
  </si>
  <si>
    <t>CloudFront＋WAF</t>
  </si>
  <si>
    <t>Amazon CloudFront／AWS WAF</t>
  </si>
  <si>
    <t>公開入口・攻撃防御</t>
  </si>
  <si>
    <t>AWS（エッジ）</t>
  </si>
  <si>
    <t>N12</t>
  </si>
  <si>
    <t>Amazon ECS（Fargate）</t>
  </si>
  <si>
    <t>業務画面・API</t>
  </si>
  <si>
    <t>N13</t>
  </si>
  <si>
    <t>業務DB</t>
  </si>
  <si>
    <t>Amazon Aurora</t>
  </si>
  <si>
    <t>（記入例）Multi-AZ</t>
  </si>
  <si>
    <t>N14</t>
  </si>
  <si>
    <t>Amazon CloudWatch</t>
  </si>
  <si>
    <t>メトリクス・ログ監視</t>
  </si>
  <si>
    <t>使い方　│　方眼・12点接続・3色ルートで構成図を描く手順とルール</t>
  </si>
  <si>
    <t>1．このテンプレートの特長</t>
  </si>
  <si>
    <t>2．シート構成</t>
  </si>
  <si>
    <t>役割</t>
  </si>
  <si>
    <t>使い方のポイント</t>
  </si>
  <si>
    <t>表紙</t>
  </si>
  <si>
    <t>文書情報・ルート定義</t>
  </si>
  <si>
    <t>システム名・版数・作成者と、ルートA・B・Cの名称を入力（図の表題欄・凡例に自動反映）</t>
  </si>
  <si>
    <t>構成図のテンプレート</t>
  </si>
  <si>
    <t>A3横1枚。ゾーン（ルートA〜C・AWS Cloud）・凡例・注記を配置済み。右側（印刷範囲外）に部品パレット</t>
  </si>
  <si>
    <t>記入例</t>
  </si>
  <si>
    <t>Salesforce・社内・外部の3ルートの見本。コピーして書き換えても可</t>
  </si>
  <si>
    <t>部品集</t>
  </si>
  <si>
    <t>12点接続のノード・線・コメント・番号・ゾーン・凡例。共通（モノトーン）＋3色</t>
  </si>
  <si>
    <t>連携一覧／構成要素一覧</t>
  </si>
  <si>
    <t>図の補足（文字情報）</t>
  </si>
  <si>
    <t>連携番号（A1…）ごとの方式・頻度・経路、ノードごとの種別・役割を管理</t>
  </si>
  <si>
    <t>3．作図の手順</t>
  </si>
  <si>
    <t>① 「表紙」に文書情報と「ルート定義」（A・B・C の名称と説明）を入力します。ルート名は各図の凡例に自動で表示されます。</t>
  </si>
  <si>
    <t>② 最初に一度だけ［ページレイアウト］→［配置］→［配置］→［枠線に合わせる］をオンにします（図形と線がマス目に吸着します）。</t>
  </si>
  <si>
    <t>③ 「構成図」シートのゾーン（ルートA〜C・AWS Cloud）の大きさと名前を整えます。使わないゾーンは削除します。</t>
  </si>
  <si>
    <t>④ ノードを置きます。右側の部品パレットから Ctrl＋ドラッグで複製するか、「部品」シートからコピー＆ペースト（貼り付け先のセルを選んで Ctrl＋V）。</t>
  </si>
  <si>
    <t>⑤ 線を引きます。線の端をドラッグして図形に近づけると接続点（灰色の点）が表示されるので、点の上で離します。両端をつなぐと図形を動かしても追従します。</t>
  </si>
  <si>
    <t>⑥ 連携ごとに番号（A1・B1・C1…）を線の起点付近に置き、「連携一覧」に方式・頻度・経路・プロトコルを記入します。</t>
  </si>
  <si>
    <t>⑦ ポイント・付記をコメント図形で書き込み、凡例を整えます。最後に［ファイル］→［印刷］で A3横1ページに収まっていることを確認します。</t>
  </si>
  <si>
    <t>4．方眼（マス目）にきれいに揃える</t>
  </si>
  <si>
    <t>やりたいこと</t>
  </si>
  <si>
    <t>操作</t>
  </si>
  <si>
    <t>マス目に吸着させる（常時）</t>
  </si>
  <si>
    <t>［ページレイアウト］→［配置］→［配置］→［枠線に合わせる］をオン（［図形の書式］タブの［配置］からも同じ操作ができます）</t>
  </si>
  <si>
    <t>その時だけ吸着させる</t>
  </si>
  <si>
    <t>Alt キーを押しながらドラッグ（移動・大きさの変更のどちらも、セルの枠線に吸着します）</t>
  </si>
  <si>
    <t>貼り付け位置を揃える</t>
  </si>
  <si>
    <t>貼り付けたい位置のセルを選択してから Ctrl＋V（部品の左上がそのセルの左上に揃います）</t>
  </si>
  <si>
    <t>大きさを決める</t>
  </si>
  <si>
    <t>幅・高さは4マス単位（4・8・12・16マス）。この大きさなら12か所の接続点がすべて方眼の線上に乗ります</t>
  </si>
  <si>
    <t>水平・垂直に動かす／複製する</t>
  </si>
  <si>
    <t>Shift＋ドラッグで水平・垂直に移動。Ctrl＋ドラッグで複製（Ctrl＋Shift で水平・垂直に複製）、Ctrl＋D でも複製</t>
  </si>
  <si>
    <t>並びを揃える</t>
  </si>
  <si>
    <t>複数選択 →［図形の書式］→［配置］→［左揃え］［上下中央揃え］［左右に整列］など</t>
  </si>
  <si>
    <t>方眼の表示／非表示</t>
  </si>
  <si>
    <t>［表示］→［目盛線］のチェック。方眼（目盛線）は印刷されません</t>
  </si>
  <si>
    <t>5．12か所の接続点（時計の文字盤と同じ位置）</t>
  </si>
  <si>
    <t>● つなぎ方：線の端点をドラッグして図形に重ねると接続点（灰色の点）が表示されます。点の上で離すと接続され、図形を動かしても線が追従します。</t>
  </si>
  <si>
    <t>● 直線とカギ線：高さ（または左右位置）の揃った2点は［直線コネクタ］、曲げてつなぐ所は［カギ線コネクタ］。揃った2点をカギ線で結ぶと、Excelの仕様で約1ptの段差が出ます。</t>
  </si>
  <si>
    <t>● 曲がる位置：カギ線を選択すると表示される黄色のハンドルをドラッグして調整します。</t>
  </si>
  <si>
    <t>● 線の種類の切り替え：線を右クリック →［コネクタの種類］→［直線コネクタ］／［カギ線コネクタ］。</t>
  </si>
  <si>
    <t>● 新しく線を引く：［挿入］→［図形］→「カギ線矢印コネクタ」。よく使う色の線を右クリック →［既定の線に設定］にすると、以降の線が同じ色・太さになります。</t>
  </si>
  <si>
    <t>● 連続して線を引く：［挿入］→［図形］で線を右クリック →［描画モードのロック］（Esc で解除）。</t>
  </si>
  <si>
    <t>6．3色ルートの使い分け（ルール）</t>
  </si>
  <si>
    <t>ルート（例）</t>
  </si>
  <si>
    <t>図形（ノード）</t>
  </si>
  <si>
    <t>線</t>
  </si>
  <si>
    <t>コメント</t>
  </si>
  <si>
    <t>複数ルート・基盤</t>
  </si>
  <si>
    <t>複数ルートが使う要素（業務アプリ・DB・監視 など）</t>
  </si>
  <si>
    <t>共通の連携・監視</t>
  </si>
  <si>
    <t>全体の注記</t>
  </si>
  <si>
    <t>接続元・ルートAだけが使う要素</t>
  </si>
  <si>
    <t>ルートAのデータが流れる線</t>
  </si>
  <si>
    <t>ルートAのポイント</t>
  </si>
  <si>
    <t>接続元・ルートBだけが使う要素</t>
  </si>
  <si>
    <t>ルートBのデータが流れる線</t>
  </si>
  <si>
    <t>ルートBのポイント</t>
  </si>
  <si>
    <t>接続元・ルートCだけが使う要素</t>
  </si>
  <si>
    <t>ルートCのデータが流れる線</t>
  </si>
  <si>
    <t>ルートCのポイント</t>
  </si>
  <si>
    <t>● 色は「どのルートのデータか」だけを表します。連携方式（オンライン／バッチ／監視 など）は線の種類で表します。</t>
  </si>
  <si>
    <t>● 複数ルートが通る共通の要素はモノトーンにし、入ってくる線の色でルートを示します。</t>
  </si>
  <si>
    <t>● 色は3色まで。ルートが4つ以上になる場合は、近いルートをまとめるか、図を分けます。</t>
  </si>
  <si>
    <t>● 白黒印刷でも区別できるよう、線の起点に連携番号（A1・B1・C1…）を付けます。</t>
  </si>
  <si>
    <t>● 塗りは淡色が基本。濃い色（強調ノード）は接続元など、1ルートにつき1〜2個までにすると上品にまとまります。</t>
  </si>
  <si>
    <t>● 新規・変更箇所は赤破線の枠で示します（赤はルートの色とは別の、差分レビュー用の強調色です）。</t>
  </si>
  <si>
    <t>7．線の種類（連携方式）とコメントの使い分け</t>
  </si>
  <si>
    <t>線の見本</t>
  </si>
  <si>
    <t>表現</t>
  </si>
  <si>
    <t>意味・使い分け</t>
  </si>
  <si>
    <t>実線＋矢印</t>
  </si>
  <si>
    <t>オンライン連携（API・画面・イベント）。矢印＝データの流れ（送り元 → 送り先）</t>
  </si>
  <si>
    <t>両矢印</t>
  </si>
  <si>
    <t>双方向の連携</t>
  </si>
  <si>
    <t>破線＋矢印</t>
  </si>
  <si>
    <t>バッチ・ファイル連携・非同期（日次・定期）</t>
  </si>
  <si>
    <t>点線＋矢印</t>
  </si>
  <si>
    <t>監視・ログ収集・運用アクセス</t>
  </si>
  <si>
    <t>細い実線</t>
  </si>
  <si>
    <t>ネットワーク接続（LAN・インターネット）</t>
  </si>
  <si>
    <t>太い実線</t>
  </si>
  <si>
    <t>専用線・閉域網（Direct Connect・IP-VPN など）</t>
  </si>
  <si>
    <t>破線（矢印なし）</t>
  </si>
  <si>
    <t>既存・対象外（ルートの色を付けない）</t>
  </si>
  <si>
    <t>用途</t>
  </si>
  <si>
    <t>重要な設計判断・注意点（2〜3行）。説明するルートの色に合わせる</t>
  </si>
  <si>
    <t>前提・制約・補足。目立たせすぎない控えめな注記</t>
  </si>
  <si>
    <t>特定の図形・線への短い指摘（先端の黄色のハンドルで向きを変更）</t>
  </si>
  <si>
    <t>付箋</t>
  </si>
  <si>
    <t>検討中・確認事項（TODO）。確定後は削除</t>
  </si>
  <si>
    <t>番号付き注記／引出線</t>
  </si>
  <si>
    <t>図の外にまとめる注記。引出線（点線）でコメントと対象を結ぶ（コメントにも12か所の接続点があります）</t>
  </si>
  <si>
    <t>8．きれいに見せるコツ</t>
  </si>
  <si>
    <t>・同じ種類の図形は同じ大きさにそろえる（標準ノード 8×4マス、小ノード 4×4マス）。</t>
  </si>
  <si>
    <t>・左 → 右（接続元 → 入口 → 処理 → データ）の流れで配置し、ルートごとに上・中・下の段に分けると線が交差しません。</t>
  </si>
  <si>
    <t>・図形と図形の間は4マス以上あけ、線と番号を置く余白をとる。</t>
  </si>
  <si>
    <t>・線は方眼に沿って水平・垂直に（カギ線）。つなぐ点の高さをそろえると、まっすぐな1本の線になります。</t>
  </si>
  <si>
    <t>・1つの辺に入る線は最大3本（接続点が3つ）。それ以上は図形を大きく（12マス幅・8マス高）します。</t>
  </si>
  <si>
    <t>・図形の文字は2行まで（名称＋役割）。IP・ポート・頻度などの詳細は一覧シートへ。</t>
  </si>
  <si>
    <t>・枠は最背面へ（右クリック →［最背面へ移動］）。重なり順は 外側の枠 → ゾーン → ノード → 線 → 番号・コメント。</t>
  </si>
  <si>
    <t>9．印刷・PDF出力・出典</t>
  </si>
  <si>
    <t>・「構成図」「構成図_記入例」は A3横1ページに収まるよう設定済みです（右側の部品パレットは印刷範囲外）。</t>
  </si>
  <si>
    <t>・PDF出力は［ファイル］→［エクスポート］→［PDF/XPS の作成］。図を増やすときはシート見出しを右クリック →［移動またはコピー］→［コピーを作成する］。</t>
  </si>
  <si>
    <t>・表題欄のシステム名・版数・日付・作成者は「表紙」から自動反映されます（個別に上書きも可）。</t>
  </si>
  <si>
    <t>・既存テンプレート（システム構成図テンプレート_現場とAWS.xlsx）の AWSアイコン・現場機器アイコンも、このテンプレートに貼り付けて使えます（アイコン接続フレームと組み合わせると12点で接続可）。</t>
  </si>
  <si>
    <t>■ AWS Architecture Icons（AWS Cloud ロゴ・AWS Lambda）© Amazon Web Services, Inc. or its affiliates. All rights reserved.　入手元：https://aws.amazon.com/architecture/icons/</t>
  </si>
  <si>
    <t>　AWS はアーキテクチャ図の作成にアイコンを使用することを認めています。利用時は AWS の最新の利用条件を確認してください（アイコンは変形・再着色せずに収録）。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</si>
</sst>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36" x14ac:knownFonts="1">
    <font>
      <sz val="9"/>
      <color theme="1"/>
      <name val="Meiryo UI"/>
      <family val="2"/>
    </font>
    <font>
      <sz val="9"/>
      <color rgb="FF262626"/>
      <name val="Meiryo UI"/>
      <family val="2"/>
    </font>
    <font>
      <b/>
      <sz val="9"/>
      <color rgb="FF7F7F7F"/>
      <name val="Meiryo UI"/>
      <family val="2"/>
    </font>
    <font>
      <b/>
      <sz val="28"/>
      <color rgb="FF262626"/>
      <name val="Meiryo UI"/>
      <family val="2"/>
    </font>
    <font>
      <sz val="12"/>
      <color rgb="FF595959"/>
      <name val="Meiryo UI"/>
      <family val="2"/>
    </font>
    <font>
      <b/>
      <sz val="11"/>
      <color rgb="FF262626"/>
      <name val="Meiryo UI"/>
      <family val="2"/>
    </font>
    <font>
      <sz val="8"/>
      <color rgb="FF7F7F7F"/>
      <name val="Meiryo UI"/>
      <family val="2"/>
    </font>
    <font>
      <b/>
      <sz val="9"/>
      <color rgb="FF262626"/>
      <name val="Meiryo UI"/>
      <family val="2"/>
    </font>
    <font>
      <sz val="10"/>
      <color rgb="FF262626"/>
      <name val="Meiryo UI"/>
      <family val="2"/>
    </font>
    <font>
      <b/>
      <sz val="9"/>
      <color rgb="FFFFFFFF"/>
      <name val="Meiryo UI"/>
      <family val="2"/>
    </font>
    <font>
      <sz val="9"/>
      <color rgb="FF595959"/>
      <name val="Meiryo UI"/>
      <family val="2"/>
    </font>
    <font>
      <b/>
      <u/>
      <sz val="9"/>
      <color rgb="FF262626"/>
      <name val="Meiryo UI"/>
      <family val="2"/>
    </font>
    <font>
      <b/>
      <sz val="11"/>
      <color rgb="FF315C92"/>
      <name val="Meiryo UI"/>
      <family val="2"/>
    </font>
    <font>
      <b/>
      <sz val="7.5"/>
      <color rgb="FFFFFFFF"/>
      <name val="Meiryo UI"/>
      <family val="2"/>
    </font>
    <font>
      <b/>
      <sz val="10"/>
      <color rgb="FF262626"/>
      <name val="Meiryo UI"/>
      <family val="2"/>
    </font>
    <font>
      <sz val="8.5"/>
      <color rgb="FF404040"/>
      <name val="Meiryo UI"/>
      <family val="2"/>
    </font>
    <font>
      <b/>
      <sz val="11"/>
      <color rgb="FF247966"/>
      <name val="Meiryo UI"/>
      <family val="2"/>
    </font>
    <font>
      <b/>
      <sz val="11"/>
      <color rgb="FFC46B39"/>
      <name val="Meiryo UI"/>
      <family val="2"/>
    </font>
    <font>
      <b/>
      <sz val="9"/>
      <color rgb="FF404040"/>
      <name val="Meiryo UI"/>
      <family val="2"/>
    </font>
    <font>
      <sz val="8.5"/>
      <color rgb="FF595959"/>
      <name val="Meiryo UI"/>
      <family val="2"/>
    </font>
    <font>
      <sz val="7.5"/>
      <color rgb="FF7F7F7F"/>
      <name val="Meiryo UI"/>
      <family val="2"/>
    </font>
    <font>
      <b/>
      <sz val="13"/>
      <color rgb="FFFFFFFF"/>
      <name val="Meiryo UI"/>
      <family val="2"/>
    </font>
    <font>
      <b/>
      <sz val="11"/>
      <color rgb="FFFFFFFF"/>
      <name val="Meiryo UI"/>
      <family val="2"/>
    </font>
    <font>
      <sz val="9"/>
      <color rgb="FF262626"/>
      <name val="Meiryo UI"/>
      <family val="2"/>
    </font>
    <font>
      <sz val="8.5"/>
      <color rgb="FF262626"/>
      <name val="Meiryo UI"/>
      <family val="2"/>
    </font>
    <font>
      <b/>
      <sz val="16"/>
      <color rgb="FF262626"/>
      <name val="Meiryo UI"/>
      <family val="2"/>
    </font>
    <font>
      <b/>
      <sz val="10"/>
      <color rgb="FFFFFFFF"/>
      <name val="Meiryo UI"/>
      <family val="2"/>
    </font>
    <font>
      <sz val="8"/>
      <color rgb="FF595959"/>
      <name val="Meiryo UI"/>
      <family val="2"/>
    </font>
    <font>
      <b/>
      <sz val="8.5"/>
      <color rgb="FFFFFFFF"/>
      <name val="Meiryo UI"/>
      <family val="2"/>
    </font>
    <font>
      <b/>
      <sz val="7.5"/>
      <color rgb="FF7F7F7F"/>
      <name val="Meiryo UI"/>
      <family val="2"/>
    </font>
    <font>
      <u/>
      <sz val="8.5"/>
      <color rgb="FF262626"/>
      <name val="Meiryo UI"/>
      <family val="2"/>
    </font>
    <font>
      <sz val="8.5"/>
      <color rgb="FF262626"/>
      <name val="Meiryo UI"/>
      <family val="2"/>
    </font>
    <font>
      <u/>
      <sz val="8"/>
      <color rgb="FFFFFFFF"/>
      <name val="Meiryo UI"/>
      <family val="2"/>
    </font>
    <font>
      <b/>
      <sz val="14"/>
      <color rgb="FF262626"/>
      <name val="Meiryo UI"/>
      <family val="2"/>
    </font>
    <font>
      <sz val="8.5"/>
      <color rgb="FF7F7F7F"/>
      <name val="Meiryo UI"/>
      <family val="2"/>
    </font>
    <font>
      <sz val="6"/>
      <name val="ＭＳ Ｐゴシック"/>
      <family val="3"/>
      <charset val="128"/>
    </font>
  </fonts>
  <fills count="9">
    <fill>
      <patternFill patternType="none"/>
    </fill>
    <fill>
      <patternFill patternType="gray125"/>
    </fill>
    <fill>
      <patternFill patternType="solid">
        <fgColor rgb="FF262626"/>
        <bgColor indexed="64"/>
      </patternFill>
    </fill>
    <fill>
      <patternFill patternType="solid">
        <fgColor rgb="FFF2F2F2"/>
        <bgColor indexed="64"/>
      </patternFill>
    </fill>
    <fill>
      <patternFill patternType="solid">
        <fgColor rgb="FF404040"/>
        <bgColor indexed="64"/>
      </patternFill>
    </fill>
    <fill>
      <patternFill patternType="solid">
        <fgColor rgb="FF315C92"/>
        <bgColor indexed="64"/>
      </patternFill>
    </fill>
    <fill>
      <patternFill patternType="solid">
        <fgColor rgb="FF247966"/>
        <bgColor indexed="64"/>
      </patternFill>
    </fill>
    <fill>
      <patternFill patternType="solid">
        <fgColor rgb="FFC46B39"/>
        <bgColor indexed="64"/>
      </patternFill>
    </fill>
    <fill>
      <patternFill patternType="solid">
        <fgColor rgb="FF7F7F7F"/>
        <bgColor indexed="64"/>
      </patternFill>
    </fill>
  </fills>
  <borders count="16">
    <border>
      <left/>
      <right/>
      <top/>
      <bottom/>
      <diagonal/>
    </border>
    <border>
      <left/>
      <right/>
      <top/>
      <bottom style="thick">
        <color rgb="FF262626"/>
      </bottom>
      <diagonal/>
    </border>
    <border>
      <left style="thin">
        <color rgb="FFBFBFBF"/>
      </left>
      <right style="thin">
        <color rgb="FFBFBFBF"/>
      </right>
      <top style="thin">
        <color rgb="FFBFBFBF"/>
      </top>
      <bottom style="thin">
        <color rgb="FFBFBFBF"/>
      </bottom>
      <diagonal/>
    </border>
    <border>
      <left/>
      <right/>
      <top/>
      <bottom style="thin">
        <color rgb="FFD9D9D9"/>
      </bottom>
      <diagonal/>
    </border>
    <border>
      <left/>
      <right/>
      <top/>
      <bottom style="thin">
        <color rgb="FFFFFFFF"/>
      </bottom>
      <diagonal/>
    </border>
    <border>
      <left style="thin">
        <color rgb="FFA6A6A6"/>
      </left>
      <right style="thin">
        <color rgb="FFA6A6A6"/>
      </right>
      <top style="thin">
        <color rgb="FFA6A6A6"/>
      </top>
      <bottom style="thin">
        <color rgb="FFA6A6A6"/>
      </bottom>
      <diagonal/>
    </border>
    <border>
      <left style="thin">
        <color rgb="FFA6A6A6"/>
      </left>
      <right/>
      <top style="thin">
        <color rgb="FFA6A6A6"/>
      </top>
      <bottom/>
      <diagonal/>
    </border>
    <border>
      <left/>
      <right/>
      <top style="thin">
        <color rgb="FFA6A6A6"/>
      </top>
      <bottom/>
      <diagonal/>
    </border>
    <border>
      <left/>
      <right style="thin">
        <color rgb="FFA6A6A6"/>
      </right>
      <top style="thin">
        <color rgb="FFA6A6A6"/>
      </top>
      <bottom/>
      <diagonal/>
    </border>
    <border>
      <left style="thin">
        <color rgb="FFA6A6A6"/>
      </left>
      <right/>
      <top/>
      <bottom/>
      <diagonal/>
    </border>
    <border>
      <left/>
      <right style="thin">
        <color rgb="FFA6A6A6"/>
      </right>
      <top/>
      <bottom/>
      <diagonal/>
    </border>
    <border>
      <left style="thin">
        <color rgb="FFA6A6A6"/>
      </left>
      <right/>
      <top/>
      <bottom style="thin">
        <color rgb="FFA6A6A6"/>
      </bottom>
      <diagonal/>
    </border>
    <border>
      <left/>
      <right/>
      <top/>
      <bottom style="thin">
        <color rgb="FFA6A6A6"/>
      </bottom>
      <diagonal/>
    </border>
    <border>
      <left/>
      <right style="thin">
        <color rgb="FFA6A6A6"/>
      </right>
      <top/>
      <bottom style="thin">
        <color rgb="FFA6A6A6"/>
      </bottom>
      <diagonal/>
    </border>
    <border>
      <left style="thin">
        <color rgb="FF404040"/>
      </left>
      <right style="thin">
        <color rgb="FF404040"/>
      </right>
      <top style="thin">
        <color rgb="FF404040"/>
      </top>
      <bottom style="thin">
        <color rgb="FF404040"/>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78">
    <xf numFmtId="0" fontId="0" fillId="0" borderId="0" xfId="0"/>
    <xf numFmtId="0" fontId="1" fillId="2" borderId="0" xfId="0" applyFont="1" applyFill="1" applyAlignment="1">
      <alignment vertical="center"/>
    </xf>
    <xf numFmtId="0" fontId="1" fillId="0" borderId="1" xfId="0" applyFont="1" applyBorder="1" applyAlignment="1">
      <alignment vertical="center"/>
    </xf>
    <xf numFmtId="0" fontId="1" fillId="4" borderId="0" xfId="0" applyFont="1" applyFill="1" applyAlignment="1">
      <alignment vertical="center"/>
    </xf>
    <xf numFmtId="0" fontId="1" fillId="5" borderId="0" xfId="0" applyFont="1" applyFill="1" applyAlignment="1">
      <alignment vertical="center"/>
    </xf>
    <xf numFmtId="0" fontId="1" fillId="6" borderId="0" xfId="0" applyFont="1" applyFill="1" applyAlignment="1">
      <alignment vertical="center"/>
    </xf>
    <xf numFmtId="0" fontId="1" fillId="7" borderId="0" xfId="0" applyFont="1" applyFill="1" applyAlignment="1">
      <alignment vertical="center"/>
    </xf>
    <xf numFmtId="0" fontId="1" fillId="0" borderId="6"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0" fontId="1" fillId="0" borderId="10" xfId="0" applyFont="1" applyBorder="1" applyAlignment="1">
      <alignment vertical="center"/>
    </xf>
    <xf numFmtId="0" fontId="1" fillId="0" borderId="11" xfId="0" applyFont="1" applyBorder="1" applyAlignment="1">
      <alignment vertical="center"/>
    </xf>
    <xf numFmtId="0" fontId="1" fillId="0" borderId="12" xfId="0" applyFont="1" applyBorder="1" applyAlignment="1">
      <alignment vertical="center"/>
    </xf>
    <xf numFmtId="0" fontId="1" fillId="0" borderId="13" xfId="0" applyFont="1" applyBorder="1" applyAlignment="1">
      <alignment vertical="center"/>
    </xf>
    <xf numFmtId="0" fontId="9" fillId="4" borderId="14" xfId="0" applyFont="1" applyFill="1" applyBorder="1" applyAlignment="1">
      <alignment horizontal="center" vertical="center" wrapText="1"/>
    </xf>
    <xf numFmtId="0" fontId="1" fillId="0" borderId="15" xfId="0" applyFont="1" applyBorder="1" applyAlignment="1">
      <alignment vertical="center" wrapText="1"/>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0" fontId="7" fillId="3" borderId="2" xfId="0" applyFont="1" applyFill="1" applyBorder="1" applyAlignment="1">
      <alignment horizontal="left" vertical="center" indent="1"/>
    </xf>
    <xf numFmtId="0" fontId="8" fillId="0" borderId="2" xfId="0" applyFont="1" applyBorder="1" applyAlignment="1">
      <alignment horizontal="left" vertical="center" indent="1"/>
    </xf>
    <xf numFmtId="176" fontId="8" fillId="0" borderId="2" xfId="0" applyNumberFormat="1" applyFont="1" applyBorder="1" applyAlignment="1">
      <alignment horizontal="left" vertical="center" indent="1"/>
    </xf>
    <xf numFmtId="0" fontId="9" fillId="4" borderId="0" xfId="0" applyFont="1" applyFill="1" applyAlignment="1">
      <alignment horizontal="center" vertical="center"/>
    </xf>
    <xf numFmtId="0" fontId="9" fillId="4" borderId="0" xfId="0" applyFont="1" applyFill="1" applyAlignment="1">
      <alignment horizontal="left" vertical="center" indent="1"/>
    </xf>
    <xf numFmtId="0" fontId="10" fillId="0" borderId="3" xfId="0" applyFont="1" applyBorder="1" applyAlignment="1">
      <alignment horizontal="center" vertical="center"/>
    </xf>
    <xf numFmtId="0" fontId="11" fillId="0" borderId="3" xfId="0" applyFont="1" applyBorder="1" applyAlignment="1">
      <alignment horizontal="left" vertical="center" indent="1"/>
    </xf>
    <xf numFmtId="0" fontId="1" fillId="0" borderId="3" xfId="0" applyFont="1" applyBorder="1" applyAlignment="1">
      <alignment horizontal="left" vertical="center" indent="1"/>
    </xf>
    <xf numFmtId="0" fontId="12" fillId="0" borderId="3" xfId="0" applyFont="1" applyBorder="1" applyAlignment="1">
      <alignment horizontal="center" vertical="center"/>
    </xf>
    <xf numFmtId="0" fontId="13" fillId="5" borderId="4" xfId="0" applyFont="1" applyFill="1" applyBorder="1" applyAlignment="1">
      <alignment horizontal="center" vertical="center" shrinkToFit="1"/>
    </xf>
    <xf numFmtId="0" fontId="14" fillId="0" borderId="2" xfId="0" applyFont="1" applyBorder="1" applyAlignment="1">
      <alignment horizontal="left" vertical="center" indent="1"/>
    </xf>
    <xf numFmtId="0" fontId="15" fillId="0" borderId="3" xfId="0" applyFont="1" applyBorder="1" applyAlignment="1">
      <alignment horizontal="left" vertical="center" indent="1" shrinkToFit="1"/>
    </xf>
    <xf numFmtId="0" fontId="16" fillId="0" borderId="3" xfId="0" applyFont="1" applyBorder="1" applyAlignment="1">
      <alignment horizontal="center" vertical="center"/>
    </xf>
    <xf numFmtId="0" fontId="13" fillId="6" borderId="4" xfId="0" applyFont="1" applyFill="1" applyBorder="1" applyAlignment="1">
      <alignment horizontal="center" vertical="center" shrinkToFit="1"/>
    </xf>
    <xf numFmtId="0" fontId="17" fillId="0" borderId="3" xfId="0" applyFont="1" applyBorder="1" applyAlignment="1">
      <alignment horizontal="center" vertical="center"/>
    </xf>
    <xf numFmtId="0" fontId="13" fillId="7" borderId="4" xfId="0" applyFont="1" applyFill="1" applyBorder="1" applyAlignment="1">
      <alignment horizontal="center" vertical="center" shrinkToFit="1"/>
    </xf>
    <xf numFmtId="0" fontId="18" fillId="0" borderId="3" xfId="0" applyFont="1" applyBorder="1" applyAlignment="1">
      <alignment horizontal="center" vertical="center"/>
    </xf>
    <xf numFmtId="0" fontId="13" fillId="4" borderId="4" xfId="0" applyFont="1" applyFill="1" applyBorder="1" applyAlignment="1">
      <alignment horizontal="center" vertical="center" shrinkToFit="1"/>
    </xf>
    <xf numFmtId="0" fontId="10" fillId="0" borderId="3" xfId="0" applyFont="1" applyBorder="1" applyAlignment="1">
      <alignment horizontal="left" vertical="center" indent="1"/>
    </xf>
    <xf numFmtId="0" fontId="1" fillId="0" borderId="2" xfId="0" applyFont="1" applyBorder="1" applyAlignment="1">
      <alignment horizontal="center" vertical="center"/>
    </xf>
    <xf numFmtId="176" fontId="1" fillId="0" borderId="2" xfId="0" applyNumberFormat="1" applyFont="1" applyBorder="1" applyAlignment="1">
      <alignment horizontal="center" vertical="center"/>
    </xf>
    <xf numFmtId="0" fontId="1" fillId="0" borderId="2" xfId="0" applyFont="1" applyBorder="1" applyAlignment="1">
      <alignment horizontal="left" vertical="center" indent="1"/>
    </xf>
    <xf numFmtId="0" fontId="19" fillId="0" borderId="0" xfId="0" applyFont="1" applyAlignment="1">
      <alignment vertical="center"/>
    </xf>
    <xf numFmtId="0" fontId="20" fillId="0" borderId="0" xfId="0" applyFont="1" applyAlignment="1">
      <alignment vertical="center"/>
    </xf>
    <xf numFmtId="0" fontId="6" fillId="0" borderId="0" xfId="0" applyFont="1" applyAlignment="1">
      <alignment horizontal="center" vertical="center"/>
    </xf>
    <xf numFmtId="0" fontId="6" fillId="0" borderId="0" xfId="0" applyFont="1" applyAlignment="1">
      <alignment horizontal="right" vertical="center"/>
    </xf>
    <xf numFmtId="0" fontId="21" fillId="2" borderId="0" xfId="0" applyFont="1" applyFill="1" applyAlignment="1">
      <alignment horizontal="left" vertical="center" indent="1"/>
    </xf>
    <xf numFmtId="0" fontId="22" fillId="4" borderId="0" xfId="0" applyFont="1" applyFill="1" applyAlignment="1">
      <alignment horizontal="left" vertical="center" indent="1"/>
    </xf>
    <xf numFmtId="0" fontId="7" fillId="0" borderId="3" xfId="0" applyFont="1" applyBorder="1" applyAlignment="1">
      <alignment horizontal="left" vertical="center" indent="1"/>
    </xf>
    <xf numFmtId="0" fontId="23" fillId="0" borderId="3" xfId="0" applyFont="1" applyBorder="1" applyAlignment="1">
      <alignment horizontal="left" vertical="center" indent="1"/>
    </xf>
    <xf numFmtId="0" fontId="23" fillId="0" borderId="0" xfId="0" applyFont="1" applyAlignment="1">
      <alignment vertical="center"/>
    </xf>
    <xf numFmtId="0" fontId="24" fillId="0" borderId="0" xfId="0" applyFont="1" applyAlignment="1">
      <alignment vertical="center"/>
    </xf>
    <xf numFmtId="0" fontId="25" fillId="0" borderId="0" xfId="0" applyFont="1" applyAlignment="1">
      <alignment vertical="center"/>
    </xf>
    <xf numFmtId="0" fontId="10" fillId="0" borderId="0" xfId="0" applyFont="1" applyAlignment="1">
      <alignment vertical="center"/>
    </xf>
    <xf numFmtId="0" fontId="6" fillId="3" borderId="5" xfId="0" applyFont="1" applyFill="1" applyBorder="1" applyAlignment="1">
      <alignment horizontal="center" vertical="center"/>
    </xf>
    <xf numFmtId="0" fontId="5" fillId="0" borderId="5" xfId="0" applyFont="1" applyBorder="1" applyAlignment="1">
      <alignment horizontal="center" vertical="center"/>
    </xf>
    <xf numFmtId="0" fontId="8" fillId="0" borderId="5" xfId="0" applyFont="1" applyBorder="1" applyAlignment="1">
      <alignment horizontal="center" vertical="center"/>
    </xf>
    <xf numFmtId="176" fontId="8" fillId="0" borderId="5" xfId="0" applyNumberFormat="1" applyFont="1" applyBorder="1" applyAlignment="1">
      <alignment horizontal="center" vertical="center"/>
    </xf>
    <xf numFmtId="0" fontId="26" fillId="4" borderId="0" xfId="0" applyFont="1" applyFill="1" applyAlignment="1">
      <alignment horizontal="left" vertical="center" indent="1"/>
    </xf>
    <xf numFmtId="0" fontId="27" fillId="3" borderId="0" xfId="0" applyFont="1" applyFill="1" applyAlignment="1">
      <alignment horizontal="left" vertical="center" indent="1"/>
    </xf>
    <xf numFmtId="0" fontId="28" fillId="4" borderId="0" xfId="0" applyFont="1" applyFill="1" applyAlignment="1">
      <alignment horizontal="center" vertical="center"/>
    </xf>
    <xf numFmtId="0" fontId="28" fillId="5" borderId="0" xfId="0" applyFont="1" applyFill="1" applyAlignment="1">
      <alignment horizontal="center" vertical="center"/>
    </xf>
    <xf numFmtId="0" fontId="28" fillId="6" borderId="0" xfId="0" applyFont="1" applyFill="1" applyAlignment="1">
      <alignment horizontal="center" vertical="center"/>
    </xf>
    <xf numFmtId="0" fontId="28" fillId="7" borderId="0" xfId="0" applyFont="1" applyFill="1" applyAlignment="1">
      <alignment horizontal="center" vertical="center"/>
    </xf>
    <xf numFmtId="0" fontId="29" fillId="0" borderId="0" xfId="0" applyFont="1" applyAlignment="1">
      <alignment vertical="center"/>
    </xf>
    <xf numFmtId="0" fontId="15" fillId="3" borderId="0" xfId="0" applyFont="1" applyFill="1" applyAlignment="1">
      <alignment horizontal="left" vertical="center" indent="1"/>
    </xf>
    <xf numFmtId="0" fontId="14" fillId="0" borderId="0" xfId="0" applyFont="1" applyAlignment="1">
      <alignment vertical="center"/>
    </xf>
    <xf numFmtId="0" fontId="15" fillId="0" borderId="0" xfId="0" applyFont="1" applyAlignment="1">
      <alignment vertical="center"/>
    </xf>
    <xf numFmtId="0" fontId="32" fillId="4" borderId="0" xfId="0" applyFont="1" applyFill="1" applyAlignment="1">
      <alignment horizontal="center" vertical="center"/>
    </xf>
    <xf numFmtId="0" fontId="28" fillId="8" borderId="0" xfId="0" applyFont="1" applyFill="1" applyAlignment="1">
      <alignment horizontal="left" vertical="center" indent="1"/>
    </xf>
    <xf numFmtId="0" fontId="7" fillId="0" borderId="0" xfId="0" applyFont="1" applyAlignment="1">
      <alignment horizontal="left" vertical="center" indent="1"/>
    </xf>
    <xf numFmtId="0" fontId="20" fillId="0" borderId="0" xfId="0" applyFont="1" applyAlignment="1">
      <alignment horizontal="left" vertical="center" indent="1"/>
    </xf>
    <xf numFmtId="0" fontId="30" fillId="0" borderId="0" xfId="0" applyFont="1" applyAlignment="1">
      <alignment vertical="center"/>
    </xf>
    <xf numFmtId="0" fontId="31" fillId="0" borderId="0" xfId="0" applyFont="1" applyAlignment="1">
      <alignment vertical="center"/>
    </xf>
    <xf numFmtId="0" fontId="33" fillId="0" borderId="0" xfId="0" applyFont="1" applyAlignment="1">
      <alignment vertical="center"/>
    </xf>
    <xf numFmtId="0" fontId="34" fillId="0" borderId="0" xfId="0" applyFont="1" applyAlignment="1">
      <alignment vertical="center"/>
    </xf>
  </cellXfs>
  <cellStyles count="1">
    <cellStyle name="標準" xfId="0" builtinId="0"/>
  </cellStyles>
  <dxfs count="27">
    <dxf>
      <font>
        <b/>
        <color rgb="FF404040"/>
      </font>
      <fill>
        <patternFill>
          <bgColor rgb="FFF2F2F2"/>
        </patternFill>
      </fill>
    </dxf>
    <dxf>
      <font>
        <b/>
        <color rgb="FF954717"/>
      </font>
      <fill>
        <patternFill>
          <bgColor rgb="FFFDECE4"/>
        </patternFill>
      </fill>
    </dxf>
    <dxf>
      <font>
        <b/>
        <color rgb="FF005243"/>
      </font>
      <fill>
        <patternFill>
          <bgColor rgb="FFE3F5EF"/>
        </patternFill>
      </fill>
    </dxf>
    <dxf>
      <font>
        <b/>
        <color rgb="FF113866"/>
      </font>
      <fill>
        <patternFill>
          <bgColor rgb="FFE7F1FF"/>
        </patternFill>
      </fill>
    </dxf>
    <dxf>
      <font>
        <b/>
        <color rgb="FF404040"/>
      </font>
      <fill>
        <patternFill>
          <bgColor rgb="FFF2F2F2"/>
        </patternFill>
      </fill>
    </dxf>
    <dxf>
      <font>
        <b/>
        <color rgb="FF954717"/>
      </font>
      <fill>
        <patternFill>
          <bgColor rgb="FFFDECE4"/>
        </patternFill>
      </fill>
    </dxf>
    <dxf>
      <font>
        <b/>
        <color rgb="FF005243"/>
      </font>
      <fill>
        <patternFill>
          <bgColor rgb="FFE3F5EF"/>
        </patternFill>
      </fill>
    </dxf>
    <dxf>
      <font>
        <b/>
        <color rgb="FF113866"/>
      </font>
      <fill>
        <patternFill>
          <bgColor rgb="FFE7F1FF"/>
        </patternFill>
      </fill>
    </dxf>
    <dxf>
      <font>
        <color rgb="FF262626"/>
      </font>
      <border>
        <left style="thin">
          <color rgb="FFD9D9D9"/>
        </left>
        <right style="thin">
          <color rgb="FFD9D9D9"/>
        </right>
        <top style="thin">
          <color rgb="FFD9D9D9"/>
        </top>
        <bottom style="thin">
          <color rgb="FFD9D9D9"/>
        </bottom>
        <vertical/>
        <horizontal/>
      </border>
    </dxf>
    <dxf>
      <font>
        <color rgb="FF262626"/>
      </font>
      <border>
        <left style="thin">
          <color rgb="FFD9D9D9"/>
        </left>
        <right style="thin">
          <color rgb="FFD9D9D9"/>
        </right>
        <top style="thin">
          <color rgb="FFD9D9D9"/>
        </top>
        <bottom style="thin">
          <color rgb="FFD9D9D9"/>
        </bottom>
        <vertical/>
        <horizontal/>
      </border>
    </dxf>
    <dxf>
      <font>
        <color rgb="FF262626"/>
      </font>
      <border>
        <left style="thin">
          <color rgb="FFD9D9D9"/>
        </left>
        <right style="thin">
          <color rgb="FFD9D9D9"/>
        </right>
        <top style="thin">
          <color rgb="FFD9D9D9"/>
        </top>
        <bottom style="thin">
          <color rgb="FFD9D9D9"/>
        </bottom>
        <vertical/>
        <horizontal/>
      </border>
    </dxf>
    <dxf>
      <font>
        <color rgb="FF262626"/>
      </font>
      <border>
        <left style="thin">
          <color rgb="FFD9D9D9"/>
        </left>
        <right style="thin">
          <color rgb="FFD9D9D9"/>
        </right>
        <top style="thin">
          <color rgb="FFD9D9D9"/>
        </top>
        <bottom style="thin">
          <color rgb="FFD9D9D9"/>
        </bottom>
        <vertical/>
        <horizontal/>
      </border>
    </dxf>
    <dxf>
      <font>
        <color rgb="FF262626"/>
      </font>
      <border>
        <left style="thin">
          <color rgb="FFD9D9D9"/>
        </left>
        <right style="thin">
          <color rgb="FFD9D9D9"/>
        </right>
        <top style="thin">
          <color rgb="FFD9D9D9"/>
        </top>
        <bottom style="thin">
          <color rgb="FFD9D9D9"/>
        </bottom>
        <vertical/>
        <horizontal/>
      </border>
    </dxf>
    <dxf>
      <font>
        <color rgb="FF262626"/>
      </font>
      <border>
        <left style="thin">
          <color rgb="FFD9D9D9"/>
        </left>
        <right style="thin">
          <color rgb="FFD9D9D9"/>
        </right>
        <top style="thin">
          <color rgb="FFD9D9D9"/>
        </top>
        <bottom style="thin">
          <color rgb="FFD9D9D9"/>
        </bottom>
        <vertical/>
        <horizontal/>
      </border>
    </dxf>
    <dxf>
      <font>
        <color rgb="FF262626"/>
      </font>
      <border>
        <left style="thin">
          <color rgb="FFD9D9D9"/>
        </left>
        <right style="thin">
          <color rgb="FFD9D9D9"/>
        </right>
        <top style="thin">
          <color rgb="FFD9D9D9"/>
        </top>
        <bottom style="thin">
          <color rgb="FFD9D9D9"/>
        </bottom>
        <vertical/>
        <horizontal/>
      </border>
    </dxf>
    <dxf>
      <font>
        <color rgb="FF262626"/>
      </font>
      <border>
        <left style="thin">
          <color rgb="FFD9D9D9"/>
        </left>
        <right style="thin">
          <color rgb="FFD9D9D9"/>
        </right>
        <top style="thin">
          <color rgb="FFD9D9D9"/>
        </top>
        <bottom style="thin">
          <color rgb="FFD9D9D9"/>
        </bottom>
        <vertical/>
        <horizontal/>
      </border>
    </dxf>
    <dxf>
      <font>
        <color rgb="FF262626"/>
      </font>
      <border>
        <left style="thin">
          <color rgb="FFD9D9D9"/>
        </left>
        <right style="thin">
          <color rgb="FFD9D9D9"/>
        </right>
        <top style="thin">
          <color rgb="FFD9D9D9"/>
        </top>
        <bottom style="thin">
          <color rgb="FFD9D9D9"/>
        </bottom>
        <vertical/>
        <horizontal/>
      </border>
    </dxf>
    <dxf>
      <font>
        <color rgb="FF262626"/>
      </font>
      <border>
        <left style="thin">
          <color rgb="FFD9D9D9"/>
        </left>
        <right style="thin">
          <color rgb="FFD9D9D9"/>
        </right>
        <top style="thin">
          <color rgb="FFD9D9D9"/>
        </top>
        <bottom style="thin">
          <color rgb="FFD9D9D9"/>
        </bottom>
        <vertical/>
        <horizontal/>
      </border>
    </dxf>
    <dxf>
      <font>
        <color rgb="FF262626"/>
      </font>
      <border>
        <left style="thin">
          <color rgb="FFD9D9D9"/>
        </left>
        <right style="thin">
          <color rgb="FFD9D9D9"/>
        </right>
        <top style="thin">
          <color rgb="FFD9D9D9"/>
        </top>
        <bottom style="thin">
          <color rgb="FFD9D9D9"/>
        </bottom>
        <vertical/>
        <horizontal/>
      </border>
    </dxf>
    <dxf>
      <font>
        <color rgb="FF262626"/>
      </font>
      <border>
        <left style="thin">
          <color rgb="FFD9D9D9"/>
        </left>
        <right style="thin">
          <color rgb="FFD9D9D9"/>
        </right>
        <top style="thin">
          <color rgb="FFD9D9D9"/>
        </top>
        <bottom style="thin">
          <color rgb="FFD9D9D9"/>
        </bottom>
        <vertical/>
        <horizontal/>
      </border>
    </dxf>
    <dxf>
      <font>
        <color rgb="FF262626"/>
      </font>
      <border>
        <left style="thin">
          <color rgb="FFD9D9D9"/>
        </left>
        <right style="thin">
          <color rgb="FFD9D9D9"/>
        </right>
        <top style="thin">
          <color rgb="FFD9D9D9"/>
        </top>
        <bottom style="thin">
          <color rgb="FFD9D9D9"/>
        </bottom>
        <vertical/>
        <horizontal/>
      </border>
    </dxf>
    <dxf>
      <font>
        <color rgb="FF262626"/>
      </font>
      <border>
        <left style="thin">
          <color rgb="FFD9D9D9"/>
        </left>
        <right style="thin">
          <color rgb="FFD9D9D9"/>
        </right>
        <top style="thin">
          <color rgb="FFD9D9D9"/>
        </top>
        <bottom style="thin">
          <color rgb="FFD9D9D9"/>
        </bottom>
        <vertical/>
        <horizontal/>
      </border>
    </dxf>
    <dxf>
      <font>
        <color rgb="FF262626"/>
      </font>
      <border>
        <left style="thin">
          <color rgb="FFD9D9D9"/>
        </left>
        <right style="thin">
          <color rgb="FFD9D9D9"/>
        </right>
        <top style="thin">
          <color rgb="FFD9D9D9"/>
        </top>
        <bottom style="thin">
          <color rgb="FFD9D9D9"/>
        </bottom>
        <vertical/>
        <horizontal/>
      </border>
    </dxf>
    <dxf>
      <font>
        <color rgb="FF262626"/>
      </font>
      <border>
        <left style="thin">
          <color rgb="FFD9D9D9"/>
        </left>
        <right style="thin">
          <color rgb="FFD9D9D9"/>
        </right>
        <top style="thin">
          <color rgb="FFD9D9D9"/>
        </top>
        <bottom style="thin">
          <color rgb="FFD9D9D9"/>
        </bottom>
        <vertical/>
        <horizontal/>
      </border>
    </dxf>
    <dxf>
      <font>
        <color rgb="FF262626"/>
      </font>
      <border>
        <left style="thin">
          <color rgb="FFD9D9D9"/>
        </left>
        <right style="thin">
          <color rgb="FFD9D9D9"/>
        </right>
        <top style="thin">
          <color rgb="FFD9D9D9"/>
        </top>
        <bottom style="thin">
          <color rgb="FFD9D9D9"/>
        </bottom>
        <vertical/>
        <horizontal/>
      </border>
    </dxf>
    <dxf>
      <font>
        <color rgb="FF262626"/>
      </font>
      <border>
        <left style="thin">
          <color rgb="FFD9D9D9"/>
        </left>
        <right style="thin">
          <color rgb="FFD9D9D9"/>
        </right>
        <top style="thin">
          <color rgb="FFD9D9D9"/>
        </top>
        <bottom style="thin">
          <color rgb="FFD9D9D9"/>
        </bottom>
        <vertical/>
        <horizontal/>
      </border>
    </dxf>
    <dxf>
      <font>
        <color rgb="FF262626"/>
      </font>
      <border>
        <left style="thin">
          <color rgb="FFD9D9D9"/>
        </left>
        <right style="thin">
          <color rgb="FFD9D9D9"/>
        </right>
        <top style="thin">
          <color rgb="FFD9D9D9"/>
        </top>
        <bottom style="thin">
          <color rgb="FFD9D9D9"/>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4.svg"/><Relationship Id="rId1" Type="http://schemas.openxmlformats.org/officeDocument/2006/relationships/image" Target="../media/image3.png"/><Relationship Id="rId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38</xdr:row>
      <xdr:rowOff>0</xdr:rowOff>
    </xdr:from>
    <xdr:to>
      <xdr:col>14</xdr:col>
      <xdr:colOff>0</xdr:colOff>
      <xdr:row>42</xdr:row>
      <xdr:rowOff>0</xdr:rowOff>
    </xdr:to>
    <xdr:sp macro="" textlink="">
      <xdr:nvSpPr>
        <xdr:cNvPr id="2" name="作成の流れ: 1">
          <a:extLst>
            <a:ext uri="{FF2B5EF4-FFF2-40B4-BE49-F238E27FC236}">
              <a16:creationId xmlns:a16="http://schemas.microsoft.com/office/drawing/2014/main" id="{00000000-0008-0000-0000-000002000000}"/>
            </a:ext>
          </a:extLst>
        </xdr:cNvPr>
        <xdr:cNvSpPr/>
      </xdr:nvSpPr>
      <xdr:spPr>
        <a:xfrm>
          <a:off x="381000" y="7239000"/>
          <a:ext cx="2286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FFFFFF"/>
        </a:solidFill>
        <a:ln w="12700" cap="flat">
          <a:solidFill>
            <a:srgbClr val="404040"/>
          </a:solidFill>
          <a:round/>
        </a:ln>
      </xdr:spPr>
      <xdr:txBody>
        <a:bodyPr vertOverflow="overflow" horzOverflow="overflow" wrap="square" lIns="50800" tIns="25400" rIns="50800" bIns="25400" rtlCol="0" anchor="ctr">
          <a:noAutofit/>
        </a:bodyPr>
        <a:lstStyle/>
        <a:p>
          <a:pPr algn="ctr"/>
          <a:r>
            <a:rPr lang="ja-JP" altLang="en-US" sz="1000" b="1" dirty="0">
              <a:solidFill>
                <a:srgbClr val="262626"/>
              </a:solidFill>
              <a:latin typeface="Meiryo UI"/>
              <a:ea typeface="Meiryo UI"/>
              <a:cs typeface="Meiryo UI"/>
            </a:rPr>
            <a:t>表紙に入力</a:t>
          </a:r>
          <a:endParaRPr lang="ja-JP" altLang="en-US" sz="1000" dirty="0">
            <a:latin typeface="Meiryo UI"/>
            <a:ea typeface="Meiryo UI"/>
          </a:endParaRPr>
        </a:p>
        <a:p>
          <a:pPr algn="ctr">
            <a:spcBef>
              <a:spcPts val="100"/>
            </a:spcBef>
          </a:pPr>
          <a:r>
            <a:rPr lang="ja-JP" altLang="en-US" sz="750" b="0" dirty="0">
              <a:solidFill>
                <a:srgbClr val="595959"/>
              </a:solidFill>
              <a:latin typeface="Meiryo UI"/>
              <a:ea typeface="Meiryo UI"/>
              <a:cs typeface="Meiryo UI"/>
            </a:rPr>
            <a:t>文書情報と</a:t>
          </a:r>
          <a:endParaRPr lang="ja-JP" altLang="en-US" sz="750" dirty="0">
            <a:latin typeface="Meiryo UI"/>
            <a:ea typeface="Meiryo UI"/>
          </a:endParaRPr>
        </a:p>
        <a:p>
          <a:pPr algn="ctr">
            <a:spcBef>
              <a:spcPts val="100"/>
            </a:spcBef>
          </a:pPr>
          <a:r>
            <a:rPr lang="ja-JP" altLang="en-US" sz="750" b="0" dirty="0">
              <a:solidFill>
                <a:srgbClr val="595959"/>
              </a:solidFill>
              <a:latin typeface="Meiryo UI"/>
              <a:ea typeface="Meiryo UI"/>
              <a:cs typeface="Meiryo UI"/>
            </a:rPr>
            <a:t>ルート定義（A・B・C）</a:t>
          </a:r>
          <a:endParaRPr lang="ja-JP" altLang="en-US" sz="750" dirty="0">
            <a:latin typeface="Meiryo UI"/>
            <a:ea typeface="Meiryo UI"/>
          </a:endParaRPr>
        </a:p>
      </xdr:txBody>
    </xdr:sp>
    <xdr:clientData/>
  </xdr:twoCellAnchor>
  <xdr:twoCellAnchor editAs="oneCell">
    <xdr:from>
      <xdr:col>1</xdr:col>
      <xdr:colOff>95250</xdr:colOff>
      <xdr:row>37</xdr:row>
      <xdr:rowOff>95250</xdr:rowOff>
    </xdr:from>
    <xdr:to>
      <xdr:col>2</xdr:col>
      <xdr:colOff>95250</xdr:colOff>
      <xdr:row>38</xdr:row>
      <xdr:rowOff>95250</xdr:rowOff>
    </xdr:to>
    <xdr:sp macro="" textlink="">
      <xdr:nvSpPr>
        <xdr:cNvPr id="3" name="作成の流れ: 番号1">
          <a:extLst>
            <a:ext uri="{FF2B5EF4-FFF2-40B4-BE49-F238E27FC236}">
              <a16:creationId xmlns:a16="http://schemas.microsoft.com/office/drawing/2014/main" id="{00000000-0008-0000-0000-000003000000}"/>
            </a:ext>
          </a:extLst>
        </xdr:cNvPr>
        <xdr:cNvSpPr/>
      </xdr:nvSpPr>
      <xdr:spPr>
        <a:xfrm>
          <a:off x="285750" y="7143750"/>
          <a:ext cx="190500" cy="190500"/>
        </a:xfrm>
        <a:prstGeom prst="ellipse">
          <a:avLst/>
        </a:prstGeom>
        <a:solidFill>
          <a:srgbClr val="404040"/>
        </a:solidFill>
        <a:ln>
          <a:noFill/>
        </a:ln>
      </xdr:spPr>
      <xdr:txBody>
        <a:bodyPr vertOverflow="overflow" horzOverflow="overflow" wrap="none" lIns="0" tIns="0" rIns="0" bIns="0" rtlCol="0" anchor="ctr">
          <a:noAutofit/>
        </a:bodyPr>
        <a:lstStyle/>
        <a:p>
          <a:pPr algn="ctr"/>
          <a:r>
            <a:rPr lang="ja-JP" altLang="en-US" sz="800" b="1" dirty="0">
              <a:solidFill>
                <a:srgbClr val="FFFFFF"/>
              </a:solidFill>
              <a:latin typeface="Meiryo UI"/>
              <a:ea typeface="Meiryo UI"/>
              <a:cs typeface="Meiryo UI"/>
            </a:rPr>
            <a:t>1</a:t>
          </a:r>
          <a:endParaRPr lang="ja-JP" altLang="en-US" sz="800" dirty="0">
            <a:latin typeface="Meiryo UI"/>
            <a:ea typeface="Meiryo UI"/>
          </a:endParaRPr>
        </a:p>
      </xdr:txBody>
    </xdr:sp>
    <xdr:clientData/>
  </xdr:twoCellAnchor>
  <xdr:twoCellAnchor editAs="oneCell">
    <xdr:from>
      <xdr:col>14</xdr:col>
      <xdr:colOff>114300</xdr:colOff>
      <xdr:row>39</xdr:row>
      <xdr:rowOff>95250</xdr:rowOff>
    </xdr:from>
    <xdr:to>
      <xdr:col>16</xdr:col>
      <xdr:colOff>76200</xdr:colOff>
      <xdr:row>40</xdr:row>
      <xdr:rowOff>95250</xdr:rowOff>
    </xdr:to>
    <xdr:sp macro="" textlink="">
      <xdr:nvSpPr>
        <xdr:cNvPr id="4" name="作成の流れ: 矢印1">
          <a:extLst>
            <a:ext uri="{FF2B5EF4-FFF2-40B4-BE49-F238E27FC236}">
              <a16:creationId xmlns:a16="http://schemas.microsoft.com/office/drawing/2014/main" id="{00000000-0008-0000-0000-000004000000}"/>
            </a:ext>
          </a:extLst>
        </xdr:cNvPr>
        <xdr:cNvSpPr/>
      </xdr:nvSpPr>
      <xdr:spPr>
        <a:xfrm>
          <a:off x="2781300" y="7524750"/>
          <a:ext cx="342900" cy="190500"/>
        </a:xfrm>
        <a:prstGeom prst="rightArrow">
          <a:avLst>
            <a:gd name="adj1" fmla="val 50000"/>
            <a:gd name="adj2" fmla="val 50000"/>
          </a:avLst>
        </a:prstGeom>
        <a:solidFill>
          <a:srgbClr val="BFBFBF"/>
        </a:solidFill>
        <a:ln>
          <a:noFill/>
        </a:ln>
      </xdr:spPr>
      <xdr:txBody>
        <a:bodyPr vertOverflow="overflow" horzOverflow="overflow" wrap="square" lIns="38100" tIns="19050" rIns="38100" bIns="19050" rtlCol="0" anchor="ctr">
          <a:noAutofit/>
        </a:bodyPr>
        <a:lstStyle/>
        <a:p>
          <a:pPr algn="ctr"/>
          <a:endParaRPr lang="ja-JP" altLang="en-US" sz="600" dirty="0">
            <a:latin typeface="Meiryo UI"/>
            <a:ea typeface="Meiryo UI"/>
          </a:endParaRPr>
        </a:p>
      </xdr:txBody>
    </xdr:sp>
    <xdr:clientData/>
  </xdr:twoCellAnchor>
  <xdr:twoCellAnchor editAs="oneCell">
    <xdr:from>
      <xdr:col>17</xdr:col>
      <xdr:colOff>0</xdr:colOff>
      <xdr:row>38</xdr:row>
      <xdr:rowOff>0</xdr:rowOff>
    </xdr:from>
    <xdr:to>
      <xdr:col>29</xdr:col>
      <xdr:colOff>0</xdr:colOff>
      <xdr:row>42</xdr:row>
      <xdr:rowOff>0</xdr:rowOff>
    </xdr:to>
    <xdr:sp macro="" textlink="">
      <xdr:nvSpPr>
        <xdr:cNvPr id="5" name="作成の流れ: 2">
          <a:extLst>
            <a:ext uri="{FF2B5EF4-FFF2-40B4-BE49-F238E27FC236}">
              <a16:creationId xmlns:a16="http://schemas.microsoft.com/office/drawing/2014/main" id="{00000000-0008-0000-0000-000005000000}"/>
            </a:ext>
          </a:extLst>
        </xdr:cNvPr>
        <xdr:cNvSpPr/>
      </xdr:nvSpPr>
      <xdr:spPr>
        <a:xfrm>
          <a:off x="3238500" y="7239000"/>
          <a:ext cx="2286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FFFFFF"/>
        </a:solidFill>
        <a:ln w="12700" cap="flat">
          <a:solidFill>
            <a:srgbClr val="404040"/>
          </a:solidFill>
          <a:round/>
        </a:ln>
      </xdr:spPr>
      <xdr:txBody>
        <a:bodyPr vertOverflow="overflow" horzOverflow="overflow" wrap="square" lIns="50800" tIns="25400" rIns="50800" bIns="25400" rtlCol="0" anchor="ctr">
          <a:noAutofit/>
        </a:bodyPr>
        <a:lstStyle/>
        <a:p>
          <a:pPr algn="ctr"/>
          <a:r>
            <a:rPr lang="ja-JP" altLang="en-US" sz="1000" b="1" dirty="0">
              <a:solidFill>
                <a:srgbClr val="262626"/>
              </a:solidFill>
              <a:latin typeface="Meiryo UI"/>
              <a:ea typeface="Meiryo UI"/>
              <a:cs typeface="Meiryo UI"/>
            </a:rPr>
            <a:t>ゾーンとノードを置く</a:t>
          </a:r>
          <a:endParaRPr lang="ja-JP" altLang="en-US" sz="1000" dirty="0">
            <a:latin typeface="Meiryo UI"/>
            <a:ea typeface="Meiryo UI"/>
          </a:endParaRPr>
        </a:p>
        <a:p>
          <a:pPr algn="ctr">
            <a:spcBef>
              <a:spcPts val="100"/>
            </a:spcBef>
          </a:pPr>
          <a:r>
            <a:rPr lang="ja-JP" altLang="en-US" sz="750" b="0" dirty="0">
              <a:solidFill>
                <a:srgbClr val="595959"/>
              </a:solidFill>
              <a:latin typeface="Meiryo UI"/>
              <a:ea typeface="Meiryo UI"/>
              <a:cs typeface="Meiryo UI"/>
            </a:rPr>
            <a:t>4マス単位・方眼に吸着</a:t>
          </a:r>
          <a:endParaRPr lang="ja-JP" altLang="en-US" sz="750" dirty="0">
            <a:latin typeface="Meiryo UI"/>
            <a:ea typeface="Meiryo UI"/>
          </a:endParaRPr>
        </a:p>
        <a:p>
          <a:pPr algn="ctr">
            <a:spcBef>
              <a:spcPts val="100"/>
            </a:spcBef>
          </a:pPr>
          <a:r>
            <a:rPr lang="ja-JP" altLang="en-US" sz="750" b="0" dirty="0">
              <a:solidFill>
                <a:srgbClr val="595959"/>
              </a:solidFill>
              <a:latin typeface="Meiryo UI"/>
              <a:ea typeface="Meiryo UI"/>
              <a:cs typeface="Meiryo UI"/>
            </a:rPr>
            <a:t>ルートの色で色分け</a:t>
          </a:r>
          <a:endParaRPr lang="ja-JP" altLang="en-US" sz="750" dirty="0">
            <a:latin typeface="Meiryo UI"/>
            <a:ea typeface="Meiryo UI"/>
          </a:endParaRPr>
        </a:p>
      </xdr:txBody>
    </xdr:sp>
    <xdr:clientData/>
  </xdr:twoCellAnchor>
  <xdr:twoCellAnchor editAs="oneCell">
    <xdr:from>
      <xdr:col>16</xdr:col>
      <xdr:colOff>95250</xdr:colOff>
      <xdr:row>37</xdr:row>
      <xdr:rowOff>95250</xdr:rowOff>
    </xdr:from>
    <xdr:to>
      <xdr:col>17</xdr:col>
      <xdr:colOff>95250</xdr:colOff>
      <xdr:row>38</xdr:row>
      <xdr:rowOff>95250</xdr:rowOff>
    </xdr:to>
    <xdr:sp macro="" textlink="">
      <xdr:nvSpPr>
        <xdr:cNvPr id="6" name="作成の流れ: 番号2">
          <a:extLst>
            <a:ext uri="{FF2B5EF4-FFF2-40B4-BE49-F238E27FC236}">
              <a16:creationId xmlns:a16="http://schemas.microsoft.com/office/drawing/2014/main" id="{00000000-0008-0000-0000-000006000000}"/>
            </a:ext>
          </a:extLst>
        </xdr:cNvPr>
        <xdr:cNvSpPr/>
      </xdr:nvSpPr>
      <xdr:spPr>
        <a:xfrm>
          <a:off x="3143250" y="7143750"/>
          <a:ext cx="190500" cy="190500"/>
        </a:xfrm>
        <a:prstGeom prst="ellipse">
          <a:avLst/>
        </a:prstGeom>
        <a:solidFill>
          <a:srgbClr val="315C92"/>
        </a:solidFill>
        <a:ln>
          <a:noFill/>
        </a:ln>
      </xdr:spPr>
      <xdr:txBody>
        <a:bodyPr vertOverflow="overflow" horzOverflow="overflow" wrap="none" lIns="0" tIns="0" rIns="0" bIns="0" rtlCol="0" anchor="ctr">
          <a:noAutofit/>
        </a:bodyPr>
        <a:lstStyle/>
        <a:p>
          <a:pPr algn="ctr"/>
          <a:r>
            <a:rPr lang="ja-JP" altLang="en-US" sz="800" b="1" dirty="0">
              <a:solidFill>
                <a:srgbClr val="FFFFFF"/>
              </a:solidFill>
              <a:latin typeface="Meiryo UI"/>
              <a:ea typeface="Meiryo UI"/>
              <a:cs typeface="Meiryo UI"/>
            </a:rPr>
            <a:t>2</a:t>
          </a:r>
          <a:endParaRPr lang="ja-JP" altLang="en-US" sz="800" dirty="0">
            <a:latin typeface="Meiryo UI"/>
            <a:ea typeface="Meiryo UI"/>
          </a:endParaRPr>
        </a:p>
      </xdr:txBody>
    </xdr:sp>
    <xdr:clientData/>
  </xdr:twoCellAnchor>
  <xdr:twoCellAnchor editAs="oneCell">
    <xdr:from>
      <xdr:col>29</xdr:col>
      <xdr:colOff>114300</xdr:colOff>
      <xdr:row>39</xdr:row>
      <xdr:rowOff>95250</xdr:rowOff>
    </xdr:from>
    <xdr:to>
      <xdr:col>31</xdr:col>
      <xdr:colOff>76200</xdr:colOff>
      <xdr:row>40</xdr:row>
      <xdr:rowOff>95250</xdr:rowOff>
    </xdr:to>
    <xdr:sp macro="" textlink="">
      <xdr:nvSpPr>
        <xdr:cNvPr id="7" name="作成の流れ: 矢印2">
          <a:extLst>
            <a:ext uri="{FF2B5EF4-FFF2-40B4-BE49-F238E27FC236}">
              <a16:creationId xmlns:a16="http://schemas.microsoft.com/office/drawing/2014/main" id="{00000000-0008-0000-0000-000007000000}"/>
            </a:ext>
          </a:extLst>
        </xdr:cNvPr>
        <xdr:cNvSpPr/>
      </xdr:nvSpPr>
      <xdr:spPr>
        <a:xfrm>
          <a:off x="5638800" y="7524750"/>
          <a:ext cx="342900" cy="190500"/>
        </a:xfrm>
        <a:prstGeom prst="rightArrow">
          <a:avLst>
            <a:gd name="adj1" fmla="val 50000"/>
            <a:gd name="adj2" fmla="val 50000"/>
          </a:avLst>
        </a:prstGeom>
        <a:solidFill>
          <a:srgbClr val="BFBFBF"/>
        </a:solidFill>
        <a:ln>
          <a:noFill/>
        </a:ln>
      </xdr:spPr>
      <xdr:txBody>
        <a:bodyPr vertOverflow="overflow" horzOverflow="overflow" wrap="square" lIns="38100" tIns="19050" rIns="38100" bIns="19050" rtlCol="0" anchor="ctr">
          <a:noAutofit/>
        </a:bodyPr>
        <a:lstStyle/>
        <a:p>
          <a:pPr algn="ctr"/>
          <a:endParaRPr lang="ja-JP" altLang="en-US" sz="600" dirty="0">
            <a:latin typeface="Meiryo UI"/>
            <a:ea typeface="Meiryo UI"/>
          </a:endParaRPr>
        </a:p>
      </xdr:txBody>
    </xdr:sp>
    <xdr:clientData/>
  </xdr:twoCellAnchor>
  <xdr:twoCellAnchor editAs="oneCell">
    <xdr:from>
      <xdr:col>32</xdr:col>
      <xdr:colOff>0</xdr:colOff>
      <xdr:row>38</xdr:row>
      <xdr:rowOff>0</xdr:rowOff>
    </xdr:from>
    <xdr:to>
      <xdr:col>44</xdr:col>
      <xdr:colOff>0</xdr:colOff>
      <xdr:row>42</xdr:row>
      <xdr:rowOff>0</xdr:rowOff>
    </xdr:to>
    <xdr:sp macro="" textlink="">
      <xdr:nvSpPr>
        <xdr:cNvPr id="8" name="作成の流れ: 3">
          <a:extLst>
            <a:ext uri="{FF2B5EF4-FFF2-40B4-BE49-F238E27FC236}">
              <a16:creationId xmlns:a16="http://schemas.microsoft.com/office/drawing/2014/main" id="{00000000-0008-0000-0000-000008000000}"/>
            </a:ext>
          </a:extLst>
        </xdr:cNvPr>
        <xdr:cNvSpPr/>
      </xdr:nvSpPr>
      <xdr:spPr>
        <a:xfrm>
          <a:off x="6096000" y="7239000"/>
          <a:ext cx="2286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FFFFFF"/>
        </a:solidFill>
        <a:ln w="12700" cap="flat">
          <a:solidFill>
            <a:srgbClr val="404040"/>
          </a:solidFill>
          <a:round/>
        </a:ln>
      </xdr:spPr>
      <xdr:txBody>
        <a:bodyPr vertOverflow="overflow" horzOverflow="overflow" wrap="square" lIns="50800" tIns="25400" rIns="50800" bIns="25400" rtlCol="0" anchor="ctr">
          <a:noAutofit/>
        </a:bodyPr>
        <a:lstStyle/>
        <a:p>
          <a:pPr algn="ctr"/>
          <a:r>
            <a:rPr lang="ja-JP" altLang="en-US" sz="1000" b="1" dirty="0">
              <a:solidFill>
                <a:srgbClr val="262626"/>
              </a:solidFill>
              <a:latin typeface="Meiryo UI"/>
              <a:ea typeface="Meiryo UI"/>
              <a:cs typeface="Meiryo UI"/>
            </a:rPr>
            <a:t>線を12点につなぐ</a:t>
          </a:r>
          <a:endParaRPr lang="ja-JP" altLang="en-US" sz="1000" dirty="0">
            <a:latin typeface="Meiryo UI"/>
            <a:ea typeface="Meiryo UI"/>
          </a:endParaRPr>
        </a:p>
        <a:p>
          <a:pPr algn="ctr">
            <a:spcBef>
              <a:spcPts val="100"/>
            </a:spcBef>
          </a:pPr>
          <a:r>
            <a:rPr lang="ja-JP" altLang="en-US" sz="750" b="0" dirty="0">
              <a:solidFill>
                <a:srgbClr val="595959"/>
              </a:solidFill>
              <a:latin typeface="Meiryo UI"/>
              <a:ea typeface="Meiryo UI"/>
              <a:cs typeface="Meiryo UI"/>
            </a:rPr>
            <a:t>端点を接続点に重ねる</a:t>
          </a:r>
          <a:endParaRPr lang="ja-JP" altLang="en-US" sz="750" dirty="0">
            <a:latin typeface="Meiryo UI"/>
            <a:ea typeface="Meiryo UI"/>
          </a:endParaRPr>
        </a:p>
        <a:p>
          <a:pPr algn="ctr">
            <a:spcBef>
              <a:spcPts val="100"/>
            </a:spcBef>
          </a:pPr>
          <a:r>
            <a:rPr lang="ja-JP" altLang="en-US" sz="750" b="0" dirty="0">
              <a:solidFill>
                <a:srgbClr val="595959"/>
              </a:solidFill>
              <a:latin typeface="Meiryo UI"/>
              <a:ea typeface="Meiryo UI"/>
              <a:cs typeface="Meiryo UI"/>
            </a:rPr>
            <a:t>図形を動かすと追従</a:t>
          </a:r>
          <a:endParaRPr lang="ja-JP" altLang="en-US" sz="750" dirty="0">
            <a:latin typeface="Meiryo UI"/>
            <a:ea typeface="Meiryo UI"/>
          </a:endParaRPr>
        </a:p>
      </xdr:txBody>
    </xdr:sp>
    <xdr:clientData/>
  </xdr:twoCellAnchor>
  <xdr:twoCellAnchor editAs="oneCell">
    <xdr:from>
      <xdr:col>31</xdr:col>
      <xdr:colOff>95250</xdr:colOff>
      <xdr:row>37</xdr:row>
      <xdr:rowOff>95250</xdr:rowOff>
    </xdr:from>
    <xdr:to>
      <xdr:col>32</xdr:col>
      <xdr:colOff>95250</xdr:colOff>
      <xdr:row>38</xdr:row>
      <xdr:rowOff>95250</xdr:rowOff>
    </xdr:to>
    <xdr:sp macro="" textlink="">
      <xdr:nvSpPr>
        <xdr:cNvPr id="9" name="作成の流れ: 番号3">
          <a:extLst>
            <a:ext uri="{FF2B5EF4-FFF2-40B4-BE49-F238E27FC236}">
              <a16:creationId xmlns:a16="http://schemas.microsoft.com/office/drawing/2014/main" id="{00000000-0008-0000-0000-000009000000}"/>
            </a:ext>
          </a:extLst>
        </xdr:cNvPr>
        <xdr:cNvSpPr/>
      </xdr:nvSpPr>
      <xdr:spPr>
        <a:xfrm>
          <a:off x="6000750" y="7143750"/>
          <a:ext cx="190500" cy="190500"/>
        </a:xfrm>
        <a:prstGeom prst="ellipse">
          <a:avLst/>
        </a:prstGeom>
        <a:solidFill>
          <a:srgbClr val="247966"/>
        </a:solidFill>
        <a:ln>
          <a:noFill/>
        </a:ln>
      </xdr:spPr>
      <xdr:txBody>
        <a:bodyPr vertOverflow="overflow" horzOverflow="overflow" wrap="none" lIns="0" tIns="0" rIns="0" bIns="0" rtlCol="0" anchor="ctr">
          <a:noAutofit/>
        </a:bodyPr>
        <a:lstStyle/>
        <a:p>
          <a:pPr algn="ctr"/>
          <a:r>
            <a:rPr lang="ja-JP" altLang="en-US" sz="800" b="1" dirty="0">
              <a:solidFill>
                <a:srgbClr val="FFFFFF"/>
              </a:solidFill>
              <a:latin typeface="Meiryo UI"/>
              <a:ea typeface="Meiryo UI"/>
              <a:cs typeface="Meiryo UI"/>
            </a:rPr>
            <a:t>3</a:t>
          </a:r>
          <a:endParaRPr lang="ja-JP" altLang="en-US" sz="800" dirty="0">
            <a:latin typeface="Meiryo UI"/>
            <a:ea typeface="Meiryo UI"/>
          </a:endParaRPr>
        </a:p>
      </xdr:txBody>
    </xdr:sp>
    <xdr:clientData/>
  </xdr:twoCellAnchor>
  <xdr:twoCellAnchor editAs="oneCell">
    <xdr:from>
      <xdr:col>44</xdr:col>
      <xdr:colOff>114300</xdr:colOff>
      <xdr:row>39</xdr:row>
      <xdr:rowOff>95250</xdr:rowOff>
    </xdr:from>
    <xdr:to>
      <xdr:col>46</xdr:col>
      <xdr:colOff>76200</xdr:colOff>
      <xdr:row>40</xdr:row>
      <xdr:rowOff>95250</xdr:rowOff>
    </xdr:to>
    <xdr:sp macro="" textlink="">
      <xdr:nvSpPr>
        <xdr:cNvPr id="10" name="作成の流れ: 矢印3">
          <a:extLst>
            <a:ext uri="{FF2B5EF4-FFF2-40B4-BE49-F238E27FC236}">
              <a16:creationId xmlns:a16="http://schemas.microsoft.com/office/drawing/2014/main" id="{00000000-0008-0000-0000-00000A000000}"/>
            </a:ext>
          </a:extLst>
        </xdr:cNvPr>
        <xdr:cNvSpPr/>
      </xdr:nvSpPr>
      <xdr:spPr>
        <a:xfrm>
          <a:off x="8496300" y="7524750"/>
          <a:ext cx="342900" cy="190500"/>
        </a:xfrm>
        <a:prstGeom prst="rightArrow">
          <a:avLst>
            <a:gd name="adj1" fmla="val 50000"/>
            <a:gd name="adj2" fmla="val 50000"/>
          </a:avLst>
        </a:prstGeom>
        <a:solidFill>
          <a:srgbClr val="BFBFBF"/>
        </a:solidFill>
        <a:ln>
          <a:noFill/>
        </a:ln>
      </xdr:spPr>
      <xdr:txBody>
        <a:bodyPr vertOverflow="overflow" horzOverflow="overflow" wrap="square" lIns="38100" tIns="19050" rIns="38100" bIns="19050" rtlCol="0" anchor="ctr">
          <a:noAutofit/>
        </a:bodyPr>
        <a:lstStyle/>
        <a:p>
          <a:pPr algn="ctr"/>
          <a:endParaRPr lang="ja-JP" altLang="en-US" sz="600" dirty="0">
            <a:latin typeface="Meiryo UI"/>
            <a:ea typeface="Meiryo UI"/>
          </a:endParaRPr>
        </a:p>
      </xdr:txBody>
    </xdr:sp>
    <xdr:clientData/>
  </xdr:twoCellAnchor>
  <xdr:twoCellAnchor editAs="oneCell">
    <xdr:from>
      <xdr:col>47</xdr:col>
      <xdr:colOff>0</xdr:colOff>
      <xdr:row>38</xdr:row>
      <xdr:rowOff>0</xdr:rowOff>
    </xdr:from>
    <xdr:to>
      <xdr:col>59</xdr:col>
      <xdr:colOff>0</xdr:colOff>
      <xdr:row>42</xdr:row>
      <xdr:rowOff>0</xdr:rowOff>
    </xdr:to>
    <xdr:sp macro="" textlink="">
      <xdr:nvSpPr>
        <xdr:cNvPr id="11" name="作成の流れ: 4">
          <a:extLst>
            <a:ext uri="{FF2B5EF4-FFF2-40B4-BE49-F238E27FC236}">
              <a16:creationId xmlns:a16="http://schemas.microsoft.com/office/drawing/2014/main" id="{00000000-0008-0000-0000-00000B000000}"/>
            </a:ext>
          </a:extLst>
        </xdr:cNvPr>
        <xdr:cNvSpPr/>
      </xdr:nvSpPr>
      <xdr:spPr>
        <a:xfrm>
          <a:off x="8953500" y="7239000"/>
          <a:ext cx="2286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FFFFFF"/>
        </a:solidFill>
        <a:ln w="12700" cap="flat">
          <a:solidFill>
            <a:srgbClr val="404040"/>
          </a:solidFill>
          <a:round/>
        </a:ln>
      </xdr:spPr>
      <xdr:txBody>
        <a:bodyPr vertOverflow="overflow" horzOverflow="overflow" wrap="square" lIns="50800" tIns="25400" rIns="50800" bIns="25400" rtlCol="0" anchor="ctr">
          <a:noAutofit/>
        </a:bodyPr>
        <a:lstStyle/>
        <a:p>
          <a:pPr algn="ctr"/>
          <a:r>
            <a:rPr lang="ja-JP" altLang="en-US" sz="1000" b="1" dirty="0">
              <a:solidFill>
                <a:srgbClr val="262626"/>
              </a:solidFill>
              <a:latin typeface="Meiryo UI"/>
              <a:ea typeface="Meiryo UI"/>
              <a:cs typeface="Meiryo UI"/>
            </a:rPr>
            <a:t>番号とコメント</a:t>
          </a:r>
          <a:endParaRPr lang="ja-JP" altLang="en-US" sz="1000" dirty="0">
            <a:latin typeface="Meiryo UI"/>
            <a:ea typeface="Meiryo UI"/>
          </a:endParaRPr>
        </a:p>
        <a:p>
          <a:pPr algn="ctr">
            <a:spcBef>
              <a:spcPts val="100"/>
            </a:spcBef>
          </a:pPr>
          <a:r>
            <a:rPr lang="ja-JP" altLang="en-US" sz="750" b="0" dirty="0">
              <a:solidFill>
                <a:srgbClr val="595959"/>
              </a:solidFill>
              <a:latin typeface="Meiryo UI"/>
              <a:ea typeface="Meiryo UI"/>
              <a:cs typeface="Meiryo UI"/>
            </a:rPr>
            <a:t>連携番号 A1・B1…</a:t>
          </a:r>
          <a:endParaRPr lang="ja-JP" altLang="en-US" sz="750" dirty="0">
            <a:latin typeface="Meiryo UI"/>
            <a:ea typeface="Meiryo UI"/>
          </a:endParaRPr>
        </a:p>
        <a:p>
          <a:pPr algn="ctr">
            <a:spcBef>
              <a:spcPts val="100"/>
            </a:spcBef>
          </a:pPr>
          <a:r>
            <a:rPr lang="ja-JP" altLang="en-US" sz="750" b="0" dirty="0">
              <a:solidFill>
                <a:srgbClr val="595959"/>
              </a:solidFill>
              <a:latin typeface="Meiryo UI"/>
              <a:ea typeface="Meiryo UI"/>
              <a:cs typeface="Meiryo UI"/>
            </a:rPr>
            <a:t>ポイント・付記</a:t>
          </a:r>
          <a:endParaRPr lang="ja-JP" altLang="en-US" sz="750" dirty="0">
            <a:latin typeface="Meiryo UI"/>
            <a:ea typeface="Meiryo UI"/>
          </a:endParaRPr>
        </a:p>
      </xdr:txBody>
    </xdr:sp>
    <xdr:clientData/>
  </xdr:twoCellAnchor>
  <xdr:twoCellAnchor editAs="oneCell">
    <xdr:from>
      <xdr:col>46</xdr:col>
      <xdr:colOff>95250</xdr:colOff>
      <xdr:row>37</xdr:row>
      <xdr:rowOff>95250</xdr:rowOff>
    </xdr:from>
    <xdr:to>
      <xdr:col>47</xdr:col>
      <xdr:colOff>95250</xdr:colOff>
      <xdr:row>38</xdr:row>
      <xdr:rowOff>95250</xdr:rowOff>
    </xdr:to>
    <xdr:sp macro="" textlink="">
      <xdr:nvSpPr>
        <xdr:cNvPr id="12" name="作成の流れ: 番号4">
          <a:extLst>
            <a:ext uri="{FF2B5EF4-FFF2-40B4-BE49-F238E27FC236}">
              <a16:creationId xmlns:a16="http://schemas.microsoft.com/office/drawing/2014/main" id="{00000000-0008-0000-0000-00000C000000}"/>
            </a:ext>
          </a:extLst>
        </xdr:cNvPr>
        <xdr:cNvSpPr/>
      </xdr:nvSpPr>
      <xdr:spPr>
        <a:xfrm>
          <a:off x="8858250" y="7143750"/>
          <a:ext cx="190500" cy="190500"/>
        </a:xfrm>
        <a:prstGeom prst="ellipse">
          <a:avLst/>
        </a:prstGeom>
        <a:solidFill>
          <a:srgbClr val="C46B39"/>
        </a:solidFill>
        <a:ln>
          <a:noFill/>
        </a:ln>
      </xdr:spPr>
      <xdr:txBody>
        <a:bodyPr vertOverflow="overflow" horzOverflow="overflow" wrap="none" lIns="0" tIns="0" rIns="0" bIns="0" rtlCol="0" anchor="ctr">
          <a:noAutofit/>
        </a:bodyPr>
        <a:lstStyle/>
        <a:p>
          <a:pPr algn="ctr"/>
          <a:r>
            <a:rPr lang="ja-JP" altLang="en-US" sz="800" b="1" dirty="0">
              <a:solidFill>
                <a:srgbClr val="FFFFFF"/>
              </a:solidFill>
              <a:latin typeface="Meiryo UI"/>
              <a:ea typeface="Meiryo UI"/>
              <a:cs typeface="Meiryo UI"/>
            </a:rPr>
            <a:t>4</a:t>
          </a:r>
          <a:endParaRPr lang="ja-JP" altLang="en-US" sz="800" dirty="0">
            <a:latin typeface="Meiryo UI"/>
            <a:ea typeface="Meiryo UI"/>
          </a:endParaRPr>
        </a:p>
      </xdr:txBody>
    </xdr:sp>
    <xdr:clientData/>
  </xdr:twoCellAnchor>
  <xdr:twoCellAnchor editAs="oneCell">
    <xdr:from>
      <xdr:col>59</xdr:col>
      <xdr:colOff>114300</xdr:colOff>
      <xdr:row>39</xdr:row>
      <xdr:rowOff>95250</xdr:rowOff>
    </xdr:from>
    <xdr:to>
      <xdr:col>61</xdr:col>
      <xdr:colOff>76200</xdr:colOff>
      <xdr:row>40</xdr:row>
      <xdr:rowOff>95250</xdr:rowOff>
    </xdr:to>
    <xdr:sp macro="" textlink="">
      <xdr:nvSpPr>
        <xdr:cNvPr id="13" name="作成の流れ: 矢印4">
          <a:extLst>
            <a:ext uri="{FF2B5EF4-FFF2-40B4-BE49-F238E27FC236}">
              <a16:creationId xmlns:a16="http://schemas.microsoft.com/office/drawing/2014/main" id="{00000000-0008-0000-0000-00000D000000}"/>
            </a:ext>
          </a:extLst>
        </xdr:cNvPr>
        <xdr:cNvSpPr/>
      </xdr:nvSpPr>
      <xdr:spPr>
        <a:xfrm>
          <a:off x="11353800" y="7524750"/>
          <a:ext cx="342900" cy="190500"/>
        </a:xfrm>
        <a:prstGeom prst="rightArrow">
          <a:avLst>
            <a:gd name="adj1" fmla="val 50000"/>
            <a:gd name="adj2" fmla="val 50000"/>
          </a:avLst>
        </a:prstGeom>
        <a:solidFill>
          <a:srgbClr val="BFBFBF"/>
        </a:solidFill>
        <a:ln>
          <a:noFill/>
        </a:ln>
      </xdr:spPr>
      <xdr:txBody>
        <a:bodyPr vertOverflow="overflow" horzOverflow="overflow" wrap="square" lIns="38100" tIns="19050" rIns="38100" bIns="19050" rtlCol="0" anchor="ctr">
          <a:noAutofit/>
        </a:bodyPr>
        <a:lstStyle/>
        <a:p>
          <a:pPr algn="ctr"/>
          <a:endParaRPr lang="ja-JP" altLang="en-US" sz="600" dirty="0">
            <a:latin typeface="Meiryo UI"/>
            <a:ea typeface="Meiryo UI"/>
          </a:endParaRPr>
        </a:p>
      </xdr:txBody>
    </xdr:sp>
    <xdr:clientData/>
  </xdr:twoCellAnchor>
  <xdr:twoCellAnchor editAs="oneCell">
    <xdr:from>
      <xdr:col>62</xdr:col>
      <xdr:colOff>0</xdr:colOff>
      <xdr:row>38</xdr:row>
      <xdr:rowOff>0</xdr:rowOff>
    </xdr:from>
    <xdr:to>
      <xdr:col>74</xdr:col>
      <xdr:colOff>0</xdr:colOff>
      <xdr:row>42</xdr:row>
      <xdr:rowOff>0</xdr:rowOff>
    </xdr:to>
    <xdr:sp macro="" textlink="">
      <xdr:nvSpPr>
        <xdr:cNvPr id="14" name="作成の流れ: 5">
          <a:extLst>
            <a:ext uri="{FF2B5EF4-FFF2-40B4-BE49-F238E27FC236}">
              <a16:creationId xmlns:a16="http://schemas.microsoft.com/office/drawing/2014/main" id="{00000000-0008-0000-0000-00000E000000}"/>
            </a:ext>
          </a:extLst>
        </xdr:cNvPr>
        <xdr:cNvSpPr/>
      </xdr:nvSpPr>
      <xdr:spPr>
        <a:xfrm>
          <a:off x="11811000" y="7239000"/>
          <a:ext cx="2286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FFFFFF"/>
        </a:solidFill>
        <a:ln w="12700" cap="flat">
          <a:solidFill>
            <a:srgbClr val="404040"/>
          </a:solidFill>
          <a:round/>
        </a:ln>
      </xdr:spPr>
      <xdr:txBody>
        <a:bodyPr vertOverflow="overflow" horzOverflow="overflow" wrap="square" lIns="50800" tIns="25400" rIns="50800" bIns="25400" rtlCol="0" anchor="ctr">
          <a:noAutofit/>
        </a:bodyPr>
        <a:lstStyle/>
        <a:p>
          <a:pPr algn="ctr"/>
          <a:r>
            <a:rPr lang="ja-JP" altLang="en-US" sz="1000" b="1" dirty="0">
              <a:solidFill>
                <a:srgbClr val="262626"/>
              </a:solidFill>
              <a:latin typeface="Meiryo UI"/>
              <a:ea typeface="Meiryo UI"/>
              <a:cs typeface="Meiryo UI"/>
            </a:rPr>
            <a:t>一覧に詳細・印刷</a:t>
          </a:r>
          <a:endParaRPr lang="ja-JP" altLang="en-US" sz="1000" dirty="0">
            <a:latin typeface="Meiryo UI"/>
            <a:ea typeface="Meiryo UI"/>
          </a:endParaRPr>
        </a:p>
        <a:p>
          <a:pPr algn="ctr">
            <a:spcBef>
              <a:spcPts val="100"/>
            </a:spcBef>
          </a:pPr>
          <a:r>
            <a:rPr lang="ja-JP" altLang="en-US" sz="750" b="0" dirty="0">
              <a:solidFill>
                <a:srgbClr val="595959"/>
              </a:solidFill>
              <a:latin typeface="Meiryo UI"/>
              <a:ea typeface="Meiryo UI"/>
              <a:cs typeface="Meiryo UI"/>
            </a:rPr>
            <a:t>連携一覧・構成要素一覧</a:t>
          </a:r>
          <a:endParaRPr lang="ja-JP" altLang="en-US" sz="750" dirty="0">
            <a:latin typeface="Meiryo UI"/>
            <a:ea typeface="Meiryo UI"/>
          </a:endParaRPr>
        </a:p>
        <a:p>
          <a:pPr algn="ctr">
            <a:spcBef>
              <a:spcPts val="100"/>
            </a:spcBef>
          </a:pPr>
          <a:r>
            <a:rPr lang="ja-JP" altLang="en-US" sz="750" b="0" dirty="0">
              <a:solidFill>
                <a:srgbClr val="595959"/>
              </a:solidFill>
              <a:latin typeface="Meiryo UI"/>
              <a:ea typeface="Meiryo UI"/>
              <a:cs typeface="Meiryo UI"/>
            </a:rPr>
            <a:t>A3横1ページ</a:t>
          </a:r>
          <a:endParaRPr lang="ja-JP" altLang="en-US" sz="750" dirty="0">
            <a:latin typeface="Meiryo UI"/>
            <a:ea typeface="Meiryo UI"/>
          </a:endParaRPr>
        </a:p>
      </xdr:txBody>
    </xdr:sp>
    <xdr:clientData/>
  </xdr:twoCellAnchor>
  <xdr:twoCellAnchor editAs="oneCell">
    <xdr:from>
      <xdr:col>61</xdr:col>
      <xdr:colOff>95250</xdr:colOff>
      <xdr:row>37</xdr:row>
      <xdr:rowOff>95250</xdr:rowOff>
    </xdr:from>
    <xdr:to>
      <xdr:col>62</xdr:col>
      <xdr:colOff>95250</xdr:colOff>
      <xdr:row>38</xdr:row>
      <xdr:rowOff>95250</xdr:rowOff>
    </xdr:to>
    <xdr:sp macro="" textlink="">
      <xdr:nvSpPr>
        <xdr:cNvPr id="15" name="作成の流れ: 番号5">
          <a:extLst>
            <a:ext uri="{FF2B5EF4-FFF2-40B4-BE49-F238E27FC236}">
              <a16:creationId xmlns:a16="http://schemas.microsoft.com/office/drawing/2014/main" id="{00000000-0008-0000-0000-00000F000000}"/>
            </a:ext>
          </a:extLst>
        </xdr:cNvPr>
        <xdr:cNvSpPr/>
      </xdr:nvSpPr>
      <xdr:spPr>
        <a:xfrm>
          <a:off x="11715750" y="7143750"/>
          <a:ext cx="190500" cy="190500"/>
        </a:xfrm>
        <a:prstGeom prst="ellipse">
          <a:avLst/>
        </a:prstGeom>
        <a:solidFill>
          <a:srgbClr val="404040"/>
        </a:solidFill>
        <a:ln>
          <a:noFill/>
        </a:ln>
      </xdr:spPr>
      <xdr:txBody>
        <a:bodyPr vertOverflow="overflow" horzOverflow="overflow" wrap="none" lIns="0" tIns="0" rIns="0" bIns="0" rtlCol="0" anchor="ctr">
          <a:noAutofit/>
        </a:bodyPr>
        <a:lstStyle/>
        <a:p>
          <a:pPr algn="ctr"/>
          <a:r>
            <a:rPr lang="ja-JP" altLang="en-US" sz="800" b="1" dirty="0">
              <a:solidFill>
                <a:srgbClr val="FFFFFF"/>
              </a:solidFill>
              <a:latin typeface="Meiryo UI"/>
              <a:ea typeface="Meiryo UI"/>
              <a:cs typeface="Meiryo UI"/>
            </a:rPr>
            <a:t>5</a:t>
          </a:r>
          <a:endParaRPr lang="ja-JP" altLang="en-US" sz="800" dirty="0">
            <a:latin typeface="Meiryo UI"/>
            <a:ea typeface="Meiryo UI"/>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6</xdr:row>
      <xdr:rowOff>0</xdr:rowOff>
    </xdr:from>
    <xdr:to>
      <xdr:col>19</xdr:col>
      <xdr:colOff>0</xdr:colOff>
      <xdr:row>12</xdr:row>
      <xdr:rowOff>0</xdr:rowOff>
    </xdr:to>
    <xdr:sp macro="" textlink="">
      <xdr:nvSpPr>
        <xdr:cNvPr id="2" name="特長1">
          <a:extLst>
            <a:ext uri="{FF2B5EF4-FFF2-40B4-BE49-F238E27FC236}">
              <a16:creationId xmlns:a16="http://schemas.microsoft.com/office/drawing/2014/main" id="{00000000-0008-0000-0100-000002000000}"/>
            </a:ext>
          </a:extLst>
        </xdr:cNvPr>
        <xdr:cNvSpPr/>
      </xdr:nvSpPr>
      <xdr:spPr>
        <a:xfrm>
          <a:off x="381000" y="1143000"/>
          <a:ext cx="3238500" cy="1143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F7F7F7"/>
        </a:solidFill>
        <a:ln w="9525" cap="flat">
          <a:solidFill>
            <a:srgbClr val="D9D9D9"/>
          </a:solidFill>
          <a:round/>
        </a:ln>
      </xdr:spPr>
      <xdr:txBody>
        <a:bodyPr vertOverflow="overflow" horzOverflow="overflow" wrap="square" lIns="101600" tIns="63500" rIns="76200" bIns="50800" rtlCol="0" anchor="t">
          <a:noAutofit/>
        </a:bodyPr>
        <a:lstStyle/>
        <a:p>
          <a:pPr algn="l"/>
          <a:r>
            <a:rPr lang="ja-JP" altLang="en-US" sz="1050" b="1" dirty="0">
              <a:solidFill>
                <a:srgbClr val="262626"/>
              </a:solidFill>
              <a:latin typeface="Meiryo UI"/>
              <a:ea typeface="Meiryo UI"/>
              <a:cs typeface="Meiryo UI"/>
            </a:rPr>
            <a:t>① 方眼に吸着</a:t>
          </a:r>
          <a:endParaRPr lang="ja-JP" altLang="en-US" sz="1050" dirty="0">
            <a:latin typeface="Meiryo UI"/>
            <a:ea typeface="Meiryo UI"/>
          </a:endParaRPr>
        </a:p>
        <a:p>
          <a:pPr algn="l">
            <a:spcBef>
              <a:spcPts val="150"/>
            </a:spcBef>
          </a:pPr>
          <a:r>
            <a:rPr lang="ja-JP" altLang="en-US" sz="800" b="0" dirty="0">
              <a:solidFill>
                <a:srgbClr val="404040"/>
              </a:solidFill>
              <a:latin typeface="Meiryo UI"/>
              <a:ea typeface="Meiryo UI"/>
              <a:cs typeface="Meiryo UI"/>
            </a:rPr>
            <a:t>1マス＝15pt（約5.3mm）の方眼紙。</a:t>
          </a:r>
          <a:endParaRPr lang="ja-JP" altLang="en-US" sz="800" dirty="0">
            <a:latin typeface="Meiryo UI"/>
            <a:ea typeface="Meiryo UI"/>
          </a:endParaRPr>
        </a:p>
        <a:p>
          <a:pPr algn="l"/>
          <a:r>
            <a:rPr lang="ja-JP" altLang="en-US" sz="800" b="0" dirty="0">
              <a:solidFill>
                <a:srgbClr val="404040"/>
              </a:solidFill>
              <a:latin typeface="Meiryo UI"/>
              <a:ea typeface="Meiryo UI"/>
              <a:cs typeface="Meiryo UI"/>
            </a:rPr>
            <a:t>図形は4マス単位で作成済み。</a:t>
          </a:r>
          <a:endParaRPr lang="ja-JP" altLang="en-US" sz="800" dirty="0">
            <a:latin typeface="Meiryo UI"/>
            <a:ea typeface="Meiryo UI"/>
          </a:endParaRPr>
        </a:p>
        <a:p>
          <a:pPr algn="l"/>
          <a:r>
            <a:rPr lang="ja-JP" altLang="en-US" sz="800" b="0" dirty="0">
              <a:solidFill>
                <a:srgbClr val="404040"/>
              </a:solidFill>
              <a:latin typeface="Meiryo UI"/>
              <a:ea typeface="Meiryo UI"/>
              <a:cs typeface="Meiryo UI"/>
            </a:rPr>
            <a:t>Alt＋ドラッグでマス目に吸着し、</a:t>
          </a:r>
          <a:endParaRPr lang="ja-JP" altLang="en-US" sz="800" dirty="0">
            <a:latin typeface="Meiryo UI"/>
            <a:ea typeface="Meiryo UI"/>
          </a:endParaRPr>
        </a:p>
        <a:p>
          <a:pPr algn="l"/>
          <a:r>
            <a:rPr lang="ja-JP" altLang="en-US" sz="800" b="0" dirty="0">
              <a:solidFill>
                <a:srgbClr val="404040"/>
              </a:solidFill>
              <a:latin typeface="Meiryo UI"/>
              <a:ea typeface="Meiryo UI"/>
              <a:cs typeface="Meiryo UI"/>
            </a:rPr>
            <a:t>縦横がきれいに揃います。</a:t>
          </a:r>
          <a:endParaRPr lang="ja-JP" altLang="en-US" sz="800" dirty="0">
            <a:latin typeface="Meiryo UI"/>
            <a:ea typeface="Meiryo UI"/>
          </a:endParaRPr>
        </a:p>
      </xdr:txBody>
    </xdr:sp>
    <xdr:clientData/>
  </xdr:twoCellAnchor>
  <xdr:twoCellAnchor editAs="oneCell">
    <xdr:from>
      <xdr:col>2</xdr:col>
      <xdr:colOff>0</xdr:colOff>
      <xdr:row>6</xdr:row>
      <xdr:rowOff>0</xdr:rowOff>
    </xdr:from>
    <xdr:to>
      <xdr:col>19</xdr:col>
      <xdr:colOff>0</xdr:colOff>
      <xdr:row>6</xdr:row>
      <xdr:rowOff>47625</xdr:rowOff>
    </xdr:to>
    <xdr:sp macro="" textlink="">
      <xdr:nvSpPr>
        <xdr:cNvPr id="3" name="特長1: 上線">
          <a:extLst>
            <a:ext uri="{FF2B5EF4-FFF2-40B4-BE49-F238E27FC236}">
              <a16:creationId xmlns:a16="http://schemas.microsoft.com/office/drawing/2014/main" id="{00000000-0008-0000-0100-000003000000}"/>
            </a:ext>
          </a:extLst>
        </xdr:cNvPr>
        <xdr:cNvSpPr/>
      </xdr:nvSpPr>
      <xdr:spPr>
        <a:xfrm>
          <a:off x="381000" y="1143000"/>
          <a:ext cx="3238500" cy="47625"/>
        </a:xfrm>
        <a:prstGeom prst="rect">
          <a:avLst/>
        </a:prstGeom>
        <a:solidFill>
          <a:srgbClr val="404040"/>
        </a:solidFill>
        <a:ln>
          <a:noFill/>
        </a:ln>
      </xdr:spPr>
      <xdr:txBody>
        <a:bodyPr vertOverflow="overflow" horzOverflow="overflow" wrap="square" lIns="38100" tIns="19050" rIns="38100" bIns="19050" rtlCol="0" anchor="ctr">
          <a:noAutofit/>
        </a:bodyPr>
        <a:lstStyle/>
        <a:p>
          <a:pPr algn="l"/>
          <a:endParaRPr lang="ja-JP" altLang="en-US" sz="500" dirty="0">
            <a:latin typeface="Meiryo UI"/>
            <a:ea typeface="Meiryo UI"/>
          </a:endParaRPr>
        </a:p>
      </xdr:txBody>
    </xdr:sp>
    <xdr:clientData/>
  </xdr:twoCellAnchor>
  <xdr:twoCellAnchor editAs="oneCell">
    <xdr:from>
      <xdr:col>20</xdr:col>
      <xdr:colOff>47625</xdr:colOff>
      <xdr:row>6</xdr:row>
      <xdr:rowOff>0</xdr:rowOff>
    </xdr:from>
    <xdr:to>
      <xdr:col>37</xdr:col>
      <xdr:colOff>47625</xdr:colOff>
      <xdr:row>12</xdr:row>
      <xdr:rowOff>0</xdr:rowOff>
    </xdr:to>
    <xdr:sp macro="" textlink="">
      <xdr:nvSpPr>
        <xdr:cNvPr id="4" name="特長2">
          <a:extLst>
            <a:ext uri="{FF2B5EF4-FFF2-40B4-BE49-F238E27FC236}">
              <a16:creationId xmlns:a16="http://schemas.microsoft.com/office/drawing/2014/main" id="{00000000-0008-0000-0100-000004000000}"/>
            </a:ext>
          </a:extLst>
        </xdr:cNvPr>
        <xdr:cNvSpPr/>
      </xdr:nvSpPr>
      <xdr:spPr>
        <a:xfrm>
          <a:off x="3857625" y="1143000"/>
          <a:ext cx="3238500" cy="1143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F3F8FF"/>
        </a:solidFill>
        <a:ln w="9525" cap="flat">
          <a:solidFill>
            <a:srgbClr val="BCD3F2"/>
          </a:solidFill>
          <a:round/>
        </a:ln>
      </xdr:spPr>
      <xdr:txBody>
        <a:bodyPr vertOverflow="overflow" horzOverflow="overflow" wrap="square" lIns="101600" tIns="63500" rIns="76200" bIns="50800" rtlCol="0" anchor="t">
          <a:noAutofit/>
        </a:bodyPr>
        <a:lstStyle/>
        <a:p>
          <a:pPr algn="l"/>
          <a:r>
            <a:rPr lang="ja-JP" altLang="en-US" sz="1050" b="1" dirty="0">
              <a:solidFill>
                <a:srgbClr val="113866"/>
              </a:solidFill>
              <a:latin typeface="Meiryo UI"/>
              <a:ea typeface="Meiryo UI"/>
              <a:cs typeface="Meiryo UI"/>
            </a:rPr>
            <a:t>② 12か所で接続</a:t>
          </a:r>
          <a:endParaRPr lang="ja-JP" altLang="en-US" sz="1050" dirty="0">
            <a:latin typeface="Meiryo UI"/>
            <a:ea typeface="Meiryo UI"/>
          </a:endParaRPr>
        </a:p>
        <a:p>
          <a:pPr algn="l">
            <a:spcBef>
              <a:spcPts val="150"/>
            </a:spcBef>
          </a:pPr>
          <a:r>
            <a:rPr lang="ja-JP" altLang="en-US" sz="800" b="0" dirty="0">
              <a:solidFill>
                <a:srgbClr val="404040"/>
              </a:solidFill>
              <a:latin typeface="Meiryo UI"/>
              <a:ea typeface="Meiryo UI"/>
              <a:cs typeface="Meiryo UI"/>
            </a:rPr>
            <a:t>四角も円も円柱も、各辺3点・計12か所</a:t>
          </a:r>
          <a:endParaRPr lang="ja-JP" altLang="en-US" sz="800" dirty="0">
            <a:latin typeface="Meiryo UI"/>
            <a:ea typeface="Meiryo UI"/>
          </a:endParaRPr>
        </a:p>
        <a:p>
          <a:pPr algn="l"/>
          <a:r>
            <a:rPr lang="ja-JP" altLang="en-US" sz="800" b="0" dirty="0">
              <a:solidFill>
                <a:srgbClr val="404040"/>
              </a:solidFill>
              <a:latin typeface="Meiryo UI"/>
              <a:ea typeface="Meiryo UI"/>
              <a:cs typeface="Meiryo UI"/>
            </a:rPr>
            <a:t>（時計の文字盤と同じ位置）。</a:t>
          </a:r>
          <a:endParaRPr lang="ja-JP" altLang="en-US" sz="800" dirty="0">
            <a:latin typeface="Meiryo UI"/>
            <a:ea typeface="Meiryo UI"/>
          </a:endParaRPr>
        </a:p>
        <a:p>
          <a:pPr algn="l"/>
          <a:r>
            <a:rPr lang="ja-JP" altLang="en-US" sz="800" b="0" dirty="0">
              <a:solidFill>
                <a:srgbClr val="404040"/>
              </a:solidFill>
              <a:latin typeface="Meiryo UI"/>
              <a:ea typeface="Meiryo UI"/>
              <a:cs typeface="Meiryo UI"/>
            </a:rPr>
            <a:t>1つの図形に複数の線を</a:t>
          </a:r>
          <a:endParaRPr lang="ja-JP" altLang="en-US" sz="800" dirty="0">
            <a:latin typeface="Meiryo UI"/>
            <a:ea typeface="Meiryo UI"/>
          </a:endParaRPr>
        </a:p>
        <a:p>
          <a:pPr algn="l"/>
          <a:r>
            <a:rPr lang="ja-JP" altLang="en-US" sz="800" b="0" dirty="0">
              <a:solidFill>
                <a:srgbClr val="404040"/>
              </a:solidFill>
              <a:latin typeface="Meiryo UI"/>
              <a:ea typeface="Meiryo UI"/>
              <a:cs typeface="Meiryo UI"/>
            </a:rPr>
            <a:t>重ならずにつなげます。</a:t>
          </a:r>
          <a:endParaRPr lang="ja-JP" altLang="en-US" sz="800" dirty="0">
            <a:latin typeface="Meiryo UI"/>
            <a:ea typeface="Meiryo UI"/>
          </a:endParaRPr>
        </a:p>
      </xdr:txBody>
    </xdr:sp>
    <xdr:clientData/>
  </xdr:twoCellAnchor>
  <xdr:twoCellAnchor editAs="oneCell">
    <xdr:from>
      <xdr:col>20</xdr:col>
      <xdr:colOff>47625</xdr:colOff>
      <xdr:row>6</xdr:row>
      <xdr:rowOff>0</xdr:rowOff>
    </xdr:from>
    <xdr:to>
      <xdr:col>37</xdr:col>
      <xdr:colOff>47625</xdr:colOff>
      <xdr:row>6</xdr:row>
      <xdr:rowOff>47625</xdr:rowOff>
    </xdr:to>
    <xdr:sp macro="" textlink="">
      <xdr:nvSpPr>
        <xdr:cNvPr id="5" name="特長2: 上線">
          <a:extLst>
            <a:ext uri="{FF2B5EF4-FFF2-40B4-BE49-F238E27FC236}">
              <a16:creationId xmlns:a16="http://schemas.microsoft.com/office/drawing/2014/main" id="{00000000-0008-0000-0100-000005000000}"/>
            </a:ext>
          </a:extLst>
        </xdr:cNvPr>
        <xdr:cNvSpPr/>
      </xdr:nvSpPr>
      <xdr:spPr>
        <a:xfrm>
          <a:off x="3857625" y="1143000"/>
          <a:ext cx="3238500" cy="47625"/>
        </a:xfrm>
        <a:prstGeom prst="rect">
          <a:avLst/>
        </a:prstGeom>
        <a:solidFill>
          <a:srgbClr val="315C92"/>
        </a:solidFill>
        <a:ln>
          <a:noFill/>
        </a:ln>
      </xdr:spPr>
      <xdr:txBody>
        <a:bodyPr vertOverflow="overflow" horzOverflow="overflow" wrap="square" lIns="38100" tIns="19050" rIns="38100" bIns="19050" rtlCol="0" anchor="ctr">
          <a:noAutofit/>
        </a:bodyPr>
        <a:lstStyle/>
        <a:p>
          <a:pPr algn="l"/>
          <a:endParaRPr lang="ja-JP" altLang="en-US" sz="500" dirty="0">
            <a:latin typeface="Meiryo UI"/>
            <a:ea typeface="Meiryo UI"/>
          </a:endParaRPr>
        </a:p>
      </xdr:txBody>
    </xdr:sp>
    <xdr:clientData/>
  </xdr:twoCellAnchor>
  <xdr:twoCellAnchor editAs="oneCell">
    <xdr:from>
      <xdr:col>38</xdr:col>
      <xdr:colOff>95250</xdr:colOff>
      <xdr:row>6</xdr:row>
      <xdr:rowOff>0</xdr:rowOff>
    </xdr:from>
    <xdr:to>
      <xdr:col>55</xdr:col>
      <xdr:colOff>95250</xdr:colOff>
      <xdr:row>12</xdr:row>
      <xdr:rowOff>0</xdr:rowOff>
    </xdr:to>
    <xdr:sp macro="" textlink="">
      <xdr:nvSpPr>
        <xdr:cNvPr id="6" name="特長3">
          <a:extLst>
            <a:ext uri="{FF2B5EF4-FFF2-40B4-BE49-F238E27FC236}">
              <a16:creationId xmlns:a16="http://schemas.microsoft.com/office/drawing/2014/main" id="{00000000-0008-0000-0100-000006000000}"/>
            </a:ext>
          </a:extLst>
        </xdr:cNvPr>
        <xdr:cNvSpPr/>
      </xdr:nvSpPr>
      <xdr:spPr>
        <a:xfrm>
          <a:off x="7334250" y="1143000"/>
          <a:ext cx="3238500" cy="1143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F1FAF7"/>
        </a:solidFill>
        <a:ln w="9525" cap="flat">
          <a:solidFill>
            <a:srgbClr val="B0DCCF"/>
          </a:solidFill>
          <a:round/>
        </a:ln>
      </xdr:spPr>
      <xdr:txBody>
        <a:bodyPr vertOverflow="overflow" horzOverflow="overflow" wrap="square" lIns="101600" tIns="63500" rIns="76200" bIns="50800" rtlCol="0" anchor="t">
          <a:noAutofit/>
        </a:bodyPr>
        <a:lstStyle/>
        <a:p>
          <a:pPr algn="l"/>
          <a:r>
            <a:rPr lang="ja-JP" altLang="en-US" sz="1050" b="1" dirty="0">
              <a:solidFill>
                <a:srgbClr val="005243"/>
              </a:solidFill>
              <a:latin typeface="Meiryo UI"/>
              <a:ea typeface="Meiryo UI"/>
              <a:cs typeface="Meiryo UI"/>
            </a:rPr>
            <a:t>③ 3色でルート分け</a:t>
          </a:r>
          <a:endParaRPr lang="ja-JP" altLang="en-US" sz="1050" dirty="0">
            <a:latin typeface="Meiryo UI"/>
            <a:ea typeface="Meiryo UI"/>
          </a:endParaRPr>
        </a:p>
        <a:p>
          <a:pPr algn="l">
            <a:spcBef>
              <a:spcPts val="150"/>
            </a:spcBef>
          </a:pPr>
          <a:r>
            <a:rPr lang="ja-JP" altLang="en-US" sz="800" b="0" dirty="0">
              <a:solidFill>
                <a:srgbClr val="404040"/>
              </a:solidFill>
              <a:latin typeface="Meiryo UI"/>
              <a:ea typeface="Meiryo UI"/>
              <a:cs typeface="Meiryo UI"/>
            </a:rPr>
            <a:t>モノトーンを基本に、接続経路ごとに</a:t>
          </a:r>
          <a:endParaRPr lang="ja-JP" altLang="en-US" sz="800" dirty="0">
            <a:latin typeface="Meiryo UI"/>
            <a:ea typeface="Meiryo UI"/>
          </a:endParaRPr>
        </a:p>
        <a:p>
          <a:pPr algn="l"/>
          <a:r>
            <a:rPr lang="ja-JP" altLang="en-US" sz="800" b="0" dirty="0">
              <a:solidFill>
                <a:srgbClr val="404040"/>
              </a:solidFill>
              <a:latin typeface="Meiryo UI"/>
              <a:ea typeface="Meiryo UI"/>
              <a:cs typeface="Meiryo UI"/>
            </a:rPr>
            <a:t>藍・青緑・橙の3色で</a:t>
          </a:r>
          <a:endParaRPr lang="ja-JP" altLang="en-US" sz="800" dirty="0">
            <a:latin typeface="Meiryo UI"/>
            <a:ea typeface="Meiryo UI"/>
          </a:endParaRPr>
        </a:p>
        <a:p>
          <a:pPr algn="l"/>
          <a:r>
            <a:rPr lang="ja-JP" altLang="en-US" sz="800" b="0" dirty="0">
              <a:solidFill>
                <a:srgbClr val="404040"/>
              </a:solidFill>
              <a:latin typeface="Meiryo UI"/>
              <a:ea typeface="Meiryo UI"/>
              <a:cs typeface="Meiryo UI"/>
            </a:rPr>
            <a:t>図形・線・コメントを色分け。</a:t>
          </a:r>
          <a:endParaRPr lang="ja-JP" altLang="en-US" sz="800" dirty="0">
            <a:latin typeface="Meiryo UI"/>
            <a:ea typeface="Meiryo UI"/>
          </a:endParaRPr>
        </a:p>
        <a:p>
          <a:pPr algn="l"/>
          <a:r>
            <a:rPr lang="ja-JP" altLang="en-US" sz="800" b="0" dirty="0">
              <a:solidFill>
                <a:srgbClr val="404040"/>
              </a:solidFill>
              <a:latin typeface="Meiryo UI"/>
              <a:ea typeface="Meiryo UI"/>
              <a:cs typeface="Meiryo UI"/>
            </a:rPr>
            <a:t>データの流れが一目で分かります。</a:t>
          </a:r>
          <a:endParaRPr lang="ja-JP" altLang="en-US" sz="800" dirty="0">
            <a:latin typeface="Meiryo UI"/>
            <a:ea typeface="Meiryo UI"/>
          </a:endParaRPr>
        </a:p>
      </xdr:txBody>
    </xdr:sp>
    <xdr:clientData/>
  </xdr:twoCellAnchor>
  <xdr:twoCellAnchor editAs="oneCell">
    <xdr:from>
      <xdr:col>38</xdr:col>
      <xdr:colOff>95250</xdr:colOff>
      <xdr:row>6</xdr:row>
      <xdr:rowOff>0</xdr:rowOff>
    </xdr:from>
    <xdr:to>
      <xdr:col>55</xdr:col>
      <xdr:colOff>95250</xdr:colOff>
      <xdr:row>6</xdr:row>
      <xdr:rowOff>47625</xdr:rowOff>
    </xdr:to>
    <xdr:sp macro="" textlink="">
      <xdr:nvSpPr>
        <xdr:cNvPr id="7" name="特長3: 上線">
          <a:extLst>
            <a:ext uri="{FF2B5EF4-FFF2-40B4-BE49-F238E27FC236}">
              <a16:creationId xmlns:a16="http://schemas.microsoft.com/office/drawing/2014/main" id="{00000000-0008-0000-0100-000007000000}"/>
            </a:ext>
          </a:extLst>
        </xdr:cNvPr>
        <xdr:cNvSpPr/>
      </xdr:nvSpPr>
      <xdr:spPr>
        <a:xfrm>
          <a:off x="7334250" y="1143000"/>
          <a:ext cx="3238500" cy="47625"/>
        </a:xfrm>
        <a:prstGeom prst="rect">
          <a:avLst/>
        </a:prstGeom>
        <a:solidFill>
          <a:srgbClr val="247966"/>
        </a:solidFill>
        <a:ln>
          <a:noFill/>
        </a:ln>
      </xdr:spPr>
      <xdr:txBody>
        <a:bodyPr vertOverflow="overflow" horzOverflow="overflow" wrap="square" lIns="38100" tIns="19050" rIns="38100" bIns="19050" rtlCol="0" anchor="ctr">
          <a:noAutofit/>
        </a:bodyPr>
        <a:lstStyle/>
        <a:p>
          <a:pPr algn="l"/>
          <a:endParaRPr lang="ja-JP" altLang="en-US" sz="500" dirty="0">
            <a:latin typeface="Meiryo UI"/>
            <a:ea typeface="Meiryo UI"/>
          </a:endParaRPr>
        </a:p>
      </xdr:txBody>
    </xdr:sp>
    <xdr:clientData/>
  </xdr:twoCellAnchor>
  <xdr:twoCellAnchor editAs="oneCell">
    <xdr:from>
      <xdr:col>56</xdr:col>
      <xdr:colOff>142875</xdr:colOff>
      <xdr:row>6</xdr:row>
      <xdr:rowOff>0</xdr:rowOff>
    </xdr:from>
    <xdr:to>
      <xdr:col>73</xdr:col>
      <xdr:colOff>142875</xdr:colOff>
      <xdr:row>12</xdr:row>
      <xdr:rowOff>0</xdr:rowOff>
    </xdr:to>
    <xdr:sp macro="" textlink="">
      <xdr:nvSpPr>
        <xdr:cNvPr id="8" name="特長4">
          <a:extLst>
            <a:ext uri="{FF2B5EF4-FFF2-40B4-BE49-F238E27FC236}">
              <a16:creationId xmlns:a16="http://schemas.microsoft.com/office/drawing/2014/main" id="{00000000-0008-0000-0100-000008000000}"/>
            </a:ext>
          </a:extLst>
        </xdr:cNvPr>
        <xdr:cNvSpPr/>
      </xdr:nvSpPr>
      <xdr:spPr>
        <a:xfrm>
          <a:off x="10810875" y="1143000"/>
          <a:ext cx="3238500" cy="1143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FEF6F2"/>
        </a:solidFill>
        <a:ln w="9525" cap="flat">
          <a:solidFill>
            <a:srgbClr val="EEC8B5"/>
          </a:solidFill>
          <a:round/>
        </a:ln>
      </xdr:spPr>
      <xdr:txBody>
        <a:bodyPr vertOverflow="overflow" horzOverflow="overflow" wrap="square" lIns="101600" tIns="63500" rIns="76200" bIns="50800" rtlCol="0" anchor="t">
          <a:noAutofit/>
        </a:bodyPr>
        <a:lstStyle/>
        <a:p>
          <a:pPr algn="l"/>
          <a:r>
            <a:rPr lang="ja-JP" altLang="en-US" sz="1050" b="1" dirty="0">
              <a:solidFill>
                <a:srgbClr val="954717"/>
              </a:solidFill>
              <a:latin typeface="Meiryo UI"/>
              <a:ea typeface="Meiryo UI"/>
              <a:cs typeface="Meiryo UI"/>
            </a:rPr>
            <a:t>④ ポイント・付記</a:t>
          </a:r>
          <a:endParaRPr lang="ja-JP" altLang="en-US" sz="1050" dirty="0">
            <a:latin typeface="Meiryo UI"/>
            <a:ea typeface="Meiryo UI"/>
          </a:endParaRPr>
        </a:p>
        <a:p>
          <a:pPr algn="l">
            <a:spcBef>
              <a:spcPts val="150"/>
            </a:spcBef>
          </a:pPr>
          <a:r>
            <a:rPr lang="ja-JP" altLang="en-US" sz="800" b="0" dirty="0">
              <a:solidFill>
                <a:srgbClr val="404040"/>
              </a:solidFill>
              <a:latin typeface="Meiryo UI"/>
              <a:ea typeface="Meiryo UI"/>
              <a:cs typeface="Meiryo UI"/>
            </a:rPr>
            <a:t>ポイント・付記・吹き出し・付箋を</a:t>
          </a:r>
          <a:endParaRPr lang="ja-JP" altLang="en-US" sz="800" dirty="0">
            <a:latin typeface="Meiryo UI"/>
            <a:ea typeface="Meiryo UI"/>
          </a:endParaRPr>
        </a:p>
        <a:p>
          <a:pPr algn="l"/>
          <a:r>
            <a:rPr lang="ja-JP" altLang="en-US" sz="800" b="0" dirty="0">
              <a:solidFill>
                <a:srgbClr val="404040"/>
              </a:solidFill>
              <a:latin typeface="Meiryo UI"/>
              <a:ea typeface="Meiryo UI"/>
              <a:cs typeface="Meiryo UI"/>
            </a:rPr>
            <a:t>ルートの色で用意。</a:t>
          </a:r>
          <a:endParaRPr lang="ja-JP" altLang="en-US" sz="800" dirty="0">
            <a:latin typeface="Meiryo UI"/>
            <a:ea typeface="Meiryo UI"/>
          </a:endParaRPr>
        </a:p>
        <a:p>
          <a:pPr algn="l"/>
          <a:r>
            <a:rPr lang="ja-JP" altLang="en-US" sz="800" b="0" dirty="0">
              <a:solidFill>
                <a:srgbClr val="404040"/>
              </a:solidFill>
              <a:latin typeface="Meiryo UI"/>
              <a:ea typeface="Meiryo UI"/>
              <a:cs typeface="Meiryo UI"/>
            </a:rPr>
            <a:t>設計の要点や注意点を</a:t>
          </a:r>
          <a:endParaRPr lang="ja-JP" altLang="en-US" sz="800" dirty="0">
            <a:latin typeface="Meiryo UI"/>
            <a:ea typeface="Meiryo UI"/>
          </a:endParaRPr>
        </a:p>
        <a:p>
          <a:pPr algn="l"/>
          <a:r>
            <a:rPr lang="ja-JP" altLang="en-US" sz="800" b="0" dirty="0">
              <a:solidFill>
                <a:srgbClr val="404040"/>
              </a:solidFill>
              <a:latin typeface="Meiryo UI"/>
              <a:ea typeface="Meiryo UI"/>
              <a:cs typeface="Meiryo UI"/>
            </a:rPr>
            <a:t>図の上に美しく書き込めます。</a:t>
          </a:r>
          <a:endParaRPr lang="ja-JP" altLang="en-US" sz="800" dirty="0">
            <a:latin typeface="Meiryo UI"/>
            <a:ea typeface="Meiryo UI"/>
          </a:endParaRPr>
        </a:p>
      </xdr:txBody>
    </xdr:sp>
    <xdr:clientData/>
  </xdr:twoCellAnchor>
  <xdr:twoCellAnchor editAs="oneCell">
    <xdr:from>
      <xdr:col>56</xdr:col>
      <xdr:colOff>142875</xdr:colOff>
      <xdr:row>6</xdr:row>
      <xdr:rowOff>0</xdr:rowOff>
    </xdr:from>
    <xdr:to>
      <xdr:col>73</xdr:col>
      <xdr:colOff>142875</xdr:colOff>
      <xdr:row>6</xdr:row>
      <xdr:rowOff>47625</xdr:rowOff>
    </xdr:to>
    <xdr:sp macro="" textlink="">
      <xdr:nvSpPr>
        <xdr:cNvPr id="9" name="特長4: 上線">
          <a:extLst>
            <a:ext uri="{FF2B5EF4-FFF2-40B4-BE49-F238E27FC236}">
              <a16:creationId xmlns:a16="http://schemas.microsoft.com/office/drawing/2014/main" id="{00000000-0008-0000-0100-000009000000}"/>
            </a:ext>
          </a:extLst>
        </xdr:cNvPr>
        <xdr:cNvSpPr/>
      </xdr:nvSpPr>
      <xdr:spPr>
        <a:xfrm>
          <a:off x="10810875" y="1143000"/>
          <a:ext cx="3238500" cy="47625"/>
        </a:xfrm>
        <a:prstGeom prst="rect">
          <a:avLst/>
        </a:prstGeom>
        <a:solidFill>
          <a:srgbClr val="C46B39"/>
        </a:solidFill>
        <a:ln>
          <a:noFill/>
        </a:ln>
      </xdr:spPr>
      <xdr:txBody>
        <a:bodyPr vertOverflow="overflow" horzOverflow="overflow" wrap="square" lIns="38100" tIns="19050" rIns="38100" bIns="19050" rtlCol="0" anchor="ctr">
          <a:noAutofit/>
        </a:bodyPr>
        <a:lstStyle/>
        <a:p>
          <a:pPr algn="l"/>
          <a:endParaRPr lang="ja-JP" altLang="en-US" sz="500" dirty="0">
            <a:latin typeface="Meiryo UI"/>
            <a:ea typeface="Meiryo UI"/>
          </a:endParaRPr>
        </a:p>
      </xdr:txBody>
    </xdr:sp>
    <xdr:clientData/>
  </xdr:twoCellAnchor>
  <xdr:twoCellAnchor editAs="oneCell">
    <xdr:from>
      <xdr:col>6</xdr:col>
      <xdr:colOff>0</xdr:colOff>
      <xdr:row>51</xdr:row>
      <xdr:rowOff>0</xdr:rowOff>
    </xdr:from>
    <xdr:to>
      <xdr:col>22</xdr:col>
      <xdr:colOff>0</xdr:colOff>
      <xdr:row>59</xdr:row>
      <xdr:rowOff>0</xdr:rowOff>
    </xdr:to>
    <xdr:sp macro="" textlink="">
      <xdr:nvSpPr>
        <xdr:cNvPr id="10" name="使い方: 接続点の見本">
          <a:extLst>
            <a:ext uri="{FF2B5EF4-FFF2-40B4-BE49-F238E27FC236}">
              <a16:creationId xmlns:a16="http://schemas.microsoft.com/office/drawing/2014/main" id="{00000000-0008-0000-0100-00000A000000}"/>
            </a:ext>
          </a:extLst>
        </xdr:cNvPr>
        <xdr:cNvSpPr/>
      </xdr:nvSpPr>
      <xdr:spPr>
        <a:xfrm>
          <a:off x="1143000" y="9715500"/>
          <a:ext cx="3048000" cy="1524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FFFFFF"/>
        </a:solidFill>
        <a:ln w="12700" cap="flat">
          <a:solidFill>
            <a:srgbClr val="404040"/>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262626"/>
              </a:solidFill>
              <a:latin typeface="Meiryo UI"/>
              <a:ea typeface="Meiryo UI"/>
              <a:cs typeface="Meiryo UI"/>
            </a:rPr>
            <a:t>ノード（16×8マス）</a:t>
          </a:r>
          <a:endParaRPr lang="ja-JP" altLang="en-US" sz="950" dirty="0">
            <a:latin typeface="Meiryo UI"/>
            <a:ea typeface="Meiryo UI"/>
          </a:endParaRPr>
        </a:p>
        <a:p>
          <a:pPr algn="ctr">
            <a:lnSpc>
              <a:spcPct val="95000"/>
            </a:lnSpc>
            <a:spcBef>
              <a:spcPts val="50"/>
            </a:spcBef>
          </a:pPr>
          <a:r>
            <a:rPr lang="ja-JP" altLang="en-US" sz="750" b="0" dirty="0">
              <a:solidFill>
                <a:srgbClr val="595959"/>
              </a:solidFill>
              <a:latin typeface="Meiryo UI"/>
              <a:ea typeface="Meiryo UI"/>
              <a:cs typeface="Meiryo UI"/>
            </a:rPr>
            <a:t>各辺を4等分した3点ずつ＝12か所</a:t>
          </a:r>
          <a:endParaRPr lang="ja-JP" altLang="en-US" sz="750" dirty="0">
            <a:latin typeface="Meiryo UI"/>
            <a:ea typeface="Meiryo UI"/>
          </a:endParaRPr>
        </a:p>
      </xdr:txBody>
    </xdr:sp>
    <xdr:clientData/>
  </xdr:twoCellAnchor>
  <xdr:twoCellAnchor editAs="oneCell">
    <xdr:from>
      <xdr:col>13</xdr:col>
      <xdr:colOff>142875</xdr:colOff>
      <xdr:row>50</xdr:row>
      <xdr:rowOff>142875</xdr:rowOff>
    </xdr:from>
    <xdr:to>
      <xdr:col>14</xdr:col>
      <xdr:colOff>47625</xdr:colOff>
      <xdr:row>51</xdr:row>
      <xdr:rowOff>47625</xdr:rowOff>
    </xdr:to>
    <xdr:sp macro="" textlink="">
      <xdr:nvSpPr>
        <xdr:cNvPr id="11" name="使い方: 接続点0">
          <a:extLst>
            <a:ext uri="{FF2B5EF4-FFF2-40B4-BE49-F238E27FC236}">
              <a16:creationId xmlns:a16="http://schemas.microsoft.com/office/drawing/2014/main" id="{00000000-0008-0000-0100-00000B000000}"/>
            </a:ext>
          </a:extLst>
        </xdr:cNvPr>
        <xdr:cNvSpPr/>
      </xdr:nvSpPr>
      <xdr:spPr>
        <a:xfrm>
          <a:off x="2619375" y="9667875"/>
          <a:ext cx="95250" cy="95250"/>
        </a:xfrm>
        <a:prstGeom prst="ellipse">
          <a:avLst/>
        </a:prstGeom>
        <a:solidFill>
          <a:srgbClr val="7F7F7F"/>
        </a:solidFill>
        <a:ln w="6350" cap="flat">
          <a:solidFill>
            <a:srgbClr val="FFFFFF"/>
          </a:solidFill>
          <a:round/>
        </a:ln>
      </xdr:spPr>
      <xdr:txBody>
        <a:bodyPr vertOverflow="overflow" horzOverflow="overflow" wrap="square" lIns="38100" tIns="19050" rIns="38100" bIns="19050" rtlCol="0" anchor="ctr">
          <a:noAutofit/>
        </a:bodyPr>
        <a:lstStyle/>
        <a:p>
          <a:pPr algn="ctr"/>
          <a:endParaRPr lang="ja-JP" altLang="en-US" sz="500" dirty="0">
            <a:latin typeface="Meiryo UI"/>
            <a:ea typeface="Meiryo UI"/>
          </a:endParaRPr>
        </a:p>
      </xdr:txBody>
    </xdr:sp>
    <xdr:clientData/>
  </xdr:twoCellAnchor>
  <xdr:twoCellAnchor editAs="oneCell">
    <xdr:from>
      <xdr:col>13</xdr:col>
      <xdr:colOff>0</xdr:colOff>
      <xdr:row>49</xdr:row>
      <xdr:rowOff>95250</xdr:rowOff>
    </xdr:from>
    <xdr:to>
      <xdr:col>15</xdr:col>
      <xdr:colOff>0</xdr:colOff>
      <xdr:row>50</xdr:row>
      <xdr:rowOff>95250</xdr:rowOff>
    </xdr:to>
    <xdr:sp macro="" textlink="">
      <xdr:nvSpPr>
        <xdr:cNvPr id="12" name="使い方: 12時">
          <a:extLst>
            <a:ext uri="{FF2B5EF4-FFF2-40B4-BE49-F238E27FC236}">
              <a16:creationId xmlns:a16="http://schemas.microsoft.com/office/drawing/2014/main" id="{00000000-0008-0000-0100-00000C000000}"/>
            </a:ext>
          </a:extLst>
        </xdr:cNvPr>
        <xdr:cNvSpPr/>
      </xdr:nvSpPr>
      <xdr:spPr>
        <a:xfrm>
          <a:off x="2476500" y="9429750"/>
          <a:ext cx="381000" cy="190500"/>
        </a:xfrm>
        <a:prstGeom prst="rect">
          <a:avLst/>
        </a:prstGeom>
        <a:noFill/>
        <a:ln>
          <a:noFill/>
        </a:ln>
      </xdr:spPr>
      <xdr:txBody>
        <a:bodyPr vertOverflow="overflow" horzOverflow="overflow" wrap="none" lIns="0" tIns="0" rIns="0" bIns="0" rtlCol="0" anchor="ctr">
          <a:noAutofit/>
        </a:bodyPr>
        <a:lstStyle/>
        <a:p>
          <a:pPr algn="ctr"/>
          <a:r>
            <a:rPr lang="ja-JP" altLang="en-US" sz="800" b="1" dirty="0">
              <a:solidFill>
                <a:srgbClr val="262626"/>
              </a:solidFill>
              <a:latin typeface="Meiryo UI"/>
              <a:ea typeface="Meiryo UI"/>
              <a:cs typeface="Meiryo UI"/>
            </a:rPr>
            <a:t>12時</a:t>
          </a:r>
          <a:endParaRPr lang="ja-JP" altLang="en-US" sz="800" dirty="0">
            <a:latin typeface="Meiryo UI"/>
            <a:ea typeface="Meiryo UI"/>
          </a:endParaRPr>
        </a:p>
      </xdr:txBody>
    </xdr:sp>
    <xdr:clientData/>
  </xdr:twoCellAnchor>
  <xdr:twoCellAnchor editAs="oneCell">
    <xdr:from>
      <xdr:col>17</xdr:col>
      <xdr:colOff>142875</xdr:colOff>
      <xdr:row>50</xdr:row>
      <xdr:rowOff>142875</xdr:rowOff>
    </xdr:from>
    <xdr:to>
      <xdr:col>18</xdr:col>
      <xdr:colOff>47625</xdr:colOff>
      <xdr:row>51</xdr:row>
      <xdr:rowOff>47625</xdr:rowOff>
    </xdr:to>
    <xdr:sp macro="" textlink="">
      <xdr:nvSpPr>
        <xdr:cNvPr id="13" name="使い方: 接続点1">
          <a:extLst>
            <a:ext uri="{FF2B5EF4-FFF2-40B4-BE49-F238E27FC236}">
              <a16:creationId xmlns:a16="http://schemas.microsoft.com/office/drawing/2014/main" id="{00000000-0008-0000-0100-00000D000000}"/>
            </a:ext>
          </a:extLst>
        </xdr:cNvPr>
        <xdr:cNvSpPr/>
      </xdr:nvSpPr>
      <xdr:spPr>
        <a:xfrm>
          <a:off x="3381375" y="9667875"/>
          <a:ext cx="95250" cy="95250"/>
        </a:xfrm>
        <a:prstGeom prst="ellipse">
          <a:avLst/>
        </a:prstGeom>
        <a:solidFill>
          <a:srgbClr val="7F7F7F"/>
        </a:solidFill>
        <a:ln w="6350" cap="flat">
          <a:solidFill>
            <a:srgbClr val="FFFFFF"/>
          </a:solidFill>
          <a:round/>
        </a:ln>
      </xdr:spPr>
      <xdr:txBody>
        <a:bodyPr vertOverflow="overflow" horzOverflow="overflow" wrap="square" lIns="38100" tIns="19050" rIns="38100" bIns="19050" rtlCol="0" anchor="ctr">
          <a:noAutofit/>
        </a:bodyPr>
        <a:lstStyle/>
        <a:p>
          <a:pPr algn="ctr"/>
          <a:endParaRPr lang="ja-JP" altLang="en-US" sz="500" dirty="0">
            <a:latin typeface="Meiryo UI"/>
            <a:ea typeface="Meiryo UI"/>
          </a:endParaRPr>
        </a:p>
      </xdr:txBody>
    </xdr:sp>
    <xdr:clientData/>
  </xdr:twoCellAnchor>
  <xdr:twoCellAnchor editAs="oneCell">
    <xdr:from>
      <xdr:col>17</xdr:col>
      <xdr:colOff>0</xdr:colOff>
      <xdr:row>49</xdr:row>
      <xdr:rowOff>95250</xdr:rowOff>
    </xdr:from>
    <xdr:to>
      <xdr:col>19</xdr:col>
      <xdr:colOff>0</xdr:colOff>
      <xdr:row>50</xdr:row>
      <xdr:rowOff>95250</xdr:rowOff>
    </xdr:to>
    <xdr:sp macro="" textlink="">
      <xdr:nvSpPr>
        <xdr:cNvPr id="14" name="使い方: 1時">
          <a:extLst>
            <a:ext uri="{FF2B5EF4-FFF2-40B4-BE49-F238E27FC236}">
              <a16:creationId xmlns:a16="http://schemas.microsoft.com/office/drawing/2014/main" id="{00000000-0008-0000-0100-00000E000000}"/>
            </a:ext>
          </a:extLst>
        </xdr:cNvPr>
        <xdr:cNvSpPr/>
      </xdr:nvSpPr>
      <xdr:spPr>
        <a:xfrm>
          <a:off x="3238500" y="9429750"/>
          <a:ext cx="381000" cy="190500"/>
        </a:xfrm>
        <a:prstGeom prst="rect">
          <a:avLst/>
        </a:prstGeom>
        <a:noFill/>
        <a:ln>
          <a:noFill/>
        </a:ln>
      </xdr:spPr>
      <xdr:txBody>
        <a:bodyPr vertOverflow="overflow" horzOverflow="overflow" wrap="none" lIns="0" tIns="0" rIns="0" bIns="0" rtlCol="0" anchor="ctr">
          <a:noAutofit/>
        </a:bodyPr>
        <a:lstStyle/>
        <a:p>
          <a:pPr algn="ctr"/>
          <a:r>
            <a:rPr lang="ja-JP" altLang="en-US" sz="800" b="1" dirty="0">
              <a:solidFill>
                <a:srgbClr val="262626"/>
              </a:solidFill>
              <a:latin typeface="Meiryo UI"/>
              <a:ea typeface="Meiryo UI"/>
              <a:cs typeface="Meiryo UI"/>
            </a:rPr>
            <a:t>1時</a:t>
          </a:r>
          <a:endParaRPr lang="ja-JP" altLang="en-US" sz="800" dirty="0">
            <a:latin typeface="Meiryo UI"/>
            <a:ea typeface="Meiryo UI"/>
          </a:endParaRPr>
        </a:p>
      </xdr:txBody>
    </xdr:sp>
    <xdr:clientData/>
  </xdr:twoCellAnchor>
  <xdr:twoCellAnchor editAs="oneCell">
    <xdr:from>
      <xdr:col>21</xdr:col>
      <xdr:colOff>142875</xdr:colOff>
      <xdr:row>52</xdr:row>
      <xdr:rowOff>142875</xdr:rowOff>
    </xdr:from>
    <xdr:to>
      <xdr:col>22</xdr:col>
      <xdr:colOff>47625</xdr:colOff>
      <xdr:row>53</xdr:row>
      <xdr:rowOff>47625</xdr:rowOff>
    </xdr:to>
    <xdr:sp macro="" textlink="">
      <xdr:nvSpPr>
        <xdr:cNvPr id="15" name="使い方: 接続点2">
          <a:extLst>
            <a:ext uri="{FF2B5EF4-FFF2-40B4-BE49-F238E27FC236}">
              <a16:creationId xmlns:a16="http://schemas.microsoft.com/office/drawing/2014/main" id="{00000000-0008-0000-0100-00000F000000}"/>
            </a:ext>
          </a:extLst>
        </xdr:cNvPr>
        <xdr:cNvSpPr/>
      </xdr:nvSpPr>
      <xdr:spPr>
        <a:xfrm>
          <a:off x="4143375" y="10048875"/>
          <a:ext cx="95250" cy="95250"/>
        </a:xfrm>
        <a:prstGeom prst="ellipse">
          <a:avLst/>
        </a:prstGeom>
        <a:solidFill>
          <a:srgbClr val="7F7F7F"/>
        </a:solidFill>
        <a:ln w="6350" cap="flat">
          <a:solidFill>
            <a:srgbClr val="FFFFFF"/>
          </a:solidFill>
          <a:round/>
        </a:ln>
      </xdr:spPr>
      <xdr:txBody>
        <a:bodyPr vertOverflow="overflow" horzOverflow="overflow" wrap="square" lIns="38100" tIns="19050" rIns="38100" bIns="19050" rtlCol="0" anchor="ctr">
          <a:noAutofit/>
        </a:bodyPr>
        <a:lstStyle/>
        <a:p>
          <a:pPr algn="ctr"/>
          <a:endParaRPr lang="ja-JP" altLang="en-US" sz="500" dirty="0">
            <a:latin typeface="Meiryo UI"/>
            <a:ea typeface="Meiryo UI"/>
          </a:endParaRPr>
        </a:p>
      </xdr:txBody>
    </xdr:sp>
    <xdr:clientData/>
  </xdr:twoCellAnchor>
  <xdr:twoCellAnchor editAs="oneCell">
    <xdr:from>
      <xdr:col>22</xdr:col>
      <xdr:colOff>38100</xdr:colOff>
      <xdr:row>52</xdr:row>
      <xdr:rowOff>95250</xdr:rowOff>
    </xdr:from>
    <xdr:to>
      <xdr:col>24</xdr:col>
      <xdr:colOff>38100</xdr:colOff>
      <xdr:row>53</xdr:row>
      <xdr:rowOff>95250</xdr:rowOff>
    </xdr:to>
    <xdr:sp macro="" textlink="">
      <xdr:nvSpPr>
        <xdr:cNvPr id="16" name="使い方: 2時">
          <a:extLst>
            <a:ext uri="{FF2B5EF4-FFF2-40B4-BE49-F238E27FC236}">
              <a16:creationId xmlns:a16="http://schemas.microsoft.com/office/drawing/2014/main" id="{00000000-0008-0000-0100-000010000000}"/>
            </a:ext>
          </a:extLst>
        </xdr:cNvPr>
        <xdr:cNvSpPr/>
      </xdr:nvSpPr>
      <xdr:spPr>
        <a:xfrm>
          <a:off x="4229100" y="10001250"/>
          <a:ext cx="381000" cy="190500"/>
        </a:xfrm>
        <a:prstGeom prst="rect">
          <a:avLst/>
        </a:prstGeom>
        <a:noFill/>
        <a:ln>
          <a:noFill/>
        </a:ln>
      </xdr:spPr>
      <xdr:txBody>
        <a:bodyPr vertOverflow="overflow" horzOverflow="overflow" wrap="none" lIns="0" tIns="0" rIns="0" bIns="0" rtlCol="0" anchor="ctr">
          <a:noAutofit/>
        </a:bodyPr>
        <a:lstStyle/>
        <a:p>
          <a:pPr algn="ctr"/>
          <a:r>
            <a:rPr lang="ja-JP" altLang="en-US" sz="800" b="1" dirty="0">
              <a:solidFill>
                <a:srgbClr val="262626"/>
              </a:solidFill>
              <a:latin typeface="Meiryo UI"/>
              <a:ea typeface="Meiryo UI"/>
              <a:cs typeface="Meiryo UI"/>
            </a:rPr>
            <a:t>2時</a:t>
          </a:r>
          <a:endParaRPr lang="ja-JP" altLang="en-US" sz="800" dirty="0">
            <a:latin typeface="Meiryo UI"/>
            <a:ea typeface="Meiryo UI"/>
          </a:endParaRPr>
        </a:p>
      </xdr:txBody>
    </xdr:sp>
    <xdr:clientData/>
  </xdr:twoCellAnchor>
  <xdr:twoCellAnchor editAs="oneCell">
    <xdr:from>
      <xdr:col>21</xdr:col>
      <xdr:colOff>142875</xdr:colOff>
      <xdr:row>54</xdr:row>
      <xdr:rowOff>142875</xdr:rowOff>
    </xdr:from>
    <xdr:to>
      <xdr:col>22</xdr:col>
      <xdr:colOff>47625</xdr:colOff>
      <xdr:row>55</xdr:row>
      <xdr:rowOff>47625</xdr:rowOff>
    </xdr:to>
    <xdr:sp macro="" textlink="">
      <xdr:nvSpPr>
        <xdr:cNvPr id="17" name="使い方: 接続点3">
          <a:extLst>
            <a:ext uri="{FF2B5EF4-FFF2-40B4-BE49-F238E27FC236}">
              <a16:creationId xmlns:a16="http://schemas.microsoft.com/office/drawing/2014/main" id="{00000000-0008-0000-0100-000011000000}"/>
            </a:ext>
          </a:extLst>
        </xdr:cNvPr>
        <xdr:cNvSpPr/>
      </xdr:nvSpPr>
      <xdr:spPr>
        <a:xfrm>
          <a:off x="4143375" y="10429875"/>
          <a:ext cx="95250" cy="95250"/>
        </a:xfrm>
        <a:prstGeom prst="ellipse">
          <a:avLst/>
        </a:prstGeom>
        <a:solidFill>
          <a:srgbClr val="7F7F7F"/>
        </a:solidFill>
        <a:ln w="6350" cap="flat">
          <a:solidFill>
            <a:srgbClr val="FFFFFF"/>
          </a:solidFill>
          <a:round/>
        </a:ln>
      </xdr:spPr>
      <xdr:txBody>
        <a:bodyPr vertOverflow="overflow" horzOverflow="overflow" wrap="square" lIns="38100" tIns="19050" rIns="38100" bIns="19050" rtlCol="0" anchor="ctr">
          <a:noAutofit/>
        </a:bodyPr>
        <a:lstStyle/>
        <a:p>
          <a:pPr algn="ctr"/>
          <a:endParaRPr lang="ja-JP" altLang="en-US" sz="500" dirty="0">
            <a:latin typeface="Meiryo UI"/>
            <a:ea typeface="Meiryo UI"/>
          </a:endParaRPr>
        </a:p>
      </xdr:txBody>
    </xdr:sp>
    <xdr:clientData/>
  </xdr:twoCellAnchor>
  <xdr:twoCellAnchor editAs="oneCell">
    <xdr:from>
      <xdr:col>22</xdr:col>
      <xdr:colOff>38100</xdr:colOff>
      <xdr:row>54</xdr:row>
      <xdr:rowOff>95250</xdr:rowOff>
    </xdr:from>
    <xdr:to>
      <xdr:col>24</xdr:col>
      <xdr:colOff>38100</xdr:colOff>
      <xdr:row>55</xdr:row>
      <xdr:rowOff>95250</xdr:rowOff>
    </xdr:to>
    <xdr:sp macro="" textlink="">
      <xdr:nvSpPr>
        <xdr:cNvPr id="18" name="使い方: 3時">
          <a:extLst>
            <a:ext uri="{FF2B5EF4-FFF2-40B4-BE49-F238E27FC236}">
              <a16:creationId xmlns:a16="http://schemas.microsoft.com/office/drawing/2014/main" id="{00000000-0008-0000-0100-000012000000}"/>
            </a:ext>
          </a:extLst>
        </xdr:cNvPr>
        <xdr:cNvSpPr/>
      </xdr:nvSpPr>
      <xdr:spPr>
        <a:xfrm>
          <a:off x="4229100" y="10382250"/>
          <a:ext cx="381000" cy="190500"/>
        </a:xfrm>
        <a:prstGeom prst="rect">
          <a:avLst/>
        </a:prstGeom>
        <a:noFill/>
        <a:ln>
          <a:noFill/>
        </a:ln>
      </xdr:spPr>
      <xdr:txBody>
        <a:bodyPr vertOverflow="overflow" horzOverflow="overflow" wrap="none" lIns="0" tIns="0" rIns="0" bIns="0" rtlCol="0" anchor="ctr">
          <a:noAutofit/>
        </a:bodyPr>
        <a:lstStyle/>
        <a:p>
          <a:pPr algn="ctr"/>
          <a:r>
            <a:rPr lang="ja-JP" altLang="en-US" sz="800" b="1" dirty="0">
              <a:solidFill>
                <a:srgbClr val="262626"/>
              </a:solidFill>
              <a:latin typeface="Meiryo UI"/>
              <a:ea typeface="Meiryo UI"/>
              <a:cs typeface="Meiryo UI"/>
            </a:rPr>
            <a:t>3時</a:t>
          </a:r>
          <a:endParaRPr lang="ja-JP" altLang="en-US" sz="800" dirty="0">
            <a:latin typeface="Meiryo UI"/>
            <a:ea typeface="Meiryo UI"/>
          </a:endParaRPr>
        </a:p>
      </xdr:txBody>
    </xdr:sp>
    <xdr:clientData/>
  </xdr:twoCellAnchor>
  <xdr:twoCellAnchor editAs="oneCell">
    <xdr:from>
      <xdr:col>21</xdr:col>
      <xdr:colOff>142875</xdr:colOff>
      <xdr:row>56</xdr:row>
      <xdr:rowOff>142875</xdr:rowOff>
    </xdr:from>
    <xdr:to>
      <xdr:col>22</xdr:col>
      <xdr:colOff>47625</xdr:colOff>
      <xdr:row>57</xdr:row>
      <xdr:rowOff>47625</xdr:rowOff>
    </xdr:to>
    <xdr:sp macro="" textlink="">
      <xdr:nvSpPr>
        <xdr:cNvPr id="19" name="使い方: 接続点4">
          <a:extLst>
            <a:ext uri="{FF2B5EF4-FFF2-40B4-BE49-F238E27FC236}">
              <a16:creationId xmlns:a16="http://schemas.microsoft.com/office/drawing/2014/main" id="{00000000-0008-0000-0100-000013000000}"/>
            </a:ext>
          </a:extLst>
        </xdr:cNvPr>
        <xdr:cNvSpPr/>
      </xdr:nvSpPr>
      <xdr:spPr>
        <a:xfrm>
          <a:off x="4143375" y="10810875"/>
          <a:ext cx="95250" cy="95250"/>
        </a:xfrm>
        <a:prstGeom prst="ellipse">
          <a:avLst/>
        </a:prstGeom>
        <a:solidFill>
          <a:srgbClr val="7F7F7F"/>
        </a:solidFill>
        <a:ln w="6350" cap="flat">
          <a:solidFill>
            <a:srgbClr val="FFFFFF"/>
          </a:solidFill>
          <a:round/>
        </a:ln>
      </xdr:spPr>
      <xdr:txBody>
        <a:bodyPr vertOverflow="overflow" horzOverflow="overflow" wrap="square" lIns="38100" tIns="19050" rIns="38100" bIns="19050" rtlCol="0" anchor="ctr">
          <a:noAutofit/>
        </a:bodyPr>
        <a:lstStyle/>
        <a:p>
          <a:pPr algn="ctr"/>
          <a:endParaRPr lang="ja-JP" altLang="en-US" sz="500" dirty="0">
            <a:latin typeface="Meiryo UI"/>
            <a:ea typeface="Meiryo UI"/>
          </a:endParaRPr>
        </a:p>
      </xdr:txBody>
    </xdr:sp>
    <xdr:clientData/>
  </xdr:twoCellAnchor>
  <xdr:twoCellAnchor editAs="oneCell">
    <xdr:from>
      <xdr:col>22</xdr:col>
      <xdr:colOff>38100</xdr:colOff>
      <xdr:row>56</xdr:row>
      <xdr:rowOff>95250</xdr:rowOff>
    </xdr:from>
    <xdr:to>
      <xdr:col>24</xdr:col>
      <xdr:colOff>38100</xdr:colOff>
      <xdr:row>57</xdr:row>
      <xdr:rowOff>95250</xdr:rowOff>
    </xdr:to>
    <xdr:sp macro="" textlink="">
      <xdr:nvSpPr>
        <xdr:cNvPr id="20" name="使い方: 4時">
          <a:extLst>
            <a:ext uri="{FF2B5EF4-FFF2-40B4-BE49-F238E27FC236}">
              <a16:creationId xmlns:a16="http://schemas.microsoft.com/office/drawing/2014/main" id="{00000000-0008-0000-0100-000014000000}"/>
            </a:ext>
          </a:extLst>
        </xdr:cNvPr>
        <xdr:cNvSpPr/>
      </xdr:nvSpPr>
      <xdr:spPr>
        <a:xfrm>
          <a:off x="4229100" y="10763250"/>
          <a:ext cx="381000" cy="190500"/>
        </a:xfrm>
        <a:prstGeom prst="rect">
          <a:avLst/>
        </a:prstGeom>
        <a:noFill/>
        <a:ln>
          <a:noFill/>
        </a:ln>
      </xdr:spPr>
      <xdr:txBody>
        <a:bodyPr vertOverflow="overflow" horzOverflow="overflow" wrap="none" lIns="0" tIns="0" rIns="0" bIns="0" rtlCol="0" anchor="ctr">
          <a:noAutofit/>
        </a:bodyPr>
        <a:lstStyle/>
        <a:p>
          <a:pPr algn="ctr"/>
          <a:r>
            <a:rPr lang="ja-JP" altLang="en-US" sz="800" b="1" dirty="0">
              <a:solidFill>
                <a:srgbClr val="262626"/>
              </a:solidFill>
              <a:latin typeface="Meiryo UI"/>
              <a:ea typeface="Meiryo UI"/>
              <a:cs typeface="Meiryo UI"/>
            </a:rPr>
            <a:t>4時</a:t>
          </a:r>
          <a:endParaRPr lang="ja-JP" altLang="en-US" sz="800" dirty="0">
            <a:latin typeface="Meiryo UI"/>
            <a:ea typeface="Meiryo UI"/>
          </a:endParaRPr>
        </a:p>
      </xdr:txBody>
    </xdr:sp>
    <xdr:clientData/>
  </xdr:twoCellAnchor>
  <xdr:twoCellAnchor editAs="oneCell">
    <xdr:from>
      <xdr:col>17</xdr:col>
      <xdr:colOff>142875</xdr:colOff>
      <xdr:row>58</xdr:row>
      <xdr:rowOff>142875</xdr:rowOff>
    </xdr:from>
    <xdr:to>
      <xdr:col>18</xdr:col>
      <xdr:colOff>47625</xdr:colOff>
      <xdr:row>59</xdr:row>
      <xdr:rowOff>47625</xdr:rowOff>
    </xdr:to>
    <xdr:sp macro="" textlink="">
      <xdr:nvSpPr>
        <xdr:cNvPr id="21" name="使い方: 接続点5">
          <a:extLst>
            <a:ext uri="{FF2B5EF4-FFF2-40B4-BE49-F238E27FC236}">
              <a16:creationId xmlns:a16="http://schemas.microsoft.com/office/drawing/2014/main" id="{00000000-0008-0000-0100-000015000000}"/>
            </a:ext>
          </a:extLst>
        </xdr:cNvPr>
        <xdr:cNvSpPr/>
      </xdr:nvSpPr>
      <xdr:spPr>
        <a:xfrm>
          <a:off x="3381375" y="11191875"/>
          <a:ext cx="95250" cy="95250"/>
        </a:xfrm>
        <a:prstGeom prst="ellipse">
          <a:avLst/>
        </a:prstGeom>
        <a:solidFill>
          <a:srgbClr val="7F7F7F"/>
        </a:solidFill>
        <a:ln w="6350" cap="flat">
          <a:solidFill>
            <a:srgbClr val="FFFFFF"/>
          </a:solidFill>
          <a:round/>
        </a:ln>
      </xdr:spPr>
      <xdr:txBody>
        <a:bodyPr vertOverflow="overflow" horzOverflow="overflow" wrap="square" lIns="38100" tIns="19050" rIns="38100" bIns="19050" rtlCol="0" anchor="ctr">
          <a:noAutofit/>
        </a:bodyPr>
        <a:lstStyle/>
        <a:p>
          <a:pPr algn="ctr"/>
          <a:endParaRPr lang="ja-JP" altLang="en-US" sz="500" dirty="0">
            <a:latin typeface="Meiryo UI"/>
            <a:ea typeface="Meiryo UI"/>
          </a:endParaRPr>
        </a:p>
      </xdr:txBody>
    </xdr:sp>
    <xdr:clientData/>
  </xdr:twoCellAnchor>
  <xdr:twoCellAnchor editAs="oneCell">
    <xdr:from>
      <xdr:col>17</xdr:col>
      <xdr:colOff>0</xdr:colOff>
      <xdr:row>59</xdr:row>
      <xdr:rowOff>95250</xdr:rowOff>
    </xdr:from>
    <xdr:to>
      <xdr:col>19</xdr:col>
      <xdr:colOff>0</xdr:colOff>
      <xdr:row>60</xdr:row>
      <xdr:rowOff>95250</xdr:rowOff>
    </xdr:to>
    <xdr:sp macro="" textlink="">
      <xdr:nvSpPr>
        <xdr:cNvPr id="22" name="使い方: 5時">
          <a:extLst>
            <a:ext uri="{FF2B5EF4-FFF2-40B4-BE49-F238E27FC236}">
              <a16:creationId xmlns:a16="http://schemas.microsoft.com/office/drawing/2014/main" id="{00000000-0008-0000-0100-000016000000}"/>
            </a:ext>
          </a:extLst>
        </xdr:cNvPr>
        <xdr:cNvSpPr/>
      </xdr:nvSpPr>
      <xdr:spPr>
        <a:xfrm>
          <a:off x="3238500" y="11334750"/>
          <a:ext cx="381000" cy="190500"/>
        </a:xfrm>
        <a:prstGeom prst="rect">
          <a:avLst/>
        </a:prstGeom>
        <a:noFill/>
        <a:ln>
          <a:noFill/>
        </a:ln>
      </xdr:spPr>
      <xdr:txBody>
        <a:bodyPr vertOverflow="overflow" horzOverflow="overflow" wrap="none" lIns="0" tIns="0" rIns="0" bIns="0" rtlCol="0" anchor="ctr">
          <a:noAutofit/>
        </a:bodyPr>
        <a:lstStyle/>
        <a:p>
          <a:pPr algn="ctr"/>
          <a:r>
            <a:rPr lang="ja-JP" altLang="en-US" sz="800" b="1" dirty="0">
              <a:solidFill>
                <a:srgbClr val="262626"/>
              </a:solidFill>
              <a:latin typeface="Meiryo UI"/>
              <a:ea typeface="Meiryo UI"/>
              <a:cs typeface="Meiryo UI"/>
            </a:rPr>
            <a:t>5時</a:t>
          </a:r>
          <a:endParaRPr lang="ja-JP" altLang="en-US" sz="800" dirty="0">
            <a:latin typeface="Meiryo UI"/>
            <a:ea typeface="Meiryo UI"/>
          </a:endParaRPr>
        </a:p>
      </xdr:txBody>
    </xdr:sp>
    <xdr:clientData/>
  </xdr:twoCellAnchor>
  <xdr:twoCellAnchor editAs="oneCell">
    <xdr:from>
      <xdr:col>13</xdr:col>
      <xdr:colOff>142875</xdr:colOff>
      <xdr:row>58</xdr:row>
      <xdr:rowOff>142875</xdr:rowOff>
    </xdr:from>
    <xdr:to>
      <xdr:col>14</xdr:col>
      <xdr:colOff>47625</xdr:colOff>
      <xdr:row>59</xdr:row>
      <xdr:rowOff>47625</xdr:rowOff>
    </xdr:to>
    <xdr:sp macro="" textlink="">
      <xdr:nvSpPr>
        <xdr:cNvPr id="23" name="使い方: 接続点6">
          <a:extLst>
            <a:ext uri="{FF2B5EF4-FFF2-40B4-BE49-F238E27FC236}">
              <a16:creationId xmlns:a16="http://schemas.microsoft.com/office/drawing/2014/main" id="{00000000-0008-0000-0100-000017000000}"/>
            </a:ext>
          </a:extLst>
        </xdr:cNvPr>
        <xdr:cNvSpPr/>
      </xdr:nvSpPr>
      <xdr:spPr>
        <a:xfrm>
          <a:off x="2619375" y="11191875"/>
          <a:ext cx="95250" cy="95250"/>
        </a:xfrm>
        <a:prstGeom prst="ellipse">
          <a:avLst/>
        </a:prstGeom>
        <a:solidFill>
          <a:srgbClr val="7F7F7F"/>
        </a:solidFill>
        <a:ln w="6350" cap="flat">
          <a:solidFill>
            <a:srgbClr val="FFFFFF"/>
          </a:solidFill>
          <a:round/>
        </a:ln>
      </xdr:spPr>
      <xdr:txBody>
        <a:bodyPr vertOverflow="overflow" horzOverflow="overflow" wrap="square" lIns="38100" tIns="19050" rIns="38100" bIns="19050" rtlCol="0" anchor="ctr">
          <a:noAutofit/>
        </a:bodyPr>
        <a:lstStyle/>
        <a:p>
          <a:pPr algn="ctr"/>
          <a:endParaRPr lang="ja-JP" altLang="en-US" sz="500" dirty="0">
            <a:latin typeface="Meiryo UI"/>
            <a:ea typeface="Meiryo UI"/>
          </a:endParaRPr>
        </a:p>
      </xdr:txBody>
    </xdr:sp>
    <xdr:clientData/>
  </xdr:twoCellAnchor>
  <xdr:twoCellAnchor editAs="oneCell">
    <xdr:from>
      <xdr:col>13</xdr:col>
      <xdr:colOff>0</xdr:colOff>
      <xdr:row>59</xdr:row>
      <xdr:rowOff>95250</xdr:rowOff>
    </xdr:from>
    <xdr:to>
      <xdr:col>15</xdr:col>
      <xdr:colOff>0</xdr:colOff>
      <xdr:row>60</xdr:row>
      <xdr:rowOff>95250</xdr:rowOff>
    </xdr:to>
    <xdr:sp macro="" textlink="">
      <xdr:nvSpPr>
        <xdr:cNvPr id="24" name="使い方: 6時">
          <a:extLst>
            <a:ext uri="{FF2B5EF4-FFF2-40B4-BE49-F238E27FC236}">
              <a16:creationId xmlns:a16="http://schemas.microsoft.com/office/drawing/2014/main" id="{00000000-0008-0000-0100-000018000000}"/>
            </a:ext>
          </a:extLst>
        </xdr:cNvPr>
        <xdr:cNvSpPr/>
      </xdr:nvSpPr>
      <xdr:spPr>
        <a:xfrm>
          <a:off x="2476500" y="11334750"/>
          <a:ext cx="381000" cy="190500"/>
        </a:xfrm>
        <a:prstGeom prst="rect">
          <a:avLst/>
        </a:prstGeom>
        <a:noFill/>
        <a:ln>
          <a:noFill/>
        </a:ln>
      </xdr:spPr>
      <xdr:txBody>
        <a:bodyPr vertOverflow="overflow" horzOverflow="overflow" wrap="none" lIns="0" tIns="0" rIns="0" bIns="0" rtlCol="0" anchor="ctr">
          <a:noAutofit/>
        </a:bodyPr>
        <a:lstStyle/>
        <a:p>
          <a:pPr algn="ctr"/>
          <a:r>
            <a:rPr lang="ja-JP" altLang="en-US" sz="800" b="1" dirty="0">
              <a:solidFill>
                <a:srgbClr val="262626"/>
              </a:solidFill>
              <a:latin typeface="Meiryo UI"/>
              <a:ea typeface="Meiryo UI"/>
              <a:cs typeface="Meiryo UI"/>
            </a:rPr>
            <a:t>6時</a:t>
          </a:r>
          <a:endParaRPr lang="ja-JP" altLang="en-US" sz="800" dirty="0">
            <a:latin typeface="Meiryo UI"/>
            <a:ea typeface="Meiryo UI"/>
          </a:endParaRPr>
        </a:p>
      </xdr:txBody>
    </xdr:sp>
    <xdr:clientData/>
  </xdr:twoCellAnchor>
  <xdr:twoCellAnchor editAs="oneCell">
    <xdr:from>
      <xdr:col>9</xdr:col>
      <xdr:colOff>142875</xdr:colOff>
      <xdr:row>58</xdr:row>
      <xdr:rowOff>142875</xdr:rowOff>
    </xdr:from>
    <xdr:to>
      <xdr:col>10</xdr:col>
      <xdr:colOff>47625</xdr:colOff>
      <xdr:row>59</xdr:row>
      <xdr:rowOff>47625</xdr:rowOff>
    </xdr:to>
    <xdr:sp macro="" textlink="">
      <xdr:nvSpPr>
        <xdr:cNvPr id="25" name="使い方: 接続点7">
          <a:extLst>
            <a:ext uri="{FF2B5EF4-FFF2-40B4-BE49-F238E27FC236}">
              <a16:creationId xmlns:a16="http://schemas.microsoft.com/office/drawing/2014/main" id="{00000000-0008-0000-0100-000019000000}"/>
            </a:ext>
          </a:extLst>
        </xdr:cNvPr>
        <xdr:cNvSpPr/>
      </xdr:nvSpPr>
      <xdr:spPr>
        <a:xfrm>
          <a:off x="1857375" y="11191875"/>
          <a:ext cx="95250" cy="95250"/>
        </a:xfrm>
        <a:prstGeom prst="ellipse">
          <a:avLst/>
        </a:prstGeom>
        <a:solidFill>
          <a:srgbClr val="7F7F7F"/>
        </a:solidFill>
        <a:ln w="6350" cap="flat">
          <a:solidFill>
            <a:srgbClr val="FFFFFF"/>
          </a:solidFill>
          <a:round/>
        </a:ln>
      </xdr:spPr>
      <xdr:txBody>
        <a:bodyPr vertOverflow="overflow" horzOverflow="overflow" wrap="square" lIns="38100" tIns="19050" rIns="38100" bIns="19050" rtlCol="0" anchor="ctr">
          <a:noAutofit/>
        </a:bodyPr>
        <a:lstStyle/>
        <a:p>
          <a:pPr algn="ctr"/>
          <a:endParaRPr lang="ja-JP" altLang="en-US" sz="500" dirty="0">
            <a:latin typeface="Meiryo UI"/>
            <a:ea typeface="Meiryo UI"/>
          </a:endParaRPr>
        </a:p>
      </xdr:txBody>
    </xdr:sp>
    <xdr:clientData/>
  </xdr:twoCellAnchor>
  <xdr:twoCellAnchor editAs="oneCell">
    <xdr:from>
      <xdr:col>9</xdr:col>
      <xdr:colOff>0</xdr:colOff>
      <xdr:row>59</xdr:row>
      <xdr:rowOff>95250</xdr:rowOff>
    </xdr:from>
    <xdr:to>
      <xdr:col>11</xdr:col>
      <xdr:colOff>0</xdr:colOff>
      <xdr:row>60</xdr:row>
      <xdr:rowOff>95250</xdr:rowOff>
    </xdr:to>
    <xdr:sp macro="" textlink="">
      <xdr:nvSpPr>
        <xdr:cNvPr id="26" name="使い方: 7時">
          <a:extLst>
            <a:ext uri="{FF2B5EF4-FFF2-40B4-BE49-F238E27FC236}">
              <a16:creationId xmlns:a16="http://schemas.microsoft.com/office/drawing/2014/main" id="{00000000-0008-0000-0100-00001A000000}"/>
            </a:ext>
          </a:extLst>
        </xdr:cNvPr>
        <xdr:cNvSpPr/>
      </xdr:nvSpPr>
      <xdr:spPr>
        <a:xfrm>
          <a:off x="1714500" y="11334750"/>
          <a:ext cx="381000" cy="190500"/>
        </a:xfrm>
        <a:prstGeom prst="rect">
          <a:avLst/>
        </a:prstGeom>
        <a:noFill/>
        <a:ln>
          <a:noFill/>
        </a:ln>
      </xdr:spPr>
      <xdr:txBody>
        <a:bodyPr vertOverflow="overflow" horzOverflow="overflow" wrap="none" lIns="0" tIns="0" rIns="0" bIns="0" rtlCol="0" anchor="ctr">
          <a:noAutofit/>
        </a:bodyPr>
        <a:lstStyle/>
        <a:p>
          <a:pPr algn="ctr"/>
          <a:r>
            <a:rPr lang="ja-JP" altLang="en-US" sz="800" b="1" dirty="0">
              <a:solidFill>
                <a:srgbClr val="262626"/>
              </a:solidFill>
              <a:latin typeface="Meiryo UI"/>
              <a:ea typeface="Meiryo UI"/>
              <a:cs typeface="Meiryo UI"/>
            </a:rPr>
            <a:t>7時</a:t>
          </a:r>
          <a:endParaRPr lang="ja-JP" altLang="en-US" sz="800" dirty="0">
            <a:latin typeface="Meiryo UI"/>
            <a:ea typeface="Meiryo UI"/>
          </a:endParaRPr>
        </a:p>
      </xdr:txBody>
    </xdr:sp>
    <xdr:clientData/>
  </xdr:twoCellAnchor>
  <xdr:twoCellAnchor editAs="oneCell">
    <xdr:from>
      <xdr:col>5</xdr:col>
      <xdr:colOff>142875</xdr:colOff>
      <xdr:row>56</xdr:row>
      <xdr:rowOff>142875</xdr:rowOff>
    </xdr:from>
    <xdr:to>
      <xdr:col>6</xdr:col>
      <xdr:colOff>47625</xdr:colOff>
      <xdr:row>57</xdr:row>
      <xdr:rowOff>47625</xdr:rowOff>
    </xdr:to>
    <xdr:sp macro="" textlink="">
      <xdr:nvSpPr>
        <xdr:cNvPr id="27" name="使い方: 接続点8">
          <a:extLst>
            <a:ext uri="{FF2B5EF4-FFF2-40B4-BE49-F238E27FC236}">
              <a16:creationId xmlns:a16="http://schemas.microsoft.com/office/drawing/2014/main" id="{00000000-0008-0000-0100-00001B000000}"/>
            </a:ext>
          </a:extLst>
        </xdr:cNvPr>
        <xdr:cNvSpPr/>
      </xdr:nvSpPr>
      <xdr:spPr>
        <a:xfrm>
          <a:off x="1095375" y="10810875"/>
          <a:ext cx="95250" cy="95250"/>
        </a:xfrm>
        <a:prstGeom prst="ellipse">
          <a:avLst/>
        </a:prstGeom>
        <a:solidFill>
          <a:srgbClr val="7F7F7F"/>
        </a:solidFill>
        <a:ln w="6350" cap="flat">
          <a:solidFill>
            <a:srgbClr val="FFFFFF"/>
          </a:solidFill>
          <a:round/>
        </a:ln>
      </xdr:spPr>
      <xdr:txBody>
        <a:bodyPr vertOverflow="overflow" horzOverflow="overflow" wrap="square" lIns="38100" tIns="19050" rIns="38100" bIns="19050" rtlCol="0" anchor="ctr">
          <a:noAutofit/>
        </a:bodyPr>
        <a:lstStyle/>
        <a:p>
          <a:pPr algn="ctr"/>
          <a:endParaRPr lang="ja-JP" altLang="en-US" sz="500" dirty="0">
            <a:latin typeface="Meiryo UI"/>
            <a:ea typeface="Meiryo UI"/>
          </a:endParaRPr>
        </a:p>
      </xdr:txBody>
    </xdr:sp>
    <xdr:clientData/>
  </xdr:twoCellAnchor>
  <xdr:twoCellAnchor editAs="oneCell">
    <xdr:from>
      <xdr:col>3</xdr:col>
      <xdr:colOff>152400</xdr:colOff>
      <xdr:row>56</xdr:row>
      <xdr:rowOff>95250</xdr:rowOff>
    </xdr:from>
    <xdr:to>
      <xdr:col>5</xdr:col>
      <xdr:colOff>152400</xdr:colOff>
      <xdr:row>57</xdr:row>
      <xdr:rowOff>95250</xdr:rowOff>
    </xdr:to>
    <xdr:sp macro="" textlink="">
      <xdr:nvSpPr>
        <xdr:cNvPr id="28" name="使い方: 8時">
          <a:extLst>
            <a:ext uri="{FF2B5EF4-FFF2-40B4-BE49-F238E27FC236}">
              <a16:creationId xmlns:a16="http://schemas.microsoft.com/office/drawing/2014/main" id="{00000000-0008-0000-0100-00001C000000}"/>
            </a:ext>
          </a:extLst>
        </xdr:cNvPr>
        <xdr:cNvSpPr/>
      </xdr:nvSpPr>
      <xdr:spPr>
        <a:xfrm>
          <a:off x="723900" y="10763250"/>
          <a:ext cx="381000" cy="190500"/>
        </a:xfrm>
        <a:prstGeom prst="rect">
          <a:avLst/>
        </a:prstGeom>
        <a:noFill/>
        <a:ln>
          <a:noFill/>
        </a:ln>
      </xdr:spPr>
      <xdr:txBody>
        <a:bodyPr vertOverflow="overflow" horzOverflow="overflow" wrap="none" lIns="0" tIns="0" rIns="0" bIns="0" rtlCol="0" anchor="ctr">
          <a:noAutofit/>
        </a:bodyPr>
        <a:lstStyle/>
        <a:p>
          <a:pPr algn="ctr"/>
          <a:r>
            <a:rPr lang="ja-JP" altLang="en-US" sz="800" b="1" dirty="0">
              <a:solidFill>
                <a:srgbClr val="262626"/>
              </a:solidFill>
              <a:latin typeface="Meiryo UI"/>
              <a:ea typeface="Meiryo UI"/>
              <a:cs typeface="Meiryo UI"/>
            </a:rPr>
            <a:t>8時</a:t>
          </a:r>
          <a:endParaRPr lang="ja-JP" altLang="en-US" sz="800" dirty="0">
            <a:latin typeface="Meiryo UI"/>
            <a:ea typeface="Meiryo UI"/>
          </a:endParaRPr>
        </a:p>
      </xdr:txBody>
    </xdr:sp>
    <xdr:clientData/>
  </xdr:twoCellAnchor>
  <xdr:twoCellAnchor editAs="oneCell">
    <xdr:from>
      <xdr:col>5</xdr:col>
      <xdr:colOff>142875</xdr:colOff>
      <xdr:row>54</xdr:row>
      <xdr:rowOff>142875</xdr:rowOff>
    </xdr:from>
    <xdr:to>
      <xdr:col>6</xdr:col>
      <xdr:colOff>47625</xdr:colOff>
      <xdr:row>55</xdr:row>
      <xdr:rowOff>47625</xdr:rowOff>
    </xdr:to>
    <xdr:sp macro="" textlink="">
      <xdr:nvSpPr>
        <xdr:cNvPr id="29" name="使い方: 接続点9">
          <a:extLst>
            <a:ext uri="{FF2B5EF4-FFF2-40B4-BE49-F238E27FC236}">
              <a16:creationId xmlns:a16="http://schemas.microsoft.com/office/drawing/2014/main" id="{00000000-0008-0000-0100-00001D000000}"/>
            </a:ext>
          </a:extLst>
        </xdr:cNvPr>
        <xdr:cNvSpPr/>
      </xdr:nvSpPr>
      <xdr:spPr>
        <a:xfrm>
          <a:off x="1095375" y="10429875"/>
          <a:ext cx="95250" cy="95250"/>
        </a:xfrm>
        <a:prstGeom prst="ellipse">
          <a:avLst/>
        </a:prstGeom>
        <a:solidFill>
          <a:srgbClr val="7F7F7F"/>
        </a:solidFill>
        <a:ln w="6350" cap="flat">
          <a:solidFill>
            <a:srgbClr val="FFFFFF"/>
          </a:solidFill>
          <a:round/>
        </a:ln>
      </xdr:spPr>
      <xdr:txBody>
        <a:bodyPr vertOverflow="overflow" horzOverflow="overflow" wrap="square" lIns="38100" tIns="19050" rIns="38100" bIns="19050" rtlCol="0" anchor="ctr">
          <a:noAutofit/>
        </a:bodyPr>
        <a:lstStyle/>
        <a:p>
          <a:pPr algn="ctr"/>
          <a:endParaRPr lang="ja-JP" altLang="en-US" sz="500" dirty="0">
            <a:latin typeface="Meiryo UI"/>
            <a:ea typeface="Meiryo UI"/>
          </a:endParaRPr>
        </a:p>
      </xdr:txBody>
    </xdr:sp>
    <xdr:clientData/>
  </xdr:twoCellAnchor>
  <xdr:twoCellAnchor editAs="oneCell">
    <xdr:from>
      <xdr:col>3</xdr:col>
      <xdr:colOff>152400</xdr:colOff>
      <xdr:row>54</xdr:row>
      <xdr:rowOff>95250</xdr:rowOff>
    </xdr:from>
    <xdr:to>
      <xdr:col>5</xdr:col>
      <xdr:colOff>152400</xdr:colOff>
      <xdr:row>55</xdr:row>
      <xdr:rowOff>95250</xdr:rowOff>
    </xdr:to>
    <xdr:sp macro="" textlink="">
      <xdr:nvSpPr>
        <xdr:cNvPr id="30" name="使い方: 9時">
          <a:extLst>
            <a:ext uri="{FF2B5EF4-FFF2-40B4-BE49-F238E27FC236}">
              <a16:creationId xmlns:a16="http://schemas.microsoft.com/office/drawing/2014/main" id="{00000000-0008-0000-0100-00001E000000}"/>
            </a:ext>
          </a:extLst>
        </xdr:cNvPr>
        <xdr:cNvSpPr/>
      </xdr:nvSpPr>
      <xdr:spPr>
        <a:xfrm>
          <a:off x="723900" y="10382250"/>
          <a:ext cx="381000" cy="190500"/>
        </a:xfrm>
        <a:prstGeom prst="rect">
          <a:avLst/>
        </a:prstGeom>
        <a:noFill/>
        <a:ln>
          <a:noFill/>
        </a:ln>
      </xdr:spPr>
      <xdr:txBody>
        <a:bodyPr vertOverflow="overflow" horzOverflow="overflow" wrap="none" lIns="0" tIns="0" rIns="0" bIns="0" rtlCol="0" anchor="ctr">
          <a:noAutofit/>
        </a:bodyPr>
        <a:lstStyle/>
        <a:p>
          <a:pPr algn="ctr"/>
          <a:r>
            <a:rPr lang="ja-JP" altLang="en-US" sz="800" b="1" dirty="0">
              <a:solidFill>
                <a:srgbClr val="262626"/>
              </a:solidFill>
              <a:latin typeface="Meiryo UI"/>
              <a:ea typeface="Meiryo UI"/>
              <a:cs typeface="Meiryo UI"/>
            </a:rPr>
            <a:t>9時</a:t>
          </a:r>
          <a:endParaRPr lang="ja-JP" altLang="en-US" sz="800" dirty="0">
            <a:latin typeface="Meiryo UI"/>
            <a:ea typeface="Meiryo UI"/>
          </a:endParaRPr>
        </a:p>
      </xdr:txBody>
    </xdr:sp>
    <xdr:clientData/>
  </xdr:twoCellAnchor>
  <xdr:twoCellAnchor editAs="oneCell">
    <xdr:from>
      <xdr:col>5</xdr:col>
      <xdr:colOff>142875</xdr:colOff>
      <xdr:row>52</xdr:row>
      <xdr:rowOff>142875</xdr:rowOff>
    </xdr:from>
    <xdr:to>
      <xdr:col>6</xdr:col>
      <xdr:colOff>47625</xdr:colOff>
      <xdr:row>53</xdr:row>
      <xdr:rowOff>47625</xdr:rowOff>
    </xdr:to>
    <xdr:sp macro="" textlink="">
      <xdr:nvSpPr>
        <xdr:cNvPr id="31" name="使い方: 接続点10">
          <a:extLst>
            <a:ext uri="{FF2B5EF4-FFF2-40B4-BE49-F238E27FC236}">
              <a16:creationId xmlns:a16="http://schemas.microsoft.com/office/drawing/2014/main" id="{00000000-0008-0000-0100-00001F000000}"/>
            </a:ext>
          </a:extLst>
        </xdr:cNvPr>
        <xdr:cNvSpPr/>
      </xdr:nvSpPr>
      <xdr:spPr>
        <a:xfrm>
          <a:off x="1095375" y="10048875"/>
          <a:ext cx="95250" cy="95250"/>
        </a:xfrm>
        <a:prstGeom prst="ellipse">
          <a:avLst/>
        </a:prstGeom>
        <a:solidFill>
          <a:srgbClr val="7F7F7F"/>
        </a:solidFill>
        <a:ln w="6350" cap="flat">
          <a:solidFill>
            <a:srgbClr val="FFFFFF"/>
          </a:solidFill>
          <a:round/>
        </a:ln>
      </xdr:spPr>
      <xdr:txBody>
        <a:bodyPr vertOverflow="overflow" horzOverflow="overflow" wrap="square" lIns="38100" tIns="19050" rIns="38100" bIns="19050" rtlCol="0" anchor="ctr">
          <a:noAutofit/>
        </a:bodyPr>
        <a:lstStyle/>
        <a:p>
          <a:pPr algn="ctr"/>
          <a:endParaRPr lang="ja-JP" altLang="en-US" sz="500" dirty="0">
            <a:latin typeface="Meiryo UI"/>
            <a:ea typeface="Meiryo UI"/>
          </a:endParaRPr>
        </a:p>
      </xdr:txBody>
    </xdr:sp>
    <xdr:clientData/>
  </xdr:twoCellAnchor>
  <xdr:twoCellAnchor editAs="oneCell">
    <xdr:from>
      <xdr:col>3</xdr:col>
      <xdr:colOff>152400</xdr:colOff>
      <xdr:row>52</xdr:row>
      <xdr:rowOff>95250</xdr:rowOff>
    </xdr:from>
    <xdr:to>
      <xdr:col>5</xdr:col>
      <xdr:colOff>152400</xdr:colOff>
      <xdr:row>53</xdr:row>
      <xdr:rowOff>95250</xdr:rowOff>
    </xdr:to>
    <xdr:sp macro="" textlink="">
      <xdr:nvSpPr>
        <xdr:cNvPr id="32" name="使い方: 10時">
          <a:extLst>
            <a:ext uri="{FF2B5EF4-FFF2-40B4-BE49-F238E27FC236}">
              <a16:creationId xmlns:a16="http://schemas.microsoft.com/office/drawing/2014/main" id="{00000000-0008-0000-0100-000020000000}"/>
            </a:ext>
          </a:extLst>
        </xdr:cNvPr>
        <xdr:cNvSpPr/>
      </xdr:nvSpPr>
      <xdr:spPr>
        <a:xfrm>
          <a:off x="723900" y="10001250"/>
          <a:ext cx="381000" cy="190500"/>
        </a:xfrm>
        <a:prstGeom prst="rect">
          <a:avLst/>
        </a:prstGeom>
        <a:noFill/>
        <a:ln>
          <a:noFill/>
        </a:ln>
      </xdr:spPr>
      <xdr:txBody>
        <a:bodyPr vertOverflow="overflow" horzOverflow="overflow" wrap="none" lIns="0" tIns="0" rIns="0" bIns="0" rtlCol="0" anchor="ctr">
          <a:noAutofit/>
        </a:bodyPr>
        <a:lstStyle/>
        <a:p>
          <a:pPr algn="ctr"/>
          <a:r>
            <a:rPr lang="ja-JP" altLang="en-US" sz="800" b="1" dirty="0">
              <a:solidFill>
                <a:srgbClr val="262626"/>
              </a:solidFill>
              <a:latin typeface="Meiryo UI"/>
              <a:ea typeface="Meiryo UI"/>
              <a:cs typeface="Meiryo UI"/>
            </a:rPr>
            <a:t>10時</a:t>
          </a:r>
          <a:endParaRPr lang="ja-JP" altLang="en-US" sz="800" dirty="0">
            <a:latin typeface="Meiryo UI"/>
            <a:ea typeface="Meiryo UI"/>
          </a:endParaRPr>
        </a:p>
      </xdr:txBody>
    </xdr:sp>
    <xdr:clientData/>
  </xdr:twoCellAnchor>
  <xdr:twoCellAnchor editAs="oneCell">
    <xdr:from>
      <xdr:col>9</xdr:col>
      <xdr:colOff>142875</xdr:colOff>
      <xdr:row>50</xdr:row>
      <xdr:rowOff>142875</xdr:rowOff>
    </xdr:from>
    <xdr:to>
      <xdr:col>10</xdr:col>
      <xdr:colOff>47625</xdr:colOff>
      <xdr:row>51</xdr:row>
      <xdr:rowOff>47625</xdr:rowOff>
    </xdr:to>
    <xdr:sp macro="" textlink="">
      <xdr:nvSpPr>
        <xdr:cNvPr id="33" name="使い方: 接続点11">
          <a:extLst>
            <a:ext uri="{FF2B5EF4-FFF2-40B4-BE49-F238E27FC236}">
              <a16:creationId xmlns:a16="http://schemas.microsoft.com/office/drawing/2014/main" id="{00000000-0008-0000-0100-000021000000}"/>
            </a:ext>
          </a:extLst>
        </xdr:cNvPr>
        <xdr:cNvSpPr/>
      </xdr:nvSpPr>
      <xdr:spPr>
        <a:xfrm>
          <a:off x="1857375" y="9667875"/>
          <a:ext cx="95250" cy="95250"/>
        </a:xfrm>
        <a:prstGeom prst="ellipse">
          <a:avLst/>
        </a:prstGeom>
        <a:solidFill>
          <a:srgbClr val="7F7F7F"/>
        </a:solidFill>
        <a:ln w="6350" cap="flat">
          <a:solidFill>
            <a:srgbClr val="FFFFFF"/>
          </a:solidFill>
          <a:round/>
        </a:ln>
      </xdr:spPr>
      <xdr:txBody>
        <a:bodyPr vertOverflow="overflow" horzOverflow="overflow" wrap="square" lIns="38100" tIns="19050" rIns="38100" bIns="19050" rtlCol="0" anchor="ctr">
          <a:noAutofit/>
        </a:bodyPr>
        <a:lstStyle/>
        <a:p>
          <a:pPr algn="ctr"/>
          <a:endParaRPr lang="ja-JP" altLang="en-US" sz="500" dirty="0">
            <a:latin typeface="Meiryo UI"/>
            <a:ea typeface="Meiryo UI"/>
          </a:endParaRPr>
        </a:p>
      </xdr:txBody>
    </xdr:sp>
    <xdr:clientData/>
  </xdr:twoCellAnchor>
  <xdr:twoCellAnchor editAs="oneCell">
    <xdr:from>
      <xdr:col>9</xdr:col>
      <xdr:colOff>0</xdr:colOff>
      <xdr:row>49</xdr:row>
      <xdr:rowOff>95250</xdr:rowOff>
    </xdr:from>
    <xdr:to>
      <xdr:col>11</xdr:col>
      <xdr:colOff>0</xdr:colOff>
      <xdr:row>50</xdr:row>
      <xdr:rowOff>95250</xdr:rowOff>
    </xdr:to>
    <xdr:sp macro="" textlink="">
      <xdr:nvSpPr>
        <xdr:cNvPr id="34" name="使い方: 11時">
          <a:extLst>
            <a:ext uri="{FF2B5EF4-FFF2-40B4-BE49-F238E27FC236}">
              <a16:creationId xmlns:a16="http://schemas.microsoft.com/office/drawing/2014/main" id="{00000000-0008-0000-0100-000022000000}"/>
            </a:ext>
          </a:extLst>
        </xdr:cNvPr>
        <xdr:cNvSpPr/>
      </xdr:nvSpPr>
      <xdr:spPr>
        <a:xfrm>
          <a:off x="1714500" y="9429750"/>
          <a:ext cx="381000" cy="190500"/>
        </a:xfrm>
        <a:prstGeom prst="rect">
          <a:avLst/>
        </a:prstGeom>
        <a:noFill/>
        <a:ln>
          <a:noFill/>
        </a:ln>
      </xdr:spPr>
      <xdr:txBody>
        <a:bodyPr vertOverflow="overflow" horzOverflow="overflow" wrap="none" lIns="0" tIns="0" rIns="0" bIns="0" rtlCol="0" anchor="ctr">
          <a:noAutofit/>
        </a:bodyPr>
        <a:lstStyle/>
        <a:p>
          <a:pPr algn="ctr"/>
          <a:r>
            <a:rPr lang="ja-JP" altLang="en-US" sz="800" b="1" dirty="0">
              <a:solidFill>
                <a:srgbClr val="262626"/>
              </a:solidFill>
              <a:latin typeface="Meiryo UI"/>
              <a:ea typeface="Meiryo UI"/>
              <a:cs typeface="Meiryo UI"/>
            </a:rPr>
            <a:t>11時</a:t>
          </a:r>
          <a:endParaRPr lang="ja-JP" altLang="en-US" sz="800" dirty="0">
            <a:latin typeface="Meiryo UI"/>
            <a:ea typeface="Meiryo UI"/>
          </a:endParaRPr>
        </a:p>
      </xdr:txBody>
    </xdr:sp>
    <xdr:clientData/>
  </xdr:twoCellAnchor>
  <xdr:twoCellAnchor editAs="oneCell">
    <xdr:from>
      <xdr:col>60</xdr:col>
      <xdr:colOff>0</xdr:colOff>
      <xdr:row>50</xdr:row>
      <xdr:rowOff>0</xdr:rowOff>
    </xdr:from>
    <xdr:to>
      <xdr:col>68</xdr:col>
      <xdr:colOff>0</xdr:colOff>
      <xdr:row>62</xdr:row>
      <xdr:rowOff>0</xdr:rowOff>
    </xdr:to>
    <xdr:sp macro="" textlink="">
      <xdr:nvSpPr>
        <xdr:cNvPr id="35" name="使い方: 共通ノード">
          <a:extLst>
            <a:ext uri="{FF2B5EF4-FFF2-40B4-BE49-F238E27FC236}">
              <a16:creationId xmlns:a16="http://schemas.microsoft.com/office/drawing/2014/main" id="{00000000-0008-0000-0100-000023000000}"/>
            </a:ext>
          </a:extLst>
        </xdr:cNvPr>
        <xdr:cNvSpPr/>
      </xdr:nvSpPr>
      <xdr:spPr>
        <a:xfrm>
          <a:off x="11430000" y="9525000"/>
          <a:ext cx="1524000" cy="2286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FFFFFF"/>
        </a:solidFill>
        <a:ln w="12700" cap="flat">
          <a:solidFill>
            <a:srgbClr val="404040"/>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262626"/>
              </a:solidFill>
              <a:latin typeface="Meiryo UI"/>
              <a:ea typeface="Meiryo UI"/>
              <a:cs typeface="Meiryo UI"/>
            </a:rPr>
            <a:t>共通のノード</a:t>
          </a:r>
          <a:endParaRPr lang="ja-JP" altLang="en-US" sz="950" dirty="0">
            <a:latin typeface="Meiryo UI"/>
            <a:ea typeface="Meiryo UI"/>
          </a:endParaRPr>
        </a:p>
        <a:p>
          <a:pPr algn="ctr">
            <a:lnSpc>
              <a:spcPct val="95000"/>
            </a:lnSpc>
            <a:spcBef>
              <a:spcPts val="50"/>
            </a:spcBef>
          </a:pPr>
          <a:r>
            <a:rPr lang="ja-JP" altLang="en-US" sz="750" b="0" dirty="0">
              <a:solidFill>
                <a:srgbClr val="595959"/>
              </a:solidFill>
              <a:latin typeface="Meiryo UI"/>
              <a:ea typeface="Meiryo UI"/>
              <a:cs typeface="Meiryo UI"/>
            </a:rPr>
            <a:t>8×12マス</a:t>
          </a:r>
          <a:endParaRPr lang="ja-JP" altLang="en-US" sz="750" dirty="0">
            <a:latin typeface="Meiryo UI"/>
            <a:ea typeface="Meiryo UI"/>
          </a:endParaRPr>
        </a:p>
      </xdr:txBody>
    </xdr:sp>
    <xdr:clientData/>
  </xdr:twoCellAnchor>
  <xdr:twoCellAnchor editAs="oneCell">
    <xdr:from>
      <xdr:col>38</xdr:col>
      <xdr:colOff>0</xdr:colOff>
      <xdr:row>49</xdr:row>
      <xdr:rowOff>0</xdr:rowOff>
    </xdr:from>
    <xdr:to>
      <xdr:col>46</xdr:col>
      <xdr:colOff>0</xdr:colOff>
      <xdr:row>53</xdr:row>
      <xdr:rowOff>0</xdr:rowOff>
    </xdr:to>
    <xdr:sp macro="" textlink="">
      <xdr:nvSpPr>
        <xdr:cNvPr id="36" name="使い方: 接続元A">
          <a:extLst>
            <a:ext uri="{FF2B5EF4-FFF2-40B4-BE49-F238E27FC236}">
              <a16:creationId xmlns:a16="http://schemas.microsoft.com/office/drawing/2014/main" id="{00000000-0008-0000-0100-000024000000}"/>
            </a:ext>
          </a:extLst>
        </xdr:cNvPr>
        <xdr:cNvSpPr/>
      </xdr:nvSpPr>
      <xdr:spPr>
        <a:xfrm>
          <a:off x="7239000" y="9334500"/>
          <a:ext cx="1524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315C92"/>
        </a:solidFill>
        <a:ln w="15875" cap="flat">
          <a:solidFill>
            <a:srgbClr val="315C92"/>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FFFFFF"/>
              </a:solidFill>
              <a:latin typeface="Meiryo UI"/>
              <a:ea typeface="Meiryo UI"/>
              <a:cs typeface="Meiryo UI"/>
            </a:rPr>
            <a:t>ルートA</a:t>
          </a:r>
          <a:endParaRPr lang="ja-JP" altLang="en-US" sz="950" dirty="0">
            <a:latin typeface="Meiryo UI"/>
            <a:ea typeface="Meiryo UI"/>
          </a:endParaRPr>
        </a:p>
      </xdr:txBody>
    </xdr:sp>
    <xdr:clientData/>
  </xdr:twoCellAnchor>
  <xdr:twoCellAnchor editAs="oneCell">
    <xdr:from>
      <xdr:col>38</xdr:col>
      <xdr:colOff>0</xdr:colOff>
      <xdr:row>54</xdr:row>
      <xdr:rowOff>0</xdr:rowOff>
    </xdr:from>
    <xdr:to>
      <xdr:col>46</xdr:col>
      <xdr:colOff>0</xdr:colOff>
      <xdr:row>58</xdr:row>
      <xdr:rowOff>0</xdr:rowOff>
    </xdr:to>
    <xdr:sp macro="" textlink="">
      <xdr:nvSpPr>
        <xdr:cNvPr id="37" name="使い方: 接続元B">
          <a:extLst>
            <a:ext uri="{FF2B5EF4-FFF2-40B4-BE49-F238E27FC236}">
              <a16:creationId xmlns:a16="http://schemas.microsoft.com/office/drawing/2014/main" id="{00000000-0008-0000-0100-000025000000}"/>
            </a:ext>
          </a:extLst>
        </xdr:cNvPr>
        <xdr:cNvSpPr/>
      </xdr:nvSpPr>
      <xdr:spPr>
        <a:xfrm>
          <a:off x="7239000" y="10287000"/>
          <a:ext cx="1524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247966"/>
        </a:solidFill>
        <a:ln w="15875" cap="flat">
          <a:solidFill>
            <a:srgbClr val="247966"/>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FFFFFF"/>
              </a:solidFill>
              <a:latin typeface="Meiryo UI"/>
              <a:ea typeface="Meiryo UI"/>
              <a:cs typeface="Meiryo UI"/>
            </a:rPr>
            <a:t>ルートB</a:t>
          </a:r>
          <a:endParaRPr lang="ja-JP" altLang="en-US" sz="950" dirty="0">
            <a:latin typeface="Meiryo UI"/>
            <a:ea typeface="Meiryo UI"/>
          </a:endParaRPr>
        </a:p>
      </xdr:txBody>
    </xdr:sp>
    <xdr:clientData/>
  </xdr:twoCellAnchor>
  <xdr:twoCellAnchor editAs="oneCell">
    <xdr:from>
      <xdr:col>38</xdr:col>
      <xdr:colOff>0</xdr:colOff>
      <xdr:row>59</xdr:row>
      <xdr:rowOff>0</xdr:rowOff>
    </xdr:from>
    <xdr:to>
      <xdr:col>46</xdr:col>
      <xdr:colOff>0</xdr:colOff>
      <xdr:row>63</xdr:row>
      <xdr:rowOff>0</xdr:rowOff>
    </xdr:to>
    <xdr:sp macro="" textlink="">
      <xdr:nvSpPr>
        <xdr:cNvPr id="38" name="使い方: 接続元C">
          <a:extLst>
            <a:ext uri="{FF2B5EF4-FFF2-40B4-BE49-F238E27FC236}">
              <a16:creationId xmlns:a16="http://schemas.microsoft.com/office/drawing/2014/main" id="{00000000-0008-0000-0100-000026000000}"/>
            </a:ext>
          </a:extLst>
        </xdr:cNvPr>
        <xdr:cNvSpPr/>
      </xdr:nvSpPr>
      <xdr:spPr>
        <a:xfrm>
          <a:off x="7239000" y="11239500"/>
          <a:ext cx="1524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C46B39"/>
        </a:solidFill>
        <a:ln w="15875" cap="flat">
          <a:solidFill>
            <a:srgbClr val="C46B39"/>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FFFFFF"/>
              </a:solidFill>
              <a:latin typeface="Meiryo UI"/>
              <a:ea typeface="Meiryo UI"/>
              <a:cs typeface="Meiryo UI"/>
            </a:rPr>
            <a:t>ルートC</a:t>
          </a:r>
          <a:endParaRPr lang="ja-JP" altLang="en-US" sz="950" dirty="0">
            <a:latin typeface="Meiryo UI"/>
            <a:ea typeface="Meiryo UI"/>
          </a:endParaRPr>
        </a:p>
      </xdr:txBody>
    </xdr:sp>
    <xdr:clientData/>
  </xdr:twoCellAnchor>
  <xdr:twoCellAnchor editAs="oneCell">
    <xdr:from>
      <xdr:col>46</xdr:col>
      <xdr:colOff>0</xdr:colOff>
      <xdr:row>51</xdr:row>
      <xdr:rowOff>0</xdr:rowOff>
    </xdr:from>
    <xdr:to>
      <xdr:col>60</xdr:col>
      <xdr:colOff>0</xdr:colOff>
      <xdr:row>53</xdr:row>
      <xdr:rowOff>0</xdr:rowOff>
    </xdr:to>
    <xdr:cxnSp macro="">
      <xdr:nvCxnSpPr>
        <xdr:cNvPr id="39" name="使い方: 線A">
          <a:extLst>
            <a:ext uri="{FF2B5EF4-FFF2-40B4-BE49-F238E27FC236}">
              <a16:creationId xmlns:a16="http://schemas.microsoft.com/office/drawing/2014/main" id="{00000000-0008-0000-0100-000027000000}"/>
            </a:ext>
          </a:extLst>
        </xdr:cNvPr>
        <xdr:cNvCxnSpPr>
          <a:stCxn id="36" idx="3"/>
          <a:endCxn id="35" idx="10"/>
        </xdr:cNvCxnSpPr>
      </xdr:nvCxnSpPr>
      <xdr:spPr>
        <a:xfrm>
          <a:off x="8763000" y="9648265"/>
          <a:ext cx="2667000" cy="381000"/>
        </a:xfrm>
        <a:prstGeom prst="bentConnector3">
          <a:avLst/>
        </a:prstGeom>
        <a:ln w="19050" cap="flat">
          <a:solidFill>
            <a:srgbClr val="315C92"/>
          </a:solidFill>
          <a:round/>
          <a:tailEnd type="triangle" w="med" len="med"/>
        </a:ln>
      </xdr:spPr>
    </xdr:cxnSp>
    <xdr:clientData/>
  </xdr:twoCellAnchor>
  <xdr:twoCellAnchor editAs="oneCell">
    <xdr:from>
      <xdr:col>46</xdr:col>
      <xdr:colOff>0</xdr:colOff>
      <xdr:row>56</xdr:row>
      <xdr:rowOff>0</xdr:rowOff>
    </xdr:from>
    <xdr:to>
      <xdr:col>60</xdr:col>
      <xdr:colOff>0</xdr:colOff>
      <xdr:row>56</xdr:row>
      <xdr:rowOff>0</xdr:rowOff>
    </xdr:to>
    <xdr:cxnSp macro="">
      <xdr:nvCxnSpPr>
        <xdr:cNvPr id="40" name="使い方: 線B">
          <a:extLst>
            <a:ext uri="{FF2B5EF4-FFF2-40B4-BE49-F238E27FC236}">
              <a16:creationId xmlns:a16="http://schemas.microsoft.com/office/drawing/2014/main" id="{00000000-0008-0000-0100-000028000000}"/>
            </a:ext>
          </a:extLst>
        </xdr:cNvPr>
        <xdr:cNvCxnSpPr>
          <a:stCxn id="37" idx="3"/>
          <a:endCxn id="35" idx="9"/>
        </xdr:cNvCxnSpPr>
      </xdr:nvCxnSpPr>
      <xdr:spPr>
        <a:xfrm>
          <a:off x="8763000" y="10600765"/>
          <a:ext cx="2667000" cy="0"/>
        </a:xfrm>
        <a:prstGeom prst="straightConnector1">
          <a:avLst/>
        </a:prstGeom>
        <a:ln w="19050" cap="flat">
          <a:solidFill>
            <a:srgbClr val="247966"/>
          </a:solidFill>
          <a:round/>
          <a:tailEnd type="triangle" w="med" len="med"/>
        </a:ln>
      </xdr:spPr>
    </xdr:cxnSp>
    <xdr:clientData/>
  </xdr:twoCellAnchor>
  <xdr:twoCellAnchor editAs="oneCell">
    <xdr:from>
      <xdr:col>46</xdr:col>
      <xdr:colOff>0</xdr:colOff>
      <xdr:row>59</xdr:row>
      <xdr:rowOff>0</xdr:rowOff>
    </xdr:from>
    <xdr:to>
      <xdr:col>60</xdr:col>
      <xdr:colOff>0</xdr:colOff>
      <xdr:row>61</xdr:row>
      <xdr:rowOff>0</xdr:rowOff>
    </xdr:to>
    <xdr:cxnSp macro="">
      <xdr:nvCxnSpPr>
        <xdr:cNvPr id="41" name="使い方: 線C">
          <a:extLst>
            <a:ext uri="{FF2B5EF4-FFF2-40B4-BE49-F238E27FC236}">
              <a16:creationId xmlns:a16="http://schemas.microsoft.com/office/drawing/2014/main" id="{00000000-0008-0000-0100-000029000000}"/>
            </a:ext>
          </a:extLst>
        </xdr:cNvPr>
        <xdr:cNvCxnSpPr>
          <a:stCxn id="38" idx="3"/>
          <a:endCxn id="35" idx="8"/>
        </xdr:cNvCxnSpPr>
      </xdr:nvCxnSpPr>
      <xdr:spPr>
        <a:xfrm flipV="1">
          <a:off x="8763000" y="11172265"/>
          <a:ext cx="2667000" cy="381000"/>
        </a:xfrm>
        <a:prstGeom prst="bentConnector3">
          <a:avLst/>
        </a:prstGeom>
        <a:ln w="19050" cap="flat">
          <a:solidFill>
            <a:srgbClr val="C46B39"/>
          </a:solidFill>
          <a:round/>
          <a:tailEnd type="triangle" w="med" len="med"/>
        </a:ln>
      </xdr:spPr>
    </xdr:cxnSp>
    <xdr:clientData/>
  </xdr:twoCellAnchor>
  <xdr:twoCellAnchor editAs="oneCell">
    <xdr:from>
      <xdr:col>38</xdr:col>
      <xdr:colOff>0</xdr:colOff>
      <xdr:row>63</xdr:row>
      <xdr:rowOff>0</xdr:rowOff>
    </xdr:from>
    <xdr:to>
      <xdr:col>70</xdr:col>
      <xdr:colOff>0</xdr:colOff>
      <xdr:row>64</xdr:row>
      <xdr:rowOff>0</xdr:rowOff>
    </xdr:to>
    <xdr:sp macro="" textlink="">
      <xdr:nvSpPr>
        <xdr:cNvPr id="42" name="使い方: 説明">
          <a:extLst>
            <a:ext uri="{FF2B5EF4-FFF2-40B4-BE49-F238E27FC236}">
              <a16:creationId xmlns:a16="http://schemas.microsoft.com/office/drawing/2014/main" id="{00000000-0008-0000-0100-00002A000000}"/>
            </a:ext>
          </a:extLst>
        </xdr:cNvPr>
        <xdr:cNvSpPr/>
      </xdr:nvSpPr>
      <xdr:spPr>
        <a:xfrm>
          <a:off x="7239000" y="12001500"/>
          <a:ext cx="6096000" cy="190500"/>
        </a:xfrm>
        <a:prstGeom prst="rect">
          <a:avLst/>
        </a:prstGeom>
        <a:noFill/>
        <a:ln>
          <a:noFill/>
        </a:ln>
      </xdr:spPr>
      <xdr:txBody>
        <a:bodyPr vertOverflow="overflow" horzOverflow="overflow" wrap="square" lIns="12700" tIns="0" rIns="12700" bIns="0" rtlCol="0" anchor="ctr">
          <a:noAutofit/>
        </a:bodyPr>
        <a:lstStyle/>
        <a:p>
          <a:pPr algn="l"/>
          <a:r>
            <a:rPr lang="ja-JP" altLang="en-US" sz="800" b="0" dirty="0">
              <a:solidFill>
                <a:srgbClr val="595959"/>
              </a:solidFill>
              <a:latin typeface="Meiryo UI"/>
              <a:ea typeface="Meiryo UI"/>
              <a:cs typeface="Meiryo UI"/>
            </a:rPr>
            <a:t>↑ 左辺の10時・9時・8時に3ルートの線を入れた例（線が重なりません）</a:t>
          </a:r>
          <a:endParaRPr lang="ja-JP" altLang="en-US" sz="800" dirty="0">
            <a:latin typeface="Meiryo UI"/>
            <a:ea typeface="Meiryo UI"/>
          </a:endParaRPr>
        </a:p>
      </xdr:txBody>
    </xdr:sp>
    <xdr:clientData/>
  </xdr:twoCellAnchor>
  <xdr:twoCellAnchor editAs="oneCell">
    <xdr:from>
      <xdr:col>3</xdr:col>
      <xdr:colOff>0</xdr:colOff>
      <xdr:row>92</xdr:row>
      <xdr:rowOff>95250</xdr:rowOff>
    </xdr:from>
    <xdr:to>
      <xdr:col>10</xdr:col>
      <xdr:colOff>95250</xdr:colOff>
      <xdr:row>92</xdr:row>
      <xdr:rowOff>95250</xdr:rowOff>
    </xdr:to>
    <xdr:cxnSp macro="">
      <xdr:nvCxnSpPr>
        <xdr:cNvPr id="43" name="使い方: 線の見本 data">
          <a:extLst>
            <a:ext uri="{FF2B5EF4-FFF2-40B4-BE49-F238E27FC236}">
              <a16:creationId xmlns:a16="http://schemas.microsoft.com/office/drawing/2014/main" id="{00000000-0008-0000-0100-00002B000000}"/>
            </a:ext>
          </a:extLst>
        </xdr:cNvPr>
        <xdr:cNvCxnSpPr/>
      </xdr:nvCxnSpPr>
      <xdr:spPr>
        <a:xfrm>
          <a:off x="571500" y="17621250"/>
          <a:ext cx="1428750" cy="0"/>
        </a:xfrm>
        <a:prstGeom prst="bentConnector3">
          <a:avLst/>
        </a:prstGeom>
        <a:ln w="19050" cap="flat">
          <a:solidFill>
            <a:srgbClr val="404040"/>
          </a:solidFill>
          <a:round/>
          <a:tailEnd type="triangle" w="med" len="med"/>
        </a:ln>
      </xdr:spPr>
    </xdr:cxnSp>
    <xdr:clientData/>
  </xdr:twoCellAnchor>
  <xdr:twoCellAnchor editAs="oneCell">
    <xdr:from>
      <xdr:col>3</xdr:col>
      <xdr:colOff>0</xdr:colOff>
      <xdr:row>93</xdr:row>
      <xdr:rowOff>95250</xdr:rowOff>
    </xdr:from>
    <xdr:to>
      <xdr:col>10</xdr:col>
      <xdr:colOff>95250</xdr:colOff>
      <xdr:row>93</xdr:row>
      <xdr:rowOff>95250</xdr:rowOff>
    </xdr:to>
    <xdr:cxnSp macro="">
      <xdr:nvCxnSpPr>
        <xdr:cNvPr id="44" name="使い方: 線の見本 both">
          <a:extLst>
            <a:ext uri="{FF2B5EF4-FFF2-40B4-BE49-F238E27FC236}">
              <a16:creationId xmlns:a16="http://schemas.microsoft.com/office/drawing/2014/main" id="{00000000-0008-0000-0100-00002C000000}"/>
            </a:ext>
          </a:extLst>
        </xdr:cNvPr>
        <xdr:cNvCxnSpPr/>
      </xdr:nvCxnSpPr>
      <xdr:spPr>
        <a:xfrm>
          <a:off x="571500" y="17811750"/>
          <a:ext cx="1428750" cy="0"/>
        </a:xfrm>
        <a:prstGeom prst="bentConnector3">
          <a:avLst/>
        </a:prstGeom>
        <a:ln w="19050" cap="flat">
          <a:solidFill>
            <a:srgbClr val="404040"/>
          </a:solidFill>
          <a:round/>
          <a:headEnd type="triangle" w="med" len="med"/>
          <a:tailEnd type="triangle" w="med" len="med"/>
        </a:ln>
      </xdr:spPr>
    </xdr:cxnSp>
    <xdr:clientData/>
  </xdr:twoCellAnchor>
  <xdr:twoCellAnchor editAs="oneCell">
    <xdr:from>
      <xdr:col>3</xdr:col>
      <xdr:colOff>0</xdr:colOff>
      <xdr:row>94</xdr:row>
      <xdr:rowOff>95250</xdr:rowOff>
    </xdr:from>
    <xdr:to>
      <xdr:col>10</xdr:col>
      <xdr:colOff>95250</xdr:colOff>
      <xdr:row>94</xdr:row>
      <xdr:rowOff>95250</xdr:rowOff>
    </xdr:to>
    <xdr:cxnSp macro="">
      <xdr:nvCxnSpPr>
        <xdr:cNvPr id="45" name="使い方: 線の見本 batch">
          <a:extLst>
            <a:ext uri="{FF2B5EF4-FFF2-40B4-BE49-F238E27FC236}">
              <a16:creationId xmlns:a16="http://schemas.microsoft.com/office/drawing/2014/main" id="{00000000-0008-0000-0100-00002D000000}"/>
            </a:ext>
          </a:extLst>
        </xdr:cNvPr>
        <xdr:cNvCxnSpPr/>
      </xdr:nvCxnSpPr>
      <xdr:spPr>
        <a:xfrm>
          <a:off x="571500" y="18002250"/>
          <a:ext cx="1428750" cy="0"/>
        </a:xfrm>
        <a:prstGeom prst="bentConnector3">
          <a:avLst/>
        </a:prstGeom>
        <a:ln w="19050" cap="flat">
          <a:solidFill>
            <a:srgbClr val="404040"/>
          </a:solidFill>
          <a:prstDash val="dash"/>
          <a:round/>
          <a:tailEnd type="triangle" w="med" len="med"/>
        </a:ln>
      </xdr:spPr>
    </xdr:cxnSp>
    <xdr:clientData/>
  </xdr:twoCellAnchor>
  <xdr:twoCellAnchor editAs="oneCell">
    <xdr:from>
      <xdr:col>3</xdr:col>
      <xdr:colOff>0</xdr:colOff>
      <xdr:row>95</xdr:row>
      <xdr:rowOff>95250</xdr:rowOff>
    </xdr:from>
    <xdr:to>
      <xdr:col>10</xdr:col>
      <xdr:colOff>95250</xdr:colOff>
      <xdr:row>95</xdr:row>
      <xdr:rowOff>95250</xdr:rowOff>
    </xdr:to>
    <xdr:cxnSp macro="">
      <xdr:nvCxnSpPr>
        <xdr:cNvPr id="46" name="使い方: 線の見本 monitor">
          <a:extLst>
            <a:ext uri="{FF2B5EF4-FFF2-40B4-BE49-F238E27FC236}">
              <a16:creationId xmlns:a16="http://schemas.microsoft.com/office/drawing/2014/main" id="{00000000-0008-0000-0100-00002E000000}"/>
            </a:ext>
          </a:extLst>
        </xdr:cNvPr>
        <xdr:cNvCxnSpPr/>
      </xdr:nvCxnSpPr>
      <xdr:spPr>
        <a:xfrm>
          <a:off x="571500" y="18192750"/>
          <a:ext cx="1428750" cy="0"/>
        </a:xfrm>
        <a:prstGeom prst="bentConnector3">
          <a:avLst/>
        </a:prstGeom>
        <a:ln w="12700" cap="flat">
          <a:solidFill>
            <a:srgbClr val="404040"/>
          </a:solidFill>
          <a:prstDash val="sysDot"/>
          <a:round/>
          <a:tailEnd type="triangle" w="med" len="med"/>
        </a:ln>
      </xdr:spPr>
    </xdr:cxnSp>
    <xdr:clientData/>
  </xdr:twoCellAnchor>
  <xdr:twoCellAnchor editAs="oneCell">
    <xdr:from>
      <xdr:col>3</xdr:col>
      <xdr:colOff>0</xdr:colOff>
      <xdr:row>96</xdr:row>
      <xdr:rowOff>95250</xdr:rowOff>
    </xdr:from>
    <xdr:to>
      <xdr:col>10</xdr:col>
      <xdr:colOff>95250</xdr:colOff>
      <xdr:row>96</xdr:row>
      <xdr:rowOff>95250</xdr:rowOff>
    </xdr:to>
    <xdr:cxnSp macro="">
      <xdr:nvCxnSpPr>
        <xdr:cNvPr id="47" name="使い方: 線の見本 net">
          <a:extLst>
            <a:ext uri="{FF2B5EF4-FFF2-40B4-BE49-F238E27FC236}">
              <a16:creationId xmlns:a16="http://schemas.microsoft.com/office/drawing/2014/main" id="{00000000-0008-0000-0100-00002F000000}"/>
            </a:ext>
          </a:extLst>
        </xdr:cNvPr>
        <xdr:cNvCxnSpPr/>
      </xdr:nvCxnSpPr>
      <xdr:spPr>
        <a:xfrm>
          <a:off x="571500" y="18383250"/>
          <a:ext cx="1428750" cy="0"/>
        </a:xfrm>
        <a:prstGeom prst="bentConnector3">
          <a:avLst/>
        </a:prstGeom>
        <a:ln w="12700" cap="flat">
          <a:solidFill>
            <a:srgbClr val="404040"/>
          </a:solidFill>
          <a:round/>
        </a:ln>
      </xdr:spPr>
    </xdr:cxnSp>
    <xdr:clientData/>
  </xdr:twoCellAnchor>
  <xdr:twoCellAnchor editAs="oneCell">
    <xdr:from>
      <xdr:col>3</xdr:col>
      <xdr:colOff>0</xdr:colOff>
      <xdr:row>97</xdr:row>
      <xdr:rowOff>95250</xdr:rowOff>
    </xdr:from>
    <xdr:to>
      <xdr:col>10</xdr:col>
      <xdr:colOff>95250</xdr:colOff>
      <xdr:row>97</xdr:row>
      <xdr:rowOff>95250</xdr:rowOff>
    </xdr:to>
    <xdr:cxnSp macro="">
      <xdr:nvCxnSpPr>
        <xdr:cNvPr id="48" name="使い方: 線の見本 lease">
          <a:extLst>
            <a:ext uri="{FF2B5EF4-FFF2-40B4-BE49-F238E27FC236}">
              <a16:creationId xmlns:a16="http://schemas.microsoft.com/office/drawing/2014/main" id="{00000000-0008-0000-0100-000030000000}"/>
            </a:ext>
          </a:extLst>
        </xdr:cNvPr>
        <xdr:cNvCxnSpPr/>
      </xdr:nvCxnSpPr>
      <xdr:spPr>
        <a:xfrm>
          <a:off x="571500" y="18573750"/>
          <a:ext cx="1428750" cy="0"/>
        </a:xfrm>
        <a:prstGeom prst="bentConnector3">
          <a:avLst/>
        </a:prstGeom>
        <a:ln w="38100" cap="flat">
          <a:solidFill>
            <a:srgbClr val="404040"/>
          </a:solidFill>
          <a:round/>
        </a:ln>
      </xdr:spPr>
    </xdr:cxnSp>
    <xdr:clientData/>
  </xdr:twoCellAnchor>
  <xdr:twoCellAnchor editAs="oneCell">
    <xdr:from>
      <xdr:col>3</xdr:col>
      <xdr:colOff>0</xdr:colOff>
      <xdr:row>98</xdr:row>
      <xdr:rowOff>95250</xdr:rowOff>
    </xdr:from>
    <xdr:to>
      <xdr:col>10</xdr:col>
      <xdr:colOff>95250</xdr:colOff>
      <xdr:row>98</xdr:row>
      <xdr:rowOff>95250</xdr:rowOff>
    </xdr:to>
    <xdr:cxnSp macro="">
      <xdr:nvCxnSpPr>
        <xdr:cNvPr id="49" name="使い方: 線の見本 vpn">
          <a:extLst>
            <a:ext uri="{FF2B5EF4-FFF2-40B4-BE49-F238E27FC236}">
              <a16:creationId xmlns:a16="http://schemas.microsoft.com/office/drawing/2014/main" id="{00000000-0008-0000-0100-000031000000}"/>
            </a:ext>
          </a:extLst>
        </xdr:cNvPr>
        <xdr:cNvCxnSpPr/>
      </xdr:nvCxnSpPr>
      <xdr:spPr>
        <a:xfrm>
          <a:off x="571500" y="18764250"/>
          <a:ext cx="1428750" cy="0"/>
        </a:xfrm>
        <a:prstGeom prst="bentConnector3">
          <a:avLst/>
        </a:prstGeom>
        <a:ln w="12700" cap="flat">
          <a:solidFill>
            <a:srgbClr val="404040"/>
          </a:solidFill>
          <a:prstDash val="dash"/>
          <a:round/>
        </a:ln>
      </xdr:spPr>
    </xdr:cxnSp>
    <xdr:clientData/>
  </xdr:twoCellAnchor>
  <xdr:twoCellAnchor editAs="oneCell">
    <xdr:from>
      <xdr:col>3</xdr:col>
      <xdr:colOff>0</xdr:colOff>
      <xdr:row>99</xdr:row>
      <xdr:rowOff>95250</xdr:rowOff>
    </xdr:from>
    <xdr:to>
      <xdr:col>10</xdr:col>
      <xdr:colOff>95250</xdr:colOff>
      <xdr:row>99</xdr:row>
      <xdr:rowOff>95250</xdr:rowOff>
    </xdr:to>
    <xdr:cxnSp macro="">
      <xdr:nvCxnSpPr>
        <xdr:cNvPr id="50" name="使い方: 線の見本 既存">
          <a:extLst>
            <a:ext uri="{FF2B5EF4-FFF2-40B4-BE49-F238E27FC236}">
              <a16:creationId xmlns:a16="http://schemas.microsoft.com/office/drawing/2014/main" id="{00000000-0008-0000-0100-000032000000}"/>
            </a:ext>
          </a:extLst>
        </xdr:cNvPr>
        <xdr:cNvCxnSpPr/>
      </xdr:nvCxnSpPr>
      <xdr:spPr>
        <a:xfrm>
          <a:off x="571500" y="18954750"/>
          <a:ext cx="1428750" cy="0"/>
        </a:xfrm>
        <a:prstGeom prst="bentConnector3">
          <a:avLst/>
        </a:prstGeom>
        <a:ln w="19050" cap="flat">
          <a:solidFill>
            <a:srgbClr val="7F7F7F"/>
          </a:solidFill>
          <a:round/>
          <a:tailEnd type="triangle"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6</xdr:row>
      <xdr:rowOff>0</xdr:rowOff>
    </xdr:from>
    <xdr:to>
      <xdr:col>14</xdr:col>
      <xdr:colOff>0</xdr:colOff>
      <xdr:row>15</xdr:row>
      <xdr:rowOff>0</xdr:rowOff>
    </xdr:to>
    <xdr:sp macro="" textlink="">
      <xdr:nvSpPr>
        <xdr:cNvPr id="2" name="ゾーン: ルートA">
          <a:extLst>
            <a:ext uri="{FF2B5EF4-FFF2-40B4-BE49-F238E27FC236}">
              <a16:creationId xmlns:a16="http://schemas.microsoft.com/office/drawing/2014/main" id="{00000000-0008-0000-0200-000002000000}"/>
            </a:ext>
          </a:extLst>
        </xdr:cNvPr>
        <xdr:cNvSpPr/>
      </xdr:nvSpPr>
      <xdr:spPr>
        <a:xfrm>
          <a:off x="381000" y="1143000"/>
          <a:ext cx="2286000" cy="1714500"/>
        </a:xfrm>
        <a:prstGeom prst="rect">
          <a:avLst/>
        </a:prstGeom>
        <a:solidFill>
          <a:srgbClr val="F3F8FF"/>
        </a:solidFill>
        <a:ln w="9525" cap="flat">
          <a:solidFill>
            <a:srgbClr val="BCD3F2"/>
          </a:solidFill>
          <a:round/>
        </a:ln>
      </xdr:spPr>
      <xdr:txBody>
        <a:bodyPr vertOverflow="overflow" horzOverflow="overflow" wrap="square" lIns="76200" tIns="50800" rIns="76200" bIns="50800" rtlCol="0" anchor="t">
          <a:noAutofit/>
        </a:bodyPr>
        <a:lstStyle/>
        <a:p>
          <a:pPr algn="l"/>
          <a:r>
            <a:rPr lang="ja-JP" altLang="en-US" sz="950" b="1" dirty="0">
              <a:solidFill>
                <a:srgbClr val="113866"/>
              </a:solidFill>
              <a:latin typeface="Meiryo UI"/>
              <a:ea typeface="Meiryo UI"/>
              <a:cs typeface="Meiryo UI"/>
            </a:rPr>
            <a:t>ルートA｜（接続元の名称）</a:t>
          </a:r>
          <a:endParaRPr lang="ja-JP" altLang="en-US" sz="950" dirty="0">
            <a:latin typeface="Meiryo UI"/>
            <a:ea typeface="Meiryo UI"/>
          </a:endParaRPr>
        </a:p>
        <a:p>
          <a:pPr algn="l"/>
          <a:r>
            <a:rPr lang="ja-JP" altLang="en-US" sz="750" b="0" dirty="0">
              <a:solidFill>
                <a:srgbClr val="595959"/>
              </a:solidFill>
              <a:latin typeface="Meiryo UI"/>
              <a:ea typeface="Meiryo UI"/>
              <a:cs typeface="Meiryo UI"/>
            </a:rPr>
            <a:t>ゾーン名は直接編集。不要なら削除</a:t>
          </a:r>
          <a:endParaRPr lang="ja-JP" altLang="en-US" sz="750" dirty="0">
            <a:latin typeface="Meiryo UI"/>
            <a:ea typeface="Meiryo UI"/>
          </a:endParaRPr>
        </a:p>
      </xdr:txBody>
    </xdr:sp>
    <xdr:clientData/>
  </xdr:twoCellAnchor>
  <xdr:twoCellAnchor editAs="oneCell">
    <xdr:from>
      <xdr:col>2</xdr:col>
      <xdr:colOff>0</xdr:colOff>
      <xdr:row>17</xdr:row>
      <xdr:rowOff>0</xdr:rowOff>
    </xdr:from>
    <xdr:to>
      <xdr:col>14</xdr:col>
      <xdr:colOff>0</xdr:colOff>
      <xdr:row>30</xdr:row>
      <xdr:rowOff>0</xdr:rowOff>
    </xdr:to>
    <xdr:sp macro="" textlink="">
      <xdr:nvSpPr>
        <xdr:cNvPr id="3" name="ゾーン: ルートB">
          <a:extLst>
            <a:ext uri="{FF2B5EF4-FFF2-40B4-BE49-F238E27FC236}">
              <a16:creationId xmlns:a16="http://schemas.microsoft.com/office/drawing/2014/main" id="{00000000-0008-0000-0200-000003000000}"/>
            </a:ext>
          </a:extLst>
        </xdr:cNvPr>
        <xdr:cNvSpPr/>
      </xdr:nvSpPr>
      <xdr:spPr>
        <a:xfrm>
          <a:off x="381000" y="3238500"/>
          <a:ext cx="2286000" cy="2476500"/>
        </a:xfrm>
        <a:prstGeom prst="rect">
          <a:avLst/>
        </a:prstGeom>
        <a:solidFill>
          <a:srgbClr val="F1FAF7"/>
        </a:solidFill>
        <a:ln w="9525" cap="flat">
          <a:solidFill>
            <a:srgbClr val="B0DCCF"/>
          </a:solidFill>
          <a:round/>
        </a:ln>
      </xdr:spPr>
      <xdr:txBody>
        <a:bodyPr vertOverflow="overflow" horzOverflow="overflow" wrap="square" lIns="76200" tIns="50800" rIns="76200" bIns="50800" rtlCol="0" anchor="t">
          <a:noAutofit/>
        </a:bodyPr>
        <a:lstStyle/>
        <a:p>
          <a:pPr algn="l"/>
          <a:r>
            <a:rPr lang="ja-JP" altLang="en-US" sz="950" b="1" dirty="0">
              <a:solidFill>
                <a:srgbClr val="005243"/>
              </a:solidFill>
              <a:latin typeface="Meiryo UI"/>
              <a:ea typeface="Meiryo UI"/>
              <a:cs typeface="Meiryo UI"/>
            </a:rPr>
            <a:t>ルートB｜（接続元の名称）</a:t>
          </a:r>
          <a:endParaRPr lang="ja-JP" altLang="en-US" sz="950" dirty="0">
            <a:latin typeface="Meiryo UI"/>
            <a:ea typeface="Meiryo UI"/>
          </a:endParaRPr>
        </a:p>
        <a:p>
          <a:pPr algn="l"/>
          <a:r>
            <a:rPr lang="ja-JP" altLang="en-US" sz="750" b="0" dirty="0">
              <a:solidFill>
                <a:srgbClr val="595959"/>
              </a:solidFill>
              <a:latin typeface="Meiryo UI"/>
              <a:ea typeface="Meiryo UI"/>
              <a:cs typeface="Meiryo UI"/>
            </a:rPr>
            <a:t>ゾーン名は直接編集。不要なら削除</a:t>
          </a:r>
          <a:endParaRPr lang="ja-JP" altLang="en-US" sz="750" dirty="0">
            <a:latin typeface="Meiryo UI"/>
            <a:ea typeface="Meiryo UI"/>
          </a:endParaRPr>
        </a:p>
      </xdr:txBody>
    </xdr:sp>
    <xdr:clientData/>
  </xdr:twoCellAnchor>
  <xdr:twoCellAnchor editAs="oneCell">
    <xdr:from>
      <xdr:col>2</xdr:col>
      <xdr:colOff>0</xdr:colOff>
      <xdr:row>32</xdr:row>
      <xdr:rowOff>0</xdr:rowOff>
    </xdr:from>
    <xdr:to>
      <xdr:col>14</xdr:col>
      <xdr:colOff>0</xdr:colOff>
      <xdr:row>41</xdr:row>
      <xdr:rowOff>0</xdr:rowOff>
    </xdr:to>
    <xdr:sp macro="" textlink="">
      <xdr:nvSpPr>
        <xdr:cNvPr id="4" name="ゾーン: ルートC">
          <a:extLst>
            <a:ext uri="{FF2B5EF4-FFF2-40B4-BE49-F238E27FC236}">
              <a16:creationId xmlns:a16="http://schemas.microsoft.com/office/drawing/2014/main" id="{00000000-0008-0000-0200-000004000000}"/>
            </a:ext>
          </a:extLst>
        </xdr:cNvPr>
        <xdr:cNvSpPr/>
      </xdr:nvSpPr>
      <xdr:spPr>
        <a:xfrm>
          <a:off x="381000" y="6096000"/>
          <a:ext cx="2286000" cy="1714500"/>
        </a:xfrm>
        <a:prstGeom prst="rect">
          <a:avLst/>
        </a:prstGeom>
        <a:solidFill>
          <a:srgbClr val="FEF6F2"/>
        </a:solidFill>
        <a:ln w="9525" cap="flat">
          <a:solidFill>
            <a:srgbClr val="EEC8B5"/>
          </a:solidFill>
          <a:round/>
        </a:ln>
      </xdr:spPr>
      <xdr:txBody>
        <a:bodyPr vertOverflow="overflow" horzOverflow="overflow" wrap="square" lIns="76200" tIns="50800" rIns="76200" bIns="50800" rtlCol="0" anchor="t">
          <a:noAutofit/>
        </a:bodyPr>
        <a:lstStyle/>
        <a:p>
          <a:pPr algn="l"/>
          <a:r>
            <a:rPr lang="ja-JP" altLang="en-US" sz="950" b="1" dirty="0">
              <a:solidFill>
                <a:srgbClr val="954717"/>
              </a:solidFill>
              <a:latin typeface="Meiryo UI"/>
              <a:ea typeface="Meiryo UI"/>
              <a:cs typeface="Meiryo UI"/>
            </a:rPr>
            <a:t>ルートC｜（接続元の名称）</a:t>
          </a:r>
          <a:endParaRPr lang="ja-JP" altLang="en-US" sz="950" dirty="0">
            <a:latin typeface="Meiryo UI"/>
            <a:ea typeface="Meiryo UI"/>
          </a:endParaRPr>
        </a:p>
        <a:p>
          <a:pPr algn="l"/>
          <a:r>
            <a:rPr lang="ja-JP" altLang="en-US" sz="750" b="0" dirty="0">
              <a:solidFill>
                <a:srgbClr val="595959"/>
              </a:solidFill>
              <a:latin typeface="Meiryo UI"/>
              <a:ea typeface="Meiryo UI"/>
              <a:cs typeface="Meiryo UI"/>
            </a:rPr>
            <a:t>ゾーン名は直接編集。不要なら削除</a:t>
          </a:r>
          <a:endParaRPr lang="ja-JP" altLang="en-US" sz="750" dirty="0">
            <a:latin typeface="Meiryo UI"/>
            <a:ea typeface="Meiryo UI"/>
          </a:endParaRPr>
        </a:p>
      </xdr:txBody>
    </xdr:sp>
    <xdr:clientData/>
  </xdr:twoCellAnchor>
  <xdr:twoCellAnchor editAs="oneCell">
    <xdr:from>
      <xdr:col>27</xdr:col>
      <xdr:colOff>0</xdr:colOff>
      <xdr:row>6</xdr:row>
      <xdr:rowOff>0</xdr:rowOff>
    </xdr:from>
    <xdr:to>
      <xdr:col>74</xdr:col>
      <xdr:colOff>0</xdr:colOff>
      <xdr:row>41</xdr:row>
      <xdr:rowOff>0</xdr:rowOff>
    </xdr:to>
    <xdr:grpSp>
      <xdr:nvGrpSpPr>
        <xdr:cNvPr id="7" name="ゾーン: AWS Cloud">
          <a:extLst>
            <a:ext uri="{FF2B5EF4-FFF2-40B4-BE49-F238E27FC236}">
              <a16:creationId xmlns:a16="http://schemas.microsoft.com/office/drawing/2014/main" id="{00000000-0008-0000-0200-000007000000}"/>
            </a:ext>
          </a:extLst>
        </xdr:cNvPr>
        <xdr:cNvGrpSpPr/>
      </xdr:nvGrpSpPr>
      <xdr:grpSpPr>
        <a:xfrm>
          <a:off x="5143500" y="1143000"/>
          <a:ext cx="8953500" cy="6667500"/>
          <a:chOff x="5143500" y="1143000"/>
          <a:chExt cx="8953500" cy="6667500"/>
        </a:xfrm>
      </xdr:grpSpPr>
      <xdr:sp macro="" textlink="">
        <xdr:nvSpPr>
          <xdr:cNvPr id="5" name="枠: AWS Cloud">
            <a:extLst>
              <a:ext uri="{FF2B5EF4-FFF2-40B4-BE49-F238E27FC236}">
                <a16:creationId xmlns:a16="http://schemas.microsoft.com/office/drawing/2014/main" id="{00000000-0008-0000-0200-000005000000}"/>
              </a:ext>
            </a:extLst>
          </xdr:cNvPr>
          <xdr:cNvSpPr/>
        </xdr:nvSpPr>
        <xdr:spPr>
          <a:xfrm>
            <a:off x="5143500" y="1143000"/>
            <a:ext cx="8953500" cy="6667500"/>
          </a:xfrm>
          <a:prstGeom prst="rect">
            <a:avLst/>
          </a:prstGeom>
          <a:solidFill>
            <a:srgbClr val="FFFFFF"/>
          </a:solidFill>
          <a:ln w="15875" cap="flat">
            <a:solidFill>
              <a:srgbClr val="262626"/>
            </a:solidFill>
            <a:round/>
          </a:ln>
        </xdr:spPr>
        <xdr:txBody>
          <a:bodyPr vertOverflow="overflow" horzOverflow="overflow" wrap="square" lIns="330200" tIns="44450" rIns="76200" bIns="38100" rtlCol="0" anchor="t">
            <a:noAutofit/>
          </a:bodyPr>
          <a:lstStyle/>
          <a:p>
            <a:pPr algn="l"/>
            <a:r>
              <a:rPr lang="ja-JP" altLang="en-US" sz="1000" b="1" dirty="0">
                <a:solidFill>
                  <a:srgbClr val="262626"/>
                </a:solidFill>
                <a:latin typeface="Meiryo UI"/>
                <a:ea typeface="Meiryo UI"/>
                <a:cs typeface="Meiryo UI"/>
              </a:rPr>
              <a:t>AWS Cloud</a:t>
            </a:r>
            <a:endParaRPr lang="ja-JP" altLang="en-US" sz="1000" dirty="0">
              <a:latin typeface="Meiryo UI"/>
              <a:ea typeface="Meiryo UI"/>
            </a:endParaRPr>
          </a:p>
        </xdr:txBody>
      </xdr:sp>
      <xdr:pic>
        <xdr:nvPicPr>
          <xdr:cNvPr id="6" name="ロゴ: AWS Cloud" descr="AWS Cloud">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143500" y="1143000"/>
            <a:ext cx="254000" cy="254000"/>
          </a:xfrm>
          <a:prstGeom prst="rect">
            <a:avLst/>
          </a:prstGeom>
        </xdr:spPr>
      </xdr:pic>
    </xdr:grpSp>
    <xdr:clientData/>
  </xdr:twoCellAnchor>
  <xdr:twoCellAnchor editAs="oneCell">
    <xdr:from>
      <xdr:col>2</xdr:col>
      <xdr:colOff>0</xdr:colOff>
      <xdr:row>42</xdr:row>
      <xdr:rowOff>95250</xdr:rowOff>
    </xdr:from>
    <xdr:to>
      <xdr:col>50</xdr:col>
      <xdr:colOff>0</xdr:colOff>
      <xdr:row>48</xdr:row>
      <xdr:rowOff>95250</xdr:rowOff>
    </xdr:to>
    <xdr:grpSp>
      <xdr:nvGrpSpPr>
        <xdr:cNvPr id="40" name="凡例">
          <a:extLst>
            <a:ext uri="{FF2B5EF4-FFF2-40B4-BE49-F238E27FC236}">
              <a16:creationId xmlns:a16="http://schemas.microsoft.com/office/drawing/2014/main" id="{00000000-0008-0000-0200-000028000000}"/>
            </a:ext>
          </a:extLst>
        </xdr:cNvPr>
        <xdr:cNvGrpSpPr/>
      </xdr:nvGrpSpPr>
      <xdr:grpSpPr>
        <a:xfrm>
          <a:off x="381000" y="8092440"/>
          <a:ext cx="9144000" cy="1143000"/>
          <a:chOff x="381000" y="8096250"/>
          <a:chExt cx="9144000" cy="1143000"/>
        </a:xfrm>
      </xdr:grpSpPr>
      <xdr:sp macro="" textlink="">
        <xdr:nvSpPr>
          <xdr:cNvPr id="8" name="凡例: 背景">
            <a:extLst>
              <a:ext uri="{FF2B5EF4-FFF2-40B4-BE49-F238E27FC236}">
                <a16:creationId xmlns:a16="http://schemas.microsoft.com/office/drawing/2014/main" id="{00000000-0008-0000-0200-000008000000}"/>
              </a:ext>
            </a:extLst>
          </xdr:cNvPr>
          <xdr:cNvSpPr/>
        </xdr:nvSpPr>
        <xdr:spPr>
          <a:xfrm>
            <a:off x="381000" y="8096250"/>
            <a:ext cx="9144000" cy="1143000"/>
          </a:xfrm>
          <a:prstGeom prst="rect">
            <a:avLst/>
          </a:prstGeom>
          <a:solidFill>
            <a:srgbClr val="FFFFFF"/>
          </a:solidFill>
          <a:ln w="9525" cap="flat">
            <a:solidFill>
              <a:srgbClr val="A6A6A6"/>
            </a:solidFill>
            <a:round/>
          </a:ln>
        </xdr:spPr>
        <xdr:txBody>
          <a:bodyPr vertOverflow="overflow" horzOverflow="overflow" wrap="square" lIns="63500" tIns="38100" rIns="63500" bIns="38100" rtlCol="0" anchor="t">
            <a:noAutofit/>
          </a:bodyPr>
          <a:lstStyle/>
          <a:p>
            <a:pPr algn="l"/>
            <a:r>
              <a:rPr lang="ja-JP" altLang="en-US" sz="850" b="1" dirty="0">
                <a:solidFill>
                  <a:srgbClr val="262626"/>
                </a:solidFill>
                <a:latin typeface="Meiryo UI"/>
                <a:ea typeface="Meiryo UI"/>
                <a:cs typeface="Meiryo UI"/>
              </a:rPr>
              <a:t>凡例</a:t>
            </a:r>
            <a:endParaRPr lang="ja-JP" altLang="en-US" sz="850" dirty="0">
              <a:latin typeface="Meiryo UI"/>
              <a:ea typeface="Meiryo UI"/>
            </a:endParaRPr>
          </a:p>
        </xdr:txBody>
      </xdr:sp>
      <xdr:sp macro="" textlink="">
        <xdr:nvSpPr>
          <xdr:cNvPr id="9" name="凡例: 見出し">
            <a:extLst>
              <a:ext uri="{FF2B5EF4-FFF2-40B4-BE49-F238E27FC236}">
                <a16:creationId xmlns:a16="http://schemas.microsoft.com/office/drawing/2014/main" id="{00000000-0008-0000-0200-000009000000}"/>
              </a:ext>
            </a:extLst>
          </xdr:cNvPr>
          <xdr:cNvSpPr/>
        </xdr:nvSpPr>
        <xdr:spPr>
          <a:xfrm>
            <a:off x="495300" y="8305800"/>
            <a:ext cx="800100" cy="190500"/>
          </a:xfrm>
          <a:prstGeom prst="rect">
            <a:avLst/>
          </a:prstGeom>
          <a:noFill/>
          <a:ln>
            <a:noFill/>
          </a:ln>
        </xdr:spPr>
        <xdr:txBody>
          <a:bodyPr vertOverflow="overflow" horzOverflow="overflow" wrap="square" lIns="0" tIns="0" rIns="0" bIns="0" rtlCol="0" anchor="ctr">
            <a:noAutofit/>
          </a:bodyPr>
          <a:lstStyle/>
          <a:p>
            <a:pPr algn="l"/>
            <a:r>
              <a:rPr lang="ja-JP" altLang="en-US" sz="750" b="1" dirty="0">
                <a:solidFill>
                  <a:srgbClr val="595959"/>
                </a:solidFill>
                <a:latin typeface="Meiryo UI"/>
                <a:ea typeface="Meiryo UI"/>
                <a:cs typeface="Meiryo UI"/>
              </a:rPr>
              <a:t>ルート（色）</a:t>
            </a:r>
            <a:endParaRPr lang="ja-JP" altLang="en-US" sz="750" dirty="0">
              <a:latin typeface="Meiryo UI"/>
              <a:ea typeface="Meiryo UI"/>
            </a:endParaRPr>
          </a:p>
        </xdr:txBody>
      </xdr:sp>
      <xdr:sp macro="" textlink="">
        <xdr:nvSpPr>
          <xdr:cNvPr id="10" name="凡例: 見出し">
            <a:extLst>
              <a:ext uri="{FF2B5EF4-FFF2-40B4-BE49-F238E27FC236}">
                <a16:creationId xmlns:a16="http://schemas.microsoft.com/office/drawing/2014/main" id="{00000000-0008-0000-0200-00000A000000}"/>
              </a:ext>
            </a:extLst>
          </xdr:cNvPr>
          <xdr:cNvSpPr/>
        </xdr:nvSpPr>
        <xdr:spPr>
          <a:xfrm>
            <a:off x="495300" y="8610600"/>
            <a:ext cx="800100" cy="190500"/>
          </a:xfrm>
          <a:prstGeom prst="rect">
            <a:avLst/>
          </a:prstGeom>
          <a:noFill/>
          <a:ln>
            <a:noFill/>
          </a:ln>
        </xdr:spPr>
        <xdr:txBody>
          <a:bodyPr vertOverflow="overflow" horzOverflow="overflow" wrap="square" lIns="0" tIns="0" rIns="0" bIns="0" rtlCol="0" anchor="ctr">
            <a:noAutofit/>
          </a:bodyPr>
          <a:lstStyle/>
          <a:p>
            <a:pPr algn="l"/>
            <a:r>
              <a:rPr lang="ja-JP" altLang="en-US" sz="750" b="1" dirty="0">
                <a:solidFill>
                  <a:srgbClr val="595959"/>
                </a:solidFill>
                <a:latin typeface="Meiryo UI"/>
                <a:ea typeface="Meiryo UI"/>
                <a:cs typeface="Meiryo UI"/>
              </a:rPr>
              <a:t>線の種類</a:t>
            </a:r>
            <a:endParaRPr lang="ja-JP" altLang="en-US" sz="750" dirty="0">
              <a:latin typeface="Meiryo UI"/>
              <a:ea typeface="Meiryo UI"/>
            </a:endParaRPr>
          </a:p>
        </xdr:txBody>
      </xdr:sp>
      <xdr:sp macro="" textlink="">
        <xdr:nvSpPr>
          <xdr:cNvPr id="11" name="凡例: 見出し">
            <a:extLst>
              <a:ext uri="{FF2B5EF4-FFF2-40B4-BE49-F238E27FC236}">
                <a16:creationId xmlns:a16="http://schemas.microsoft.com/office/drawing/2014/main" id="{00000000-0008-0000-0200-00000B000000}"/>
              </a:ext>
            </a:extLst>
          </xdr:cNvPr>
          <xdr:cNvSpPr/>
        </xdr:nvSpPr>
        <xdr:spPr>
          <a:xfrm>
            <a:off x="495300" y="8915400"/>
            <a:ext cx="800100" cy="190500"/>
          </a:xfrm>
          <a:prstGeom prst="rect">
            <a:avLst/>
          </a:prstGeom>
          <a:noFill/>
          <a:ln>
            <a:noFill/>
          </a:ln>
        </xdr:spPr>
        <xdr:txBody>
          <a:bodyPr vertOverflow="overflow" horzOverflow="overflow" wrap="square" lIns="0" tIns="0" rIns="0" bIns="0" rtlCol="0" anchor="ctr">
            <a:noAutofit/>
          </a:bodyPr>
          <a:lstStyle/>
          <a:p>
            <a:pPr algn="l"/>
            <a:r>
              <a:rPr lang="ja-JP" altLang="en-US" sz="750" b="1" dirty="0">
                <a:solidFill>
                  <a:srgbClr val="595959"/>
                </a:solidFill>
                <a:latin typeface="Meiryo UI"/>
                <a:ea typeface="Meiryo UI"/>
                <a:cs typeface="Meiryo UI"/>
              </a:rPr>
              <a:t>図形・記号</a:t>
            </a:r>
            <a:endParaRPr lang="ja-JP" altLang="en-US" sz="750" dirty="0">
              <a:latin typeface="Meiryo UI"/>
              <a:ea typeface="Meiryo UI"/>
            </a:endParaRPr>
          </a:p>
        </xdr:txBody>
      </xdr:sp>
      <xdr:cxnSp macro="">
        <xdr:nvCxnSpPr>
          <xdr:cNvPr id="12" name="凡例: 線（ルートA）">
            <a:extLst>
              <a:ext uri="{FF2B5EF4-FFF2-40B4-BE49-F238E27FC236}">
                <a16:creationId xmlns:a16="http://schemas.microsoft.com/office/drawing/2014/main" id="{00000000-0008-0000-0200-00000C000000}"/>
              </a:ext>
            </a:extLst>
          </xdr:cNvPr>
          <xdr:cNvCxnSpPr/>
        </xdr:nvCxnSpPr>
        <xdr:spPr>
          <a:xfrm>
            <a:off x="1333500" y="8401050"/>
            <a:ext cx="419100" cy="0"/>
          </a:xfrm>
          <a:prstGeom prst="straightConnector1">
            <a:avLst/>
          </a:prstGeom>
          <a:ln w="19050" cap="flat">
            <a:solidFill>
              <a:srgbClr val="315C92"/>
            </a:solidFill>
            <a:round/>
            <a:tailEnd type="triangle" w="med" len="med"/>
          </a:ln>
        </xdr:spPr>
      </xdr:cxnSp>
      <xdr:sp macro="" textlink="">
        <xdr:nvSpPr>
          <xdr:cNvPr id="13" name="凡例: 記号A">
            <a:extLst>
              <a:ext uri="{FF2B5EF4-FFF2-40B4-BE49-F238E27FC236}">
                <a16:creationId xmlns:a16="http://schemas.microsoft.com/office/drawing/2014/main" id="{00000000-0008-0000-0200-00000D000000}"/>
              </a:ext>
            </a:extLst>
          </xdr:cNvPr>
          <xdr:cNvSpPr/>
        </xdr:nvSpPr>
        <xdr:spPr>
          <a:xfrm>
            <a:off x="1809750" y="8324850"/>
            <a:ext cx="152400" cy="152400"/>
          </a:xfrm>
          <a:prstGeom prst="ellipse">
            <a:avLst/>
          </a:prstGeom>
          <a:solidFill>
            <a:srgbClr val="315C92"/>
          </a:solidFill>
          <a:ln>
            <a:noFill/>
          </a:ln>
        </xdr:spPr>
        <xdr:txBody>
          <a:bodyPr vertOverflow="overflow" horzOverflow="overflow" wrap="none" lIns="0" tIns="0" rIns="0" bIns="0" rtlCol="0" anchor="ctr">
            <a:noAutofit/>
          </a:bodyPr>
          <a:lstStyle/>
          <a:p>
            <a:pPr algn="ctr"/>
            <a:r>
              <a:rPr lang="ja-JP" altLang="en-US" sz="650" b="1" dirty="0">
                <a:solidFill>
                  <a:srgbClr val="FFFFFF"/>
                </a:solidFill>
                <a:latin typeface="Meiryo UI"/>
                <a:ea typeface="Meiryo UI"/>
                <a:cs typeface="Meiryo UI"/>
              </a:rPr>
              <a:t>A</a:t>
            </a:r>
            <a:endParaRPr lang="ja-JP" altLang="en-US" sz="650" dirty="0">
              <a:latin typeface="Meiryo UI"/>
              <a:ea typeface="Meiryo UI"/>
            </a:endParaRPr>
          </a:p>
        </xdr:txBody>
      </xdr:sp>
      <xdr:sp macro="" textlink="表紙!$G$31">
        <xdr:nvSpPr>
          <xdr:cNvPr id="14" name="凡例: ルートA名（表紙と連動）">
            <a:extLst>
              <a:ext uri="{FF2B5EF4-FFF2-40B4-BE49-F238E27FC236}">
                <a16:creationId xmlns:a16="http://schemas.microsoft.com/office/drawing/2014/main" id="{00000000-0008-0000-0200-00000E000000}"/>
              </a:ext>
            </a:extLst>
          </xdr:cNvPr>
          <xdr:cNvSpPr/>
        </xdr:nvSpPr>
        <xdr:spPr>
          <a:xfrm>
            <a:off x="2000250" y="8305800"/>
            <a:ext cx="1338262" cy="190500"/>
          </a:xfrm>
          <a:prstGeom prst="rect">
            <a:avLst/>
          </a:prstGeom>
          <a:noFill/>
          <a:ln>
            <a:noFill/>
          </a:ln>
        </xdr:spPr>
        <xdr:txBody>
          <a:bodyPr vertOverflow="overflow" horzOverflow="overflow" wrap="square" lIns="12700" tIns="0" rIns="12700" bIns="0" rtlCol="0" anchor="ctr">
            <a:noAutofit/>
          </a:bodyPr>
          <a:lstStyle/>
          <a:p>
            <a:pPr algn="l"/>
            <a:fld id="{5A1C0F3E-7B2D-4C8A-9E41-000000000001}" type="TxLink">
              <a:rPr lang="ja-JP" altLang="en-US" sz="750" b="0">
                <a:solidFill>
                  <a:srgbClr val="404040"/>
                </a:solidFill>
                <a:latin typeface="Meiryo UI"/>
                <a:ea typeface="Meiryo UI"/>
                <a:cs typeface="Meiryo UI"/>
              </a:rPr>
              <a:pPr algn="l"/>
              <a:t>Salesforce連携</a:t>
            </a:fld>
            <a:endParaRPr lang="ja-JP" altLang="en-US" sz="750"/>
          </a:p>
        </xdr:txBody>
      </xdr:sp>
      <xdr:cxnSp macro="">
        <xdr:nvCxnSpPr>
          <xdr:cNvPr id="15" name="凡例: 線（ルートB）">
            <a:extLst>
              <a:ext uri="{FF2B5EF4-FFF2-40B4-BE49-F238E27FC236}">
                <a16:creationId xmlns:a16="http://schemas.microsoft.com/office/drawing/2014/main" id="{00000000-0008-0000-0200-00000F000000}"/>
              </a:ext>
            </a:extLst>
          </xdr:cNvPr>
          <xdr:cNvCxnSpPr/>
        </xdr:nvCxnSpPr>
        <xdr:spPr>
          <a:xfrm>
            <a:off x="3357562" y="8401050"/>
            <a:ext cx="419100" cy="0"/>
          </a:xfrm>
          <a:prstGeom prst="straightConnector1">
            <a:avLst/>
          </a:prstGeom>
          <a:ln w="19050" cap="flat">
            <a:solidFill>
              <a:srgbClr val="247966"/>
            </a:solidFill>
            <a:round/>
            <a:tailEnd type="triangle" w="med" len="med"/>
          </a:ln>
        </xdr:spPr>
      </xdr:cxnSp>
      <xdr:sp macro="" textlink="">
        <xdr:nvSpPr>
          <xdr:cNvPr id="16" name="凡例: 記号B">
            <a:extLst>
              <a:ext uri="{FF2B5EF4-FFF2-40B4-BE49-F238E27FC236}">
                <a16:creationId xmlns:a16="http://schemas.microsoft.com/office/drawing/2014/main" id="{00000000-0008-0000-0200-000010000000}"/>
              </a:ext>
            </a:extLst>
          </xdr:cNvPr>
          <xdr:cNvSpPr/>
        </xdr:nvSpPr>
        <xdr:spPr>
          <a:xfrm>
            <a:off x="3833812" y="8324850"/>
            <a:ext cx="152400" cy="152400"/>
          </a:xfrm>
          <a:prstGeom prst="ellipse">
            <a:avLst/>
          </a:prstGeom>
          <a:solidFill>
            <a:srgbClr val="247966"/>
          </a:solidFill>
          <a:ln>
            <a:noFill/>
          </a:ln>
        </xdr:spPr>
        <xdr:txBody>
          <a:bodyPr vertOverflow="overflow" horzOverflow="overflow" wrap="none" lIns="0" tIns="0" rIns="0" bIns="0" rtlCol="0" anchor="ctr">
            <a:noAutofit/>
          </a:bodyPr>
          <a:lstStyle/>
          <a:p>
            <a:pPr algn="ctr"/>
            <a:r>
              <a:rPr lang="ja-JP" altLang="en-US" sz="650" b="1" dirty="0">
                <a:solidFill>
                  <a:srgbClr val="FFFFFF"/>
                </a:solidFill>
                <a:latin typeface="Meiryo UI"/>
                <a:ea typeface="Meiryo UI"/>
                <a:cs typeface="Meiryo UI"/>
              </a:rPr>
              <a:t>B</a:t>
            </a:r>
            <a:endParaRPr lang="ja-JP" altLang="en-US" sz="650" dirty="0">
              <a:latin typeface="Meiryo UI"/>
              <a:ea typeface="Meiryo UI"/>
            </a:endParaRPr>
          </a:p>
        </xdr:txBody>
      </xdr:sp>
      <xdr:sp macro="" textlink="表紙!$G$32">
        <xdr:nvSpPr>
          <xdr:cNvPr id="17" name="凡例: ルートB名（表紙と連動）">
            <a:extLst>
              <a:ext uri="{FF2B5EF4-FFF2-40B4-BE49-F238E27FC236}">
                <a16:creationId xmlns:a16="http://schemas.microsoft.com/office/drawing/2014/main" id="{00000000-0008-0000-0200-000011000000}"/>
              </a:ext>
            </a:extLst>
          </xdr:cNvPr>
          <xdr:cNvSpPr/>
        </xdr:nvSpPr>
        <xdr:spPr>
          <a:xfrm>
            <a:off x="4024312" y="8305800"/>
            <a:ext cx="1338262" cy="190500"/>
          </a:xfrm>
          <a:prstGeom prst="rect">
            <a:avLst/>
          </a:prstGeom>
          <a:noFill/>
          <a:ln>
            <a:noFill/>
          </a:ln>
        </xdr:spPr>
        <xdr:txBody>
          <a:bodyPr vertOverflow="overflow" horzOverflow="overflow" wrap="square" lIns="12700" tIns="0" rIns="12700" bIns="0" rtlCol="0" anchor="ctr">
            <a:noAutofit/>
          </a:bodyPr>
          <a:lstStyle/>
          <a:p>
            <a:pPr algn="l"/>
            <a:fld id="{5A1C0F3E-7B2D-4C8A-9E41-000000000002}" type="TxLink">
              <a:rPr lang="ja-JP" altLang="en-US" sz="750" b="0">
                <a:solidFill>
                  <a:srgbClr val="404040"/>
                </a:solidFill>
                <a:latin typeface="Meiryo UI"/>
                <a:ea typeface="Meiryo UI"/>
                <a:cs typeface="Meiryo UI"/>
              </a:rPr>
              <a:pPr algn="l"/>
              <a:t>社内（イントラ）連携</a:t>
            </a:fld>
            <a:endParaRPr lang="ja-JP" altLang="en-US" sz="750"/>
          </a:p>
        </xdr:txBody>
      </xdr:sp>
      <xdr:cxnSp macro="">
        <xdr:nvCxnSpPr>
          <xdr:cNvPr id="18" name="凡例: 線（ルートC）">
            <a:extLst>
              <a:ext uri="{FF2B5EF4-FFF2-40B4-BE49-F238E27FC236}">
                <a16:creationId xmlns:a16="http://schemas.microsoft.com/office/drawing/2014/main" id="{00000000-0008-0000-0200-000012000000}"/>
              </a:ext>
            </a:extLst>
          </xdr:cNvPr>
          <xdr:cNvCxnSpPr/>
        </xdr:nvCxnSpPr>
        <xdr:spPr>
          <a:xfrm>
            <a:off x="5381625" y="8401050"/>
            <a:ext cx="419100" cy="0"/>
          </a:xfrm>
          <a:prstGeom prst="straightConnector1">
            <a:avLst/>
          </a:prstGeom>
          <a:ln w="19050" cap="flat">
            <a:solidFill>
              <a:srgbClr val="C46B39"/>
            </a:solidFill>
            <a:round/>
            <a:tailEnd type="triangle" w="med" len="med"/>
          </a:ln>
        </xdr:spPr>
      </xdr:cxnSp>
      <xdr:sp macro="" textlink="">
        <xdr:nvSpPr>
          <xdr:cNvPr id="19" name="凡例: 記号C">
            <a:extLst>
              <a:ext uri="{FF2B5EF4-FFF2-40B4-BE49-F238E27FC236}">
                <a16:creationId xmlns:a16="http://schemas.microsoft.com/office/drawing/2014/main" id="{00000000-0008-0000-0200-000013000000}"/>
              </a:ext>
            </a:extLst>
          </xdr:cNvPr>
          <xdr:cNvSpPr/>
        </xdr:nvSpPr>
        <xdr:spPr>
          <a:xfrm>
            <a:off x="5857875" y="8324850"/>
            <a:ext cx="152400" cy="152400"/>
          </a:xfrm>
          <a:prstGeom prst="ellipse">
            <a:avLst/>
          </a:prstGeom>
          <a:solidFill>
            <a:srgbClr val="C46B39"/>
          </a:solidFill>
          <a:ln>
            <a:noFill/>
          </a:ln>
        </xdr:spPr>
        <xdr:txBody>
          <a:bodyPr vertOverflow="overflow" horzOverflow="overflow" wrap="none" lIns="0" tIns="0" rIns="0" bIns="0" rtlCol="0" anchor="ctr">
            <a:noAutofit/>
          </a:bodyPr>
          <a:lstStyle/>
          <a:p>
            <a:pPr algn="ctr"/>
            <a:r>
              <a:rPr lang="ja-JP" altLang="en-US" sz="650" b="1" dirty="0">
                <a:solidFill>
                  <a:srgbClr val="FFFFFF"/>
                </a:solidFill>
                <a:latin typeface="Meiryo UI"/>
                <a:ea typeface="Meiryo UI"/>
                <a:cs typeface="Meiryo UI"/>
              </a:rPr>
              <a:t>C</a:t>
            </a:r>
            <a:endParaRPr lang="ja-JP" altLang="en-US" sz="650" dirty="0">
              <a:latin typeface="Meiryo UI"/>
              <a:ea typeface="Meiryo UI"/>
            </a:endParaRPr>
          </a:p>
        </xdr:txBody>
      </xdr:sp>
      <xdr:sp macro="" textlink="表紙!$G$33">
        <xdr:nvSpPr>
          <xdr:cNvPr id="20" name="凡例: ルートC名（表紙と連動）">
            <a:extLst>
              <a:ext uri="{FF2B5EF4-FFF2-40B4-BE49-F238E27FC236}">
                <a16:creationId xmlns:a16="http://schemas.microsoft.com/office/drawing/2014/main" id="{00000000-0008-0000-0200-000014000000}"/>
              </a:ext>
            </a:extLst>
          </xdr:cNvPr>
          <xdr:cNvSpPr/>
        </xdr:nvSpPr>
        <xdr:spPr>
          <a:xfrm>
            <a:off x="6048375" y="8305800"/>
            <a:ext cx="1338262" cy="190500"/>
          </a:xfrm>
          <a:prstGeom prst="rect">
            <a:avLst/>
          </a:prstGeom>
          <a:noFill/>
          <a:ln>
            <a:noFill/>
          </a:ln>
        </xdr:spPr>
        <xdr:txBody>
          <a:bodyPr vertOverflow="overflow" horzOverflow="overflow" wrap="square" lIns="12700" tIns="0" rIns="12700" bIns="0" rtlCol="0" anchor="ctr">
            <a:noAutofit/>
          </a:bodyPr>
          <a:lstStyle/>
          <a:p>
            <a:pPr algn="l"/>
            <a:fld id="{5A1C0F3E-7B2D-4C8A-9E41-000000000003}" type="TxLink">
              <a:rPr lang="ja-JP" altLang="en-US" sz="750" b="0">
                <a:solidFill>
                  <a:srgbClr val="404040"/>
                </a:solidFill>
                <a:latin typeface="Meiryo UI"/>
                <a:ea typeface="Meiryo UI"/>
                <a:cs typeface="Meiryo UI"/>
              </a:rPr>
              <a:pPr algn="l"/>
              <a:t>外部連携</a:t>
            </a:fld>
            <a:endParaRPr lang="ja-JP" altLang="en-US" sz="750"/>
          </a:p>
        </xdr:txBody>
      </xdr:sp>
      <xdr:cxnSp macro="">
        <xdr:nvCxnSpPr>
          <xdr:cNvPr id="21" name="凡例: 線（共通）">
            <a:extLst>
              <a:ext uri="{FF2B5EF4-FFF2-40B4-BE49-F238E27FC236}">
                <a16:creationId xmlns:a16="http://schemas.microsoft.com/office/drawing/2014/main" id="{00000000-0008-0000-0200-000015000000}"/>
              </a:ext>
            </a:extLst>
          </xdr:cNvPr>
          <xdr:cNvCxnSpPr/>
        </xdr:nvCxnSpPr>
        <xdr:spPr>
          <a:xfrm>
            <a:off x="7405688" y="8401050"/>
            <a:ext cx="419100" cy="0"/>
          </a:xfrm>
          <a:prstGeom prst="straightConnector1">
            <a:avLst/>
          </a:prstGeom>
          <a:ln w="19050" cap="flat">
            <a:solidFill>
              <a:srgbClr val="404040"/>
            </a:solidFill>
            <a:round/>
            <a:tailEnd type="triangle" w="med" len="med"/>
          </a:ln>
        </xdr:spPr>
      </xdr:cxnSp>
      <xdr:sp macro="" textlink="">
        <xdr:nvSpPr>
          <xdr:cNvPr id="22" name="凡例: 共通">
            <a:extLst>
              <a:ext uri="{FF2B5EF4-FFF2-40B4-BE49-F238E27FC236}">
                <a16:creationId xmlns:a16="http://schemas.microsoft.com/office/drawing/2014/main" id="{00000000-0008-0000-0200-000016000000}"/>
              </a:ext>
            </a:extLst>
          </xdr:cNvPr>
          <xdr:cNvSpPr/>
        </xdr:nvSpPr>
        <xdr:spPr>
          <a:xfrm>
            <a:off x="7881938" y="8305800"/>
            <a:ext cx="1528762" cy="190500"/>
          </a:xfrm>
          <a:prstGeom prst="rect">
            <a:avLst/>
          </a:prstGeom>
          <a:noFill/>
          <a:ln>
            <a:noFill/>
          </a:ln>
        </xdr:spPr>
        <xdr:txBody>
          <a:bodyPr vertOverflow="overflow" horzOverflow="overflow" wrap="square" lIns="12700" tIns="0" rIns="12700" bIns="0" rtlCol="0" anchor="ctr">
            <a:noAutofit/>
          </a:bodyPr>
          <a:lstStyle/>
          <a:p>
            <a:pPr algn="l"/>
            <a:r>
              <a:rPr lang="ja-JP" altLang="en-US" sz="750" b="0" dirty="0">
                <a:solidFill>
                  <a:srgbClr val="404040"/>
                </a:solidFill>
                <a:latin typeface="Meiryo UI"/>
                <a:ea typeface="Meiryo UI"/>
                <a:cs typeface="Meiryo UI"/>
              </a:rPr>
              <a:t>共通（複数ルート・基盤）</a:t>
            </a:r>
            <a:endParaRPr lang="ja-JP" altLang="en-US" sz="750" dirty="0">
              <a:latin typeface="Meiryo UI"/>
              <a:ea typeface="Meiryo UI"/>
            </a:endParaRPr>
          </a:p>
        </xdr:txBody>
      </xdr:sp>
      <xdr:cxnSp macro="">
        <xdr:nvCxnSpPr>
          <xdr:cNvPr id="23" name="凡例: オンライン連携">
            <a:extLst>
              <a:ext uri="{FF2B5EF4-FFF2-40B4-BE49-F238E27FC236}">
                <a16:creationId xmlns:a16="http://schemas.microsoft.com/office/drawing/2014/main" id="{00000000-0008-0000-0200-000017000000}"/>
              </a:ext>
            </a:extLst>
          </xdr:cNvPr>
          <xdr:cNvCxnSpPr/>
        </xdr:nvCxnSpPr>
        <xdr:spPr>
          <a:xfrm>
            <a:off x="1333500" y="8705850"/>
            <a:ext cx="419100" cy="0"/>
          </a:xfrm>
          <a:prstGeom prst="straightConnector1">
            <a:avLst/>
          </a:prstGeom>
          <a:ln w="19050" cap="flat">
            <a:solidFill>
              <a:srgbClr val="404040"/>
            </a:solidFill>
            <a:round/>
            <a:tailEnd type="triangle" w="med" len="med"/>
          </a:ln>
        </xdr:spPr>
      </xdr:cxnSp>
      <xdr:sp macro="" textlink="">
        <xdr:nvSpPr>
          <xdr:cNvPr id="24" name="凡例: 実線矢印：オンライン・イベント">
            <a:extLst>
              <a:ext uri="{FF2B5EF4-FFF2-40B4-BE49-F238E27FC236}">
                <a16:creationId xmlns:a16="http://schemas.microsoft.com/office/drawing/2014/main" id="{00000000-0008-0000-0200-000018000000}"/>
              </a:ext>
            </a:extLst>
          </xdr:cNvPr>
          <xdr:cNvSpPr/>
        </xdr:nvSpPr>
        <xdr:spPr>
          <a:xfrm>
            <a:off x="1809750" y="8610600"/>
            <a:ext cx="1528762" cy="190500"/>
          </a:xfrm>
          <a:prstGeom prst="rect">
            <a:avLst/>
          </a:prstGeom>
          <a:noFill/>
          <a:ln>
            <a:noFill/>
          </a:ln>
        </xdr:spPr>
        <xdr:txBody>
          <a:bodyPr vertOverflow="overflow" horzOverflow="overflow" wrap="square" lIns="12700" tIns="0" rIns="12700" bIns="0" rtlCol="0" anchor="ctr">
            <a:noAutofit/>
          </a:bodyPr>
          <a:lstStyle/>
          <a:p>
            <a:pPr algn="l"/>
            <a:r>
              <a:rPr lang="ja-JP" altLang="en-US" sz="750" b="0" dirty="0">
                <a:solidFill>
                  <a:srgbClr val="404040"/>
                </a:solidFill>
                <a:latin typeface="Meiryo UI"/>
                <a:ea typeface="Meiryo UI"/>
                <a:cs typeface="Meiryo UI"/>
              </a:rPr>
              <a:t>実線矢印：オンライン・イベント</a:t>
            </a:r>
            <a:endParaRPr lang="ja-JP" altLang="en-US" sz="750" dirty="0">
              <a:latin typeface="Meiryo UI"/>
              <a:ea typeface="Meiryo UI"/>
            </a:endParaRPr>
          </a:p>
        </xdr:txBody>
      </xdr:sp>
      <xdr:cxnSp macro="">
        <xdr:nvCxnSpPr>
          <xdr:cNvPr id="25" name="凡例: バッチ・ファイル">
            <a:extLst>
              <a:ext uri="{FF2B5EF4-FFF2-40B4-BE49-F238E27FC236}">
                <a16:creationId xmlns:a16="http://schemas.microsoft.com/office/drawing/2014/main" id="{00000000-0008-0000-0200-000019000000}"/>
              </a:ext>
            </a:extLst>
          </xdr:cNvPr>
          <xdr:cNvCxnSpPr/>
        </xdr:nvCxnSpPr>
        <xdr:spPr>
          <a:xfrm>
            <a:off x="3357562" y="8705850"/>
            <a:ext cx="419100" cy="0"/>
          </a:xfrm>
          <a:prstGeom prst="straightConnector1">
            <a:avLst/>
          </a:prstGeom>
          <a:ln w="19050" cap="flat">
            <a:solidFill>
              <a:srgbClr val="404040"/>
            </a:solidFill>
            <a:prstDash val="dash"/>
            <a:round/>
            <a:tailEnd type="triangle" w="med" len="med"/>
          </a:ln>
        </xdr:spPr>
      </xdr:cxnSp>
      <xdr:sp macro="" textlink="">
        <xdr:nvSpPr>
          <xdr:cNvPr id="26" name="凡例: 破線矢印：バッチ・ファイル">
            <a:extLst>
              <a:ext uri="{FF2B5EF4-FFF2-40B4-BE49-F238E27FC236}">
                <a16:creationId xmlns:a16="http://schemas.microsoft.com/office/drawing/2014/main" id="{00000000-0008-0000-0200-00001A000000}"/>
              </a:ext>
            </a:extLst>
          </xdr:cNvPr>
          <xdr:cNvSpPr/>
        </xdr:nvSpPr>
        <xdr:spPr>
          <a:xfrm>
            <a:off x="3833812" y="8610600"/>
            <a:ext cx="1528762" cy="190500"/>
          </a:xfrm>
          <a:prstGeom prst="rect">
            <a:avLst/>
          </a:prstGeom>
          <a:noFill/>
          <a:ln>
            <a:noFill/>
          </a:ln>
        </xdr:spPr>
        <xdr:txBody>
          <a:bodyPr vertOverflow="overflow" horzOverflow="overflow" wrap="square" lIns="12700" tIns="0" rIns="12700" bIns="0" rtlCol="0" anchor="ctr">
            <a:noAutofit/>
          </a:bodyPr>
          <a:lstStyle/>
          <a:p>
            <a:pPr algn="l"/>
            <a:r>
              <a:rPr lang="ja-JP" altLang="en-US" sz="750" b="0" dirty="0">
                <a:solidFill>
                  <a:srgbClr val="404040"/>
                </a:solidFill>
                <a:latin typeface="Meiryo UI"/>
                <a:ea typeface="Meiryo UI"/>
                <a:cs typeface="Meiryo UI"/>
              </a:rPr>
              <a:t>破線矢印：バッチ・ファイル</a:t>
            </a:r>
            <a:endParaRPr lang="ja-JP" altLang="en-US" sz="750" dirty="0">
              <a:latin typeface="Meiryo UI"/>
              <a:ea typeface="Meiryo UI"/>
            </a:endParaRPr>
          </a:p>
        </xdr:txBody>
      </xdr:sp>
      <xdr:cxnSp macro="">
        <xdr:nvCxnSpPr>
          <xdr:cNvPr id="27" name="凡例: 監視・運用">
            <a:extLst>
              <a:ext uri="{FF2B5EF4-FFF2-40B4-BE49-F238E27FC236}">
                <a16:creationId xmlns:a16="http://schemas.microsoft.com/office/drawing/2014/main" id="{00000000-0008-0000-0200-00001B000000}"/>
              </a:ext>
            </a:extLst>
          </xdr:cNvPr>
          <xdr:cNvCxnSpPr/>
        </xdr:nvCxnSpPr>
        <xdr:spPr>
          <a:xfrm>
            <a:off x="5381625" y="8705850"/>
            <a:ext cx="419100" cy="0"/>
          </a:xfrm>
          <a:prstGeom prst="straightConnector1">
            <a:avLst/>
          </a:prstGeom>
          <a:ln w="12700" cap="flat">
            <a:solidFill>
              <a:srgbClr val="404040"/>
            </a:solidFill>
            <a:prstDash val="sysDot"/>
            <a:round/>
            <a:tailEnd type="triangle" w="med" len="med"/>
          </a:ln>
        </xdr:spPr>
      </xdr:cxnSp>
      <xdr:sp macro="" textlink="">
        <xdr:nvSpPr>
          <xdr:cNvPr id="28" name="凡例: 点線矢印：監視・運用">
            <a:extLst>
              <a:ext uri="{FF2B5EF4-FFF2-40B4-BE49-F238E27FC236}">
                <a16:creationId xmlns:a16="http://schemas.microsoft.com/office/drawing/2014/main" id="{00000000-0008-0000-0200-00001C000000}"/>
              </a:ext>
            </a:extLst>
          </xdr:cNvPr>
          <xdr:cNvSpPr/>
        </xdr:nvSpPr>
        <xdr:spPr>
          <a:xfrm>
            <a:off x="5857875" y="8610600"/>
            <a:ext cx="1528762" cy="190500"/>
          </a:xfrm>
          <a:prstGeom prst="rect">
            <a:avLst/>
          </a:prstGeom>
          <a:noFill/>
          <a:ln>
            <a:noFill/>
          </a:ln>
        </xdr:spPr>
        <xdr:txBody>
          <a:bodyPr vertOverflow="overflow" horzOverflow="overflow" wrap="square" lIns="12700" tIns="0" rIns="12700" bIns="0" rtlCol="0" anchor="ctr">
            <a:noAutofit/>
          </a:bodyPr>
          <a:lstStyle/>
          <a:p>
            <a:pPr algn="l"/>
            <a:r>
              <a:rPr lang="ja-JP" altLang="en-US" sz="750" b="0" dirty="0">
                <a:solidFill>
                  <a:srgbClr val="404040"/>
                </a:solidFill>
                <a:latin typeface="Meiryo UI"/>
                <a:ea typeface="Meiryo UI"/>
                <a:cs typeface="Meiryo UI"/>
              </a:rPr>
              <a:t>点線矢印：監視・運用</a:t>
            </a:r>
            <a:endParaRPr lang="ja-JP" altLang="en-US" sz="750" dirty="0">
              <a:latin typeface="Meiryo UI"/>
              <a:ea typeface="Meiryo UI"/>
            </a:endParaRPr>
          </a:p>
        </xdr:txBody>
      </xdr:sp>
      <xdr:cxnSp macro="">
        <xdr:nvCxnSpPr>
          <xdr:cNvPr id="29" name="凡例: 専用線・閉域網">
            <a:extLst>
              <a:ext uri="{FF2B5EF4-FFF2-40B4-BE49-F238E27FC236}">
                <a16:creationId xmlns:a16="http://schemas.microsoft.com/office/drawing/2014/main" id="{00000000-0008-0000-0200-00001D000000}"/>
              </a:ext>
            </a:extLst>
          </xdr:cNvPr>
          <xdr:cNvCxnSpPr/>
        </xdr:nvCxnSpPr>
        <xdr:spPr>
          <a:xfrm>
            <a:off x="7405688" y="8705850"/>
            <a:ext cx="419100" cy="0"/>
          </a:xfrm>
          <a:prstGeom prst="straightConnector1">
            <a:avLst/>
          </a:prstGeom>
          <a:ln w="38100" cap="flat">
            <a:solidFill>
              <a:srgbClr val="404040"/>
            </a:solidFill>
            <a:round/>
          </a:ln>
        </xdr:spPr>
      </xdr:cxnSp>
      <xdr:sp macro="" textlink="">
        <xdr:nvSpPr>
          <xdr:cNvPr id="30" name="凡例: 太線：専用線・閉域網">
            <a:extLst>
              <a:ext uri="{FF2B5EF4-FFF2-40B4-BE49-F238E27FC236}">
                <a16:creationId xmlns:a16="http://schemas.microsoft.com/office/drawing/2014/main" id="{00000000-0008-0000-0200-00001E000000}"/>
              </a:ext>
            </a:extLst>
          </xdr:cNvPr>
          <xdr:cNvSpPr/>
        </xdr:nvSpPr>
        <xdr:spPr>
          <a:xfrm>
            <a:off x="7881938" y="8610600"/>
            <a:ext cx="1528762" cy="190500"/>
          </a:xfrm>
          <a:prstGeom prst="rect">
            <a:avLst/>
          </a:prstGeom>
          <a:noFill/>
          <a:ln>
            <a:noFill/>
          </a:ln>
        </xdr:spPr>
        <xdr:txBody>
          <a:bodyPr vertOverflow="overflow" horzOverflow="overflow" wrap="square" lIns="12700" tIns="0" rIns="12700" bIns="0" rtlCol="0" anchor="ctr">
            <a:noAutofit/>
          </a:bodyPr>
          <a:lstStyle/>
          <a:p>
            <a:pPr algn="l"/>
            <a:r>
              <a:rPr lang="ja-JP" altLang="en-US" sz="750" b="0" dirty="0">
                <a:solidFill>
                  <a:srgbClr val="404040"/>
                </a:solidFill>
                <a:latin typeface="Meiryo UI"/>
                <a:ea typeface="Meiryo UI"/>
                <a:cs typeface="Meiryo UI"/>
              </a:rPr>
              <a:t>太線：専用線・閉域網</a:t>
            </a:r>
            <a:endParaRPr lang="ja-JP" altLang="en-US" sz="750" dirty="0">
              <a:latin typeface="Meiryo UI"/>
              <a:ea typeface="Meiryo UI"/>
            </a:endParaRPr>
          </a:p>
        </xdr:txBody>
      </xdr:sp>
      <xdr:sp macro="" textlink="">
        <xdr:nvSpPr>
          <xdr:cNvPr id="31" name="凡例: 角丸">
            <a:extLst>
              <a:ext uri="{FF2B5EF4-FFF2-40B4-BE49-F238E27FC236}">
                <a16:creationId xmlns:a16="http://schemas.microsoft.com/office/drawing/2014/main" id="{00000000-0008-0000-0200-00001F000000}"/>
              </a:ext>
            </a:extLst>
          </xdr:cNvPr>
          <xdr:cNvSpPr/>
        </xdr:nvSpPr>
        <xdr:spPr>
          <a:xfrm>
            <a:off x="1333500" y="8924925"/>
            <a:ext cx="304800" cy="171450"/>
          </a:xfrm>
          <a:custGeom>
            <a:avLst/>
            <a:gdLst>
              <a:gd name="x1" fmla="*/ w 1 4"/>
              <a:gd name="x2" fmla="*/ w 1 2"/>
              <a:gd name="x3" fmla="*/ w 3 4"/>
              <a:gd name="y1" fmla="*/ h 1 4"/>
              <a:gd name="y2" fmla="*/ h 1 2"/>
              <a:gd name="y3" fmla="*/ h 3 4"/>
              <a:gd name="smin" fmla="min w h"/>
              <a:gd name="hm" fmla="*/ smin 1 2"/>
              <a:gd name="rd" fmla="min 381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FFFFFF"/>
          </a:solidFill>
          <a:ln w="9525" cap="flat">
            <a:solidFill>
              <a:srgbClr val="404040"/>
            </a:solidFill>
            <a:round/>
          </a:ln>
        </xdr:spPr>
        <xdr:txBody>
          <a:bodyPr vertOverflow="overflow" horzOverflow="overflow" wrap="square" lIns="38100" tIns="19050" rIns="38100" bIns="19050" rtlCol="0" anchor="ctr">
            <a:noAutofit/>
          </a:bodyPr>
          <a:lstStyle/>
          <a:p>
            <a:pPr algn="ctr"/>
            <a:endParaRPr lang="ja-JP" altLang="en-US" sz="600" dirty="0">
              <a:latin typeface="Meiryo UI"/>
              <a:ea typeface="Meiryo UI"/>
            </a:endParaRPr>
          </a:p>
        </xdr:txBody>
      </xdr:sp>
      <xdr:sp macro="" textlink="">
        <xdr:nvSpPr>
          <xdr:cNvPr id="32" name="凡例: 円柱">
            <a:extLst>
              <a:ext uri="{FF2B5EF4-FFF2-40B4-BE49-F238E27FC236}">
                <a16:creationId xmlns:a16="http://schemas.microsoft.com/office/drawing/2014/main" id="{00000000-0008-0000-0200-000020000000}"/>
              </a:ext>
            </a:extLst>
          </xdr:cNvPr>
          <xdr:cNvSpPr/>
        </xdr:nvSpPr>
        <xdr:spPr>
          <a:xfrm>
            <a:off x="1676400" y="8905875"/>
            <a:ext cx="171450" cy="209550"/>
          </a:xfrm>
          <a:custGeom>
            <a:avLst/>
            <a:gdLst>
              <a:gd name="x1" fmla="*/ w 1 4"/>
              <a:gd name="x2" fmla="*/ w 1 2"/>
              <a:gd name="x3" fmla="*/ w 3 4"/>
              <a:gd name="y1" fmla="*/ h 1 4"/>
              <a:gd name="y2" fmla="*/ h 1 2"/>
              <a:gd name="y3" fmla="*/ h 3 4"/>
              <a:gd name="smin" fmla="min w h"/>
              <a:gd name="ry" fmla="*/ smin 1 8"/>
              <a:gd name="wr" fmla="*/ w 1 2"/>
              <a:gd name="ty" fmla="*/ ry 13397 100000"/>
              <a:gd name="by" fmla="+- b 0 ty"/>
              <a:gd name="y4" fmla="+- b 0 ry"/>
              <a:gd name="ry2" fmla="*/ ry 2 1"/>
            </a:gdLst>
            <a:ahLst/>
            <a:cxnLst>
              <a:cxn ang="16200000">
                <a:pos x="x2" y="t"/>
              </a:cxn>
              <a:cxn ang="16200000">
                <a:pos x="x3" y="ty"/>
              </a:cxn>
              <a:cxn ang="0">
                <a:pos x="r" y="y1"/>
              </a:cxn>
              <a:cxn ang="0">
                <a:pos x="r" y="y2"/>
              </a:cxn>
              <a:cxn ang="0">
                <a:pos x="r" y="y3"/>
              </a:cxn>
              <a:cxn ang="5400000">
                <a:pos x="x3" y="by"/>
              </a:cxn>
              <a:cxn ang="5400000">
                <a:pos x="x2" y="b"/>
              </a:cxn>
              <a:cxn ang="5400000">
                <a:pos x="x1" y="by"/>
              </a:cxn>
              <a:cxn ang="10800000">
                <a:pos x="l" y="y3"/>
              </a:cxn>
              <a:cxn ang="10800000">
                <a:pos x="l" y="y2"/>
              </a:cxn>
              <a:cxn ang="10800000">
                <a:pos x="l" y="y1"/>
              </a:cxn>
              <a:cxn ang="16200000">
                <a:pos x="x1" y="ty"/>
              </a:cxn>
            </a:cxnLst>
            <a:rect l="l" t="t" r="r" b="b"/>
            <a:pathLst>
              <a:path stroke="0" extrusionOk="0">
                <a:moveTo>
                  <a:pt x="l" y="ry"/>
                </a:moveTo>
                <a:arcTo wR="wr" hR="ry" stAng="10800000" swAng="-10800000"/>
                <a:lnTo>
                  <a:pt x="r" y="y4"/>
                </a:lnTo>
                <a:arcTo wR="wr" hR="ry" stAng="0" swAng="10800000"/>
                <a:close/>
              </a:path>
              <a:path fill="lighten" stroke="0" extrusionOk="0">
                <a:moveTo>
                  <a:pt x="l" y="ry"/>
                </a:moveTo>
                <a:arcTo wR="wr" hR="ry" stAng="10800000" swAng="10800000"/>
                <a:arcTo wR="wr" hR="ry" stAng="0" swAng="10800000"/>
                <a:close/>
              </a:path>
              <a:path fill="none" extrusionOk="0">
                <a:moveTo>
                  <a:pt x="r" y="ry"/>
                </a:moveTo>
                <a:arcTo wR="wr" hR="ry" stAng="0" swAng="10800000"/>
                <a:arcTo wR="wr" hR="ry" stAng="10800000" swAng="10800000"/>
                <a:lnTo>
                  <a:pt x="r" y="y4"/>
                </a:lnTo>
                <a:arcTo wR="wr" hR="ry" stAng="0" swAng="10800000"/>
                <a:lnTo>
                  <a:pt x="l" y="ry"/>
                </a:lnTo>
              </a:path>
            </a:pathLst>
          </a:custGeom>
          <a:solidFill>
            <a:srgbClr val="FFFFFF"/>
          </a:solidFill>
          <a:ln w="9525" cap="flat">
            <a:solidFill>
              <a:srgbClr val="404040"/>
            </a:solidFill>
            <a:round/>
          </a:ln>
        </xdr:spPr>
        <xdr:txBody>
          <a:bodyPr vertOverflow="overflow" horzOverflow="overflow" wrap="square" lIns="38100" tIns="19050" rIns="38100" bIns="19050" rtlCol="0" anchor="ctr">
            <a:noAutofit/>
          </a:bodyPr>
          <a:lstStyle/>
          <a:p>
            <a:pPr algn="ctr"/>
            <a:endParaRPr lang="ja-JP" altLang="en-US" sz="600" dirty="0">
              <a:latin typeface="Meiryo UI"/>
              <a:ea typeface="Meiryo UI"/>
            </a:endParaRPr>
          </a:p>
        </xdr:txBody>
      </xdr:sp>
      <xdr:sp macro="" textlink="">
        <xdr:nvSpPr>
          <xdr:cNvPr id="33" name="凡例: 図形の説明">
            <a:extLst>
              <a:ext uri="{FF2B5EF4-FFF2-40B4-BE49-F238E27FC236}">
                <a16:creationId xmlns:a16="http://schemas.microsoft.com/office/drawing/2014/main" id="{00000000-0008-0000-0200-000021000000}"/>
              </a:ext>
            </a:extLst>
          </xdr:cNvPr>
          <xdr:cNvSpPr/>
        </xdr:nvSpPr>
        <xdr:spPr>
          <a:xfrm>
            <a:off x="1885950" y="8915400"/>
            <a:ext cx="1452562" cy="190500"/>
          </a:xfrm>
          <a:prstGeom prst="rect">
            <a:avLst/>
          </a:prstGeom>
          <a:noFill/>
          <a:ln>
            <a:noFill/>
          </a:ln>
        </xdr:spPr>
        <xdr:txBody>
          <a:bodyPr vertOverflow="overflow" horzOverflow="overflow" wrap="square" lIns="12700" tIns="0" rIns="12700" bIns="0" rtlCol="0" anchor="ctr">
            <a:noAutofit/>
          </a:bodyPr>
          <a:lstStyle/>
          <a:p>
            <a:pPr algn="l"/>
            <a:r>
              <a:rPr lang="ja-JP" altLang="en-US" sz="750" b="0" dirty="0">
                <a:solidFill>
                  <a:srgbClr val="404040"/>
                </a:solidFill>
                <a:latin typeface="Meiryo UI"/>
                <a:ea typeface="Meiryo UI"/>
                <a:cs typeface="Meiryo UI"/>
              </a:rPr>
              <a:t>システム・サービス／DB</a:t>
            </a:r>
            <a:endParaRPr lang="ja-JP" altLang="en-US" sz="750" dirty="0">
              <a:latin typeface="Meiryo UI"/>
              <a:ea typeface="Meiryo UI"/>
            </a:endParaRPr>
          </a:p>
        </xdr:txBody>
      </xdr:sp>
      <xdr:sp macro="" textlink="">
        <xdr:nvSpPr>
          <xdr:cNvPr id="34" name="凡例: 番号">
            <a:extLst>
              <a:ext uri="{FF2B5EF4-FFF2-40B4-BE49-F238E27FC236}">
                <a16:creationId xmlns:a16="http://schemas.microsoft.com/office/drawing/2014/main" id="{00000000-0008-0000-0200-000022000000}"/>
              </a:ext>
            </a:extLst>
          </xdr:cNvPr>
          <xdr:cNvSpPr/>
        </xdr:nvSpPr>
        <xdr:spPr>
          <a:xfrm>
            <a:off x="3357562" y="8924925"/>
            <a:ext cx="304800" cy="171450"/>
          </a:xfrm>
          <a:prstGeom prst="roundRect">
            <a:avLst>
              <a:gd name="adj" fmla="val 50000"/>
            </a:avLst>
          </a:prstGeom>
          <a:solidFill>
            <a:srgbClr val="315C92"/>
          </a:solidFill>
          <a:ln>
            <a:noFill/>
          </a:ln>
        </xdr:spPr>
        <xdr:txBody>
          <a:bodyPr vertOverflow="overflow" horzOverflow="overflow" wrap="none" lIns="0" tIns="0" rIns="0" bIns="0" rtlCol="0" anchor="ctr">
            <a:noAutofit/>
          </a:bodyPr>
          <a:lstStyle/>
          <a:p>
            <a:pPr algn="ctr"/>
            <a:r>
              <a:rPr lang="ja-JP" altLang="en-US" sz="650" b="1" dirty="0">
                <a:solidFill>
                  <a:srgbClr val="FFFFFF"/>
                </a:solidFill>
                <a:latin typeface="Meiryo UI"/>
                <a:ea typeface="Meiryo UI"/>
                <a:cs typeface="Meiryo UI"/>
              </a:rPr>
              <a:t>A1</a:t>
            </a:r>
            <a:endParaRPr lang="ja-JP" altLang="en-US" sz="650" dirty="0">
              <a:latin typeface="Meiryo UI"/>
              <a:ea typeface="Meiryo UI"/>
            </a:endParaRPr>
          </a:p>
        </xdr:txBody>
      </xdr:sp>
      <xdr:sp macro="" textlink="">
        <xdr:nvSpPr>
          <xdr:cNvPr id="35" name="凡例: 番号の説明">
            <a:extLst>
              <a:ext uri="{FF2B5EF4-FFF2-40B4-BE49-F238E27FC236}">
                <a16:creationId xmlns:a16="http://schemas.microsoft.com/office/drawing/2014/main" id="{00000000-0008-0000-0200-000023000000}"/>
              </a:ext>
            </a:extLst>
          </xdr:cNvPr>
          <xdr:cNvSpPr/>
        </xdr:nvSpPr>
        <xdr:spPr>
          <a:xfrm>
            <a:off x="3700462" y="8915400"/>
            <a:ext cx="1662112" cy="190500"/>
          </a:xfrm>
          <a:prstGeom prst="rect">
            <a:avLst/>
          </a:prstGeom>
          <a:noFill/>
          <a:ln>
            <a:noFill/>
          </a:ln>
        </xdr:spPr>
        <xdr:txBody>
          <a:bodyPr vertOverflow="overflow" horzOverflow="overflow" wrap="square" lIns="12700" tIns="0" rIns="12700" bIns="0" rtlCol="0" anchor="ctr">
            <a:noAutofit/>
          </a:bodyPr>
          <a:lstStyle/>
          <a:p>
            <a:pPr algn="l"/>
            <a:r>
              <a:rPr lang="ja-JP" altLang="en-US" sz="750" b="0" dirty="0">
                <a:solidFill>
                  <a:srgbClr val="404040"/>
                </a:solidFill>
                <a:latin typeface="Meiryo UI"/>
                <a:ea typeface="Meiryo UI"/>
                <a:cs typeface="Meiryo UI"/>
              </a:rPr>
              <a:t>連携番号（→連携一覧）</a:t>
            </a:r>
            <a:endParaRPr lang="ja-JP" altLang="en-US" sz="750" dirty="0">
              <a:latin typeface="Meiryo UI"/>
              <a:ea typeface="Meiryo UI"/>
            </a:endParaRPr>
          </a:p>
        </xdr:txBody>
      </xdr:sp>
      <xdr:sp macro="" textlink="">
        <xdr:nvSpPr>
          <xdr:cNvPr id="36" name="凡例: ポイント">
            <a:extLst>
              <a:ext uri="{FF2B5EF4-FFF2-40B4-BE49-F238E27FC236}">
                <a16:creationId xmlns:a16="http://schemas.microsoft.com/office/drawing/2014/main" id="{00000000-0008-0000-0200-000024000000}"/>
              </a:ext>
            </a:extLst>
          </xdr:cNvPr>
          <xdr:cNvSpPr/>
        </xdr:nvSpPr>
        <xdr:spPr>
          <a:xfrm>
            <a:off x="5381625" y="8924925"/>
            <a:ext cx="304800" cy="171450"/>
          </a:xfrm>
          <a:prstGeom prst="rect">
            <a:avLst/>
          </a:prstGeom>
          <a:solidFill>
            <a:srgbClr val="315C92"/>
          </a:solidFill>
          <a:ln>
            <a:noFill/>
          </a:ln>
        </xdr:spPr>
        <xdr:txBody>
          <a:bodyPr vertOverflow="overflow" horzOverflow="overflow" wrap="none" lIns="0" tIns="0" rIns="0" bIns="0" rtlCol="0" anchor="ctr">
            <a:noAutofit/>
          </a:bodyPr>
          <a:lstStyle/>
          <a:p>
            <a:pPr algn="ctr"/>
            <a:r>
              <a:rPr lang="ja-JP" altLang="en-US" sz="500" b="1" dirty="0">
                <a:solidFill>
                  <a:srgbClr val="FFFFFF"/>
                </a:solidFill>
                <a:latin typeface="Meiryo UI"/>
                <a:ea typeface="Meiryo UI"/>
                <a:cs typeface="Meiryo UI"/>
              </a:rPr>
              <a:t>POINT</a:t>
            </a:r>
            <a:endParaRPr lang="ja-JP" altLang="en-US" sz="500" dirty="0">
              <a:latin typeface="Meiryo UI"/>
              <a:ea typeface="Meiryo UI"/>
            </a:endParaRPr>
          </a:p>
        </xdr:txBody>
      </xdr:sp>
      <xdr:sp macro="" textlink="">
        <xdr:nvSpPr>
          <xdr:cNvPr id="37" name="凡例: ポイントの説明">
            <a:extLst>
              <a:ext uri="{FF2B5EF4-FFF2-40B4-BE49-F238E27FC236}">
                <a16:creationId xmlns:a16="http://schemas.microsoft.com/office/drawing/2014/main" id="{00000000-0008-0000-0200-000025000000}"/>
              </a:ext>
            </a:extLst>
          </xdr:cNvPr>
          <xdr:cNvSpPr/>
        </xdr:nvSpPr>
        <xdr:spPr>
          <a:xfrm>
            <a:off x="5724525" y="8915400"/>
            <a:ext cx="1662112" cy="190500"/>
          </a:xfrm>
          <a:prstGeom prst="rect">
            <a:avLst/>
          </a:prstGeom>
          <a:noFill/>
          <a:ln>
            <a:noFill/>
          </a:ln>
        </xdr:spPr>
        <xdr:txBody>
          <a:bodyPr vertOverflow="overflow" horzOverflow="overflow" wrap="square" lIns="12700" tIns="0" rIns="12700" bIns="0" rtlCol="0" anchor="ctr">
            <a:noAutofit/>
          </a:bodyPr>
          <a:lstStyle/>
          <a:p>
            <a:pPr algn="l"/>
            <a:r>
              <a:rPr lang="ja-JP" altLang="en-US" sz="750" b="0" dirty="0">
                <a:solidFill>
                  <a:srgbClr val="404040"/>
                </a:solidFill>
                <a:latin typeface="Meiryo UI"/>
                <a:ea typeface="Meiryo UI"/>
                <a:cs typeface="Meiryo UI"/>
              </a:rPr>
              <a:t>ポイント・付記（ルート色）</a:t>
            </a:r>
            <a:endParaRPr lang="ja-JP" altLang="en-US" sz="750" dirty="0">
              <a:latin typeface="Meiryo UI"/>
              <a:ea typeface="Meiryo UI"/>
            </a:endParaRPr>
          </a:p>
        </xdr:txBody>
      </xdr:sp>
      <xdr:sp macro="" textlink="">
        <xdr:nvSpPr>
          <xdr:cNvPr id="38" name="凡例: 新規">
            <a:extLst>
              <a:ext uri="{FF2B5EF4-FFF2-40B4-BE49-F238E27FC236}">
                <a16:creationId xmlns:a16="http://schemas.microsoft.com/office/drawing/2014/main" id="{00000000-0008-0000-0200-000026000000}"/>
              </a:ext>
            </a:extLst>
          </xdr:cNvPr>
          <xdr:cNvSpPr/>
        </xdr:nvSpPr>
        <xdr:spPr>
          <a:xfrm>
            <a:off x="7405688" y="8924925"/>
            <a:ext cx="304800" cy="171450"/>
          </a:xfrm>
          <a:prstGeom prst="rect">
            <a:avLst/>
          </a:prstGeom>
          <a:noFill/>
          <a:ln w="12700" cap="flat">
            <a:solidFill>
              <a:srgbClr val="C00000"/>
            </a:solidFill>
            <a:prstDash val="dash"/>
            <a:round/>
          </a:ln>
        </xdr:spPr>
        <xdr:txBody>
          <a:bodyPr vertOverflow="overflow" horzOverflow="overflow" wrap="square" lIns="38100" tIns="19050" rIns="38100" bIns="19050" rtlCol="0" anchor="ctr">
            <a:noAutofit/>
          </a:bodyPr>
          <a:lstStyle/>
          <a:p>
            <a:pPr algn="ctr"/>
            <a:endParaRPr lang="ja-JP" altLang="en-US" sz="600" dirty="0">
              <a:latin typeface="Meiryo UI"/>
              <a:ea typeface="Meiryo UI"/>
            </a:endParaRPr>
          </a:p>
        </xdr:txBody>
      </xdr:sp>
      <xdr:sp macro="" textlink="">
        <xdr:nvSpPr>
          <xdr:cNvPr id="39" name="凡例: 新規の説明">
            <a:extLst>
              <a:ext uri="{FF2B5EF4-FFF2-40B4-BE49-F238E27FC236}">
                <a16:creationId xmlns:a16="http://schemas.microsoft.com/office/drawing/2014/main" id="{00000000-0008-0000-0200-000027000000}"/>
              </a:ext>
            </a:extLst>
          </xdr:cNvPr>
          <xdr:cNvSpPr/>
        </xdr:nvSpPr>
        <xdr:spPr>
          <a:xfrm>
            <a:off x="7748587" y="8915400"/>
            <a:ext cx="1662112" cy="190500"/>
          </a:xfrm>
          <a:prstGeom prst="rect">
            <a:avLst/>
          </a:prstGeom>
          <a:noFill/>
          <a:ln>
            <a:noFill/>
          </a:ln>
        </xdr:spPr>
        <xdr:txBody>
          <a:bodyPr vertOverflow="overflow" horzOverflow="overflow" wrap="square" lIns="12700" tIns="0" rIns="12700" bIns="0" rtlCol="0" anchor="ctr">
            <a:noAutofit/>
          </a:bodyPr>
          <a:lstStyle/>
          <a:p>
            <a:pPr algn="l"/>
            <a:r>
              <a:rPr lang="ja-JP" altLang="en-US" sz="750" b="0" dirty="0">
                <a:solidFill>
                  <a:srgbClr val="404040"/>
                </a:solidFill>
                <a:latin typeface="Meiryo UI"/>
                <a:ea typeface="Meiryo UI"/>
                <a:cs typeface="Meiryo UI"/>
              </a:rPr>
              <a:t>新規・変更箇所（赤破線）</a:t>
            </a:r>
            <a:endParaRPr lang="ja-JP" altLang="en-US" sz="750" dirty="0">
              <a:latin typeface="Meiryo UI"/>
              <a:ea typeface="Meiryo UI"/>
            </a:endParaRPr>
          </a:p>
        </xdr:txBody>
      </xdr:sp>
    </xdr:grpSp>
    <xdr:clientData/>
  </xdr:twoCellAnchor>
  <xdr:twoCellAnchor editAs="oneCell">
    <xdr:from>
      <xdr:col>36</xdr:col>
      <xdr:colOff>0</xdr:colOff>
      <xdr:row>20</xdr:row>
      <xdr:rowOff>0</xdr:rowOff>
    </xdr:from>
    <xdr:to>
      <xdr:col>66</xdr:col>
      <xdr:colOff>0</xdr:colOff>
      <xdr:row>23</xdr:row>
      <xdr:rowOff>0</xdr:rowOff>
    </xdr:to>
    <xdr:sp macro="" textlink="">
      <xdr:nvSpPr>
        <xdr:cNvPr id="41" name="ガイド文（不要なら削除）">
          <a:extLst>
            <a:ext uri="{FF2B5EF4-FFF2-40B4-BE49-F238E27FC236}">
              <a16:creationId xmlns:a16="http://schemas.microsoft.com/office/drawing/2014/main" id="{00000000-0008-0000-0200-000029000000}"/>
            </a:ext>
          </a:extLst>
        </xdr:cNvPr>
        <xdr:cNvSpPr/>
      </xdr:nvSpPr>
      <xdr:spPr>
        <a:xfrm>
          <a:off x="6858000" y="3810000"/>
          <a:ext cx="5715000" cy="571500"/>
        </a:xfrm>
        <a:prstGeom prst="rect">
          <a:avLst/>
        </a:prstGeom>
        <a:noFill/>
        <a:ln>
          <a:noFill/>
        </a:ln>
      </xdr:spPr>
      <xdr:txBody>
        <a:bodyPr vertOverflow="overflow" horzOverflow="overflow" wrap="square" lIns="12700" tIns="0" rIns="12700" bIns="0" rtlCol="0" anchor="ctr">
          <a:noAutofit/>
        </a:bodyPr>
        <a:lstStyle/>
        <a:p>
          <a:pPr algn="ctr"/>
          <a:r>
            <a:rPr lang="ja-JP" altLang="en-US" sz="850" b="0" dirty="0">
              <a:solidFill>
                <a:srgbClr val="A6A6A6"/>
              </a:solidFill>
              <a:latin typeface="Meiryo UI"/>
              <a:ea typeface="Meiryo UI"/>
              <a:cs typeface="Meiryo UI"/>
            </a:rPr>
            <a:t>接続先（AWS 等）のノードをここに配置します。</a:t>
          </a:r>
          <a:endParaRPr lang="ja-JP" altLang="en-US" sz="850" dirty="0">
            <a:latin typeface="Meiryo UI"/>
            <a:ea typeface="Meiryo UI"/>
          </a:endParaRPr>
        </a:p>
        <a:p>
          <a:pPr algn="ctr"/>
          <a:r>
            <a:rPr lang="ja-JP" altLang="en-US" sz="850" b="0" dirty="0">
              <a:solidFill>
                <a:srgbClr val="A6A6A6"/>
              </a:solidFill>
              <a:latin typeface="Meiryo UI"/>
              <a:ea typeface="Meiryo UI"/>
              <a:cs typeface="Meiryo UI"/>
            </a:rPr>
            <a:t>線は図形の12か所の接続点につなぎ、ルートの色で塗り分けます（右側の部品パレット参照）</a:t>
          </a:r>
          <a:endParaRPr lang="ja-JP" altLang="en-US" sz="850" dirty="0">
            <a:latin typeface="Meiryo UI"/>
            <a:ea typeface="Meiryo UI"/>
          </a:endParaRPr>
        </a:p>
      </xdr:txBody>
    </xdr:sp>
    <xdr:clientData/>
  </xdr:twoCellAnchor>
  <xdr:twoCellAnchor editAs="oneCell">
    <xdr:from>
      <xdr:col>52</xdr:col>
      <xdr:colOff>0</xdr:colOff>
      <xdr:row>42</xdr:row>
      <xdr:rowOff>95250</xdr:rowOff>
    </xdr:from>
    <xdr:to>
      <xdr:col>74</xdr:col>
      <xdr:colOff>0</xdr:colOff>
      <xdr:row>48</xdr:row>
      <xdr:rowOff>95250</xdr:rowOff>
    </xdr:to>
    <xdr:sp macro="" textlink="">
      <xdr:nvSpPr>
        <xdr:cNvPr id="42" name="注記">
          <a:extLst>
            <a:ext uri="{FF2B5EF4-FFF2-40B4-BE49-F238E27FC236}">
              <a16:creationId xmlns:a16="http://schemas.microsoft.com/office/drawing/2014/main" id="{00000000-0008-0000-0200-00002A000000}"/>
            </a:ext>
          </a:extLst>
        </xdr:cNvPr>
        <xdr:cNvSpPr/>
      </xdr:nvSpPr>
      <xdr:spPr>
        <a:xfrm>
          <a:off x="9906000" y="8096250"/>
          <a:ext cx="4191000" cy="1143000"/>
        </a:xfrm>
        <a:prstGeom prst="rect">
          <a:avLst/>
        </a:prstGeom>
        <a:solidFill>
          <a:srgbClr val="FFFFFF"/>
        </a:solidFill>
        <a:ln w="9525" cap="flat">
          <a:solidFill>
            <a:srgbClr val="A6A6A6"/>
          </a:solidFill>
          <a:round/>
        </a:ln>
      </xdr:spPr>
      <xdr:txBody>
        <a:bodyPr vertOverflow="overflow" horzOverflow="overflow" wrap="square" lIns="63500" tIns="38100" rIns="63500" bIns="38100" rtlCol="0" anchor="t">
          <a:noAutofit/>
        </a:bodyPr>
        <a:lstStyle/>
        <a:p>
          <a:pPr algn="l"/>
          <a:r>
            <a:rPr lang="ja-JP" altLang="en-US" sz="850" b="1" dirty="0">
              <a:solidFill>
                <a:srgbClr val="262626"/>
              </a:solidFill>
              <a:latin typeface="Meiryo UI"/>
              <a:ea typeface="Meiryo UI"/>
              <a:cs typeface="Meiryo UI"/>
            </a:rPr>
            <a:t>注記</a:t>
          </a:r>
          <a:endParaRPr lang="ja-JP" altLang="en-US" sz="850" dirty="0">
            <a:latin typeface="Meiryo UI"/>
            <a:ea typeface="Meiryo UI"/>
          </a:endParaRPr>
        </a:p>
        <a:p>
          <a:pPr algn="l">
            <a:spcBef>
              <a:spcPts val="150"/>
            </a:spcBef>
          </a:pPr>
          <a:r>
            <a:rPr lang="ja-JP" altLang="en-US" sz="750" b="0" dirty="0">
              <a:solidFill>
                <a:srgbClr val="404040"/>
              </a:solidFill>
              <a:latin typeface="Meiryo UI"/>
              <a:ea typeface="Meiryo UI"/>
              <a:cs typeface="Meiryo UI"/>
            </a:rPr>
            <a:t>1. 連携の詳細は「連携一覧」、ノードの詳細は「構成要素一覧」を参照</a:t>
          </a:r>
          <a:endParaRPr lang="ja-JP" altLang="en-US" sz="750" dirty="0">
            <a:latin typeface="Meiryo UI"/>
            <a:ea typeface="Meiryo UI"/>
          </a:endParaRPr>
        </a:p>
        <a:p>
          <a:pPr algn="l">
            <a:spcBef>
              <a:spcPts val="150"/>
            </a:spcBef>
          </a:pPr>
          <a:r>
            <a:rPr lang="ja-JP" altLang="en-US" sz="750" b="0" dirty="0">
              <a:solidFill>
                <a:srgbClr val="404040"/>
              </a:solidFill>
              <a:latin typeface="Meiryo UI"/>
              <a:ea typeface="Meiryo UI"/>
              <a:cs typeface="Meiryo UI"/>
            </a:rPr>
            <a:t>2. 色＝ルート（表紙で定義）、線の種類＝連携方式</a:t>
          </a:r>
          <a:endParaRPr lang="ja-JP" altLang="en-US" sz="750" dirty="0">
            <a:latin typeface="Meiryo UI"/>
            <a:ea typeface="Meiryo UI"/>
          </a:endParaRPr>
        </a:p>
        <a:p>
          <a:pPr algn="l">
            <a:spcBef>
              <a:spcPts val="150"/>
            </a:spcBef>
          </a:pPr>
          <a:r>
            <a:rPr lang="ja-JP" altLang="en-US" sz="750" b="0" dirty="0">
              <a:solidFill>
                <a:srgbClr val="404040"/>
              </a:solidFill>
              <a:latin typeface="Meiryo UI"/>
              <a:ea typeface="Meiryo UI"/>
              <a:cs typeface="Meiryo UI"/>
            </a:rPr>
            <a:t>3. </a:t>
          </a:r>
          <a:endParaRPr lang="ja-JP" altLang="en-US" sz="750" dirty="0">
            <a:latin typeface="Meiryo UI"/>
            <a:ea typeface="Meiryo UI"/>
          </a:endParaRPr>
        </a:p>
      </xdr:txBody>
    </xdr:sp>
    <xdr:clientData/>
  </xdr:twoCellAnchor>
  <xdr:twoCellAnchor editAs="oneCell">
    <xdr:from>
      <xdr:col>78</xdr:col>
      <xdr:colOff>0</xdr:colOff>
      <xdr:row>6</xdr:row>
      <xdr:rowOff>0</xdr:rowOff>
    </xdr:from>
    <xdr:to>
      <xdr:col>86</xdr:col>
      <xdr:colOff>0</xdr:colOff>
      <xdr:row>10</xdr:row>
      <xdr:rowOff>0</xdr:rowOff>
    </xdr:to>
    <xdr:sp macro="" textlink="">
      <xdr:nvSpPr>
        <xdr:cNvPr id="43" name="ノード: 角丸・標準（共通）">
          <a:extLst>
            <a:ext uri="{FF2B5EF4-FFF2-40B4-BE49-F238E27FC236}">
              <a16:creationId xmlns:a16="http://schemas.microsoft.com/office/drawing/2014/main" id="{00000000-0008-0000-0200-00002B000000}"/>
            </a:ext>
          </a:extLst>
        </xdr:cNvPr>
        <xdr:cNvSpPr/>
      </xdr:nvSpPr>
      <xdr:spPr>
        <a:xfrm>
          <a:off x="14859000" y="1143000"/>
          <a:ext cx="1524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FFFFFF"/>
        </a:solidFill>
        <a:ln w="12700" cap="flat">
          <a:solidFill>
            <a:srgbClr val="404040"/>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262626"/>
              </a:solidFill>
              <a:latin typeface="Meiryo UI"/>
              <a:ea typeface="Meiryo UI"/>
              <a:cs typeface="Meiryo UI"/>
            </a:rPr>
            <a:t>ノード名</a:t>
          </a:r>
          <a:endParaRPr lang="ja-JP" altLang="en-US" sz="950" dirty="0">
            <a:latin typeface="Meiryo UI"/>
            <a:ea typeface="Meiryo UI"/>
          </a:endParaRPr>
        </a:p>
        <a:p>
          <a:pPr algn="ctr">
            <a:lnSpc>
              <a:spcPct val="95000"/>
            </a:lnSpc>
            <a:spcBef>
              <a:spcPts val="50"/>
            </a:spcBef>
          </a:pPr>
          <a:r>
            <a:rPr lang="ja-JP" altLang="en-US" sz="750" b="0" dirty="0">
              <a:solidFill>
                <a:srgbClr val="595959"/>
              </a:solidFill>
              <a:latin typeface="Meiryo UI"/>
              <a:ea typeface="Meiryo UI"/>
              <a:cs typeface="Meiryo UI"/>
            </a:rPr>
            <a:t>役割・概要</a:t>
          </a:r>
          <a:endParaRPr lang="ja-JP" altLang="en-US" sz="750" dirty="0">
            <a:latin typeface="Meiryo UI"/>
            <a:ea typeface="Meiryo UI"/>
          </a:endParaRPr>
        </a:p>
      </xdr:txBody>
    </xdr:sp>
    <xdr:clientData/>
  </xdr:twoCellAnchor>
  <xdr:twoCellAnchor editAs="oneCell">
    <xdr:from>
      <xdr:col>78</xdr:col>
      <xdr:colOff>0</xdr:colOff>
      <xdr:row>11</xdr:row>
      <xdr:rowOff>0</xdr:rowOff>
    </xdr:from>
    <xdr:to>
      <xdr:col>86</xdr:col>
      <xdr:colOff>0</xdr:colOff>
      <xdr:row>15</xdr:row>
      <xdr:rowOff>0</xdr:rowOff>
    </xdr:to>
    <xdr:sp macro="" textlink="">
      <xdr:nvSpPr>
        <xdr:cNvPr id="44" name="ノード: 角丸・強調（共通）">
          <a:extLst>
            <a:ext uri="{FF2B5EF4-FFF2-40B4-BE49-F238E27FC236}">
              <a16:creationId xmlns:a16="http://schemas.microsoft.com/office/drawing/2014/main" id="{00000000-0008-0000-0200-00002C000000}"/>
            </a:ext>
          </a:extLst>
        </xdr:cNvPr>
        <xdr:cNvSpPr/>
      </xdr:nvSpPr>
      <xdr:spPr>
        <a:xfrm>
          <a:off x="14859000" y="2095500"/>
          <a:ext cx="1524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404040"/>
        </a:solidFill>
        <a:ln w="15875" cap="flat">
          <a:solidFill>
            <a:srgbClr val="404040"/>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FFFFFF"/>
              </a:solidFill>
              <a:latin typeface="Meiryo UI"/>
              <a:ea typeface="Meiryo UI"/>
              <a:cs typeface="Meiryo UI"/>
            </a:rPr>
            <a:t>接続元</a:t>
          </a:r>
          <a:endParaRPr lang="ja-JP" altLang="en-US" sz="950" dirty="0">
            <a:latin typeface="Meiryo UI"/>
            <a:ea typeface="Meiryo UI"/>
          </a:endParaRPr>
        </a:p>
        <a:p>
          <a:pPr algn="ctr">
            <a:lnSpc>
              <a:spcPct val="95000"/>
            </a:lnSpc>
            <a:spcBef>
              <a:spcPts val="50"/>
            </a:spcBef>
          </a:pPr>
          <a:r>
            <a:rPr lang="ja-JP" altLang="en-US" sz="750" b="0" dirty="0">
              <a:solidFill>
                <a:srgbClr val="D9D9D9"/>
              </a:solidFill>
              <a:latin typeface="Meiryo UI"/>
              <a:ea typeface="Meiryo UI"/>
              <a:cs typeface="Meiryo UI"/>
            </a:rPr>
            <a:t>強調ノード</a:t>
          </a:r>
          <a:endParaRPr lang="ja-JP" altLang="en-US" sz="750" dirty="0">
            <a:latin typeface="Meiryo UI"/>
            <a:ea typeface="Meiryo UI"/>
          </a:endParaRPr>
        </a:p>
      </xdr:txBody>
    </xdr:sp>
    <xdr:clientData/>
  </xdr:twoCellAnchor>
  <xdr:twoCellAnchor editAs="oneCell">
    <xdr:from>
      <xdr:col>78</xdr:col>
      <xdr:colOff>0</xdr:colOff>
      <xdr:row>16</xdr:row>
      <xdr:rowOff>0</xdr:rowOff>
    </xdr:from>
    <xdr:to>
      <xdr:col>82</xdr:col>
      <xdr:colOff>0</xdr:colOff>
      <xdr:row>20</xdr:row>
      <xdr:rowOff>0</xdr:rowOff>
    </xdr:to>
    <xdr:sp macro="" textlink="">
      <xdr:nvSpPr>
        <xdr:cNvPr id="45" name="ノード: 円柱・標準（共通）">
          <a:extLst>
            <a:ext uri="{FF2B5EF4-FFF2-40B4-BE49-F238E27FC236}">
              <a16:creationId xmlns:a16="http://schemas.microsoft.com/office/drawing/2014/main" id="{00000000-0008-0000-0200-00002D000000}"/>
            </a:ext>
          </a:extLst>
        </xdr:cNvPr>
        <xdr:cNvSpPr/>
      </xdr:nvSpPr>
      <xdr:spPr>
        <a:xfrm>
          <a:off x="14859000" y="3048000"/>
          <a:ext cx="762000" cy="762000"/>
        </a:xfrm>
        <a:custGeom>
          <a:avLst/>
          <a:gdLst>
            <a:gd name="x1" fmla="*/ w 1 4"/>
            <a:gd name="x2" fmla="*/ w 1 2"/>
            <a:gd name="x3" fmla="*/ w 3 4"/>
            <a:gd name="y1" fmla="*/ h 1 4"/>
            <a:gd name="y2" fmla="*/ h 1 2"/>
            <a:gd name="y3" fmla="*/ h 3 4"/>
            <a:gd name="smin" fmla="min w h"/>
            <a:gd name="ry" fmla="*/ smin 1 8"/>
            <a:gd name="wr" fmla="*/ w 1 2"/>
            <a:gd name="ty" fmla="*/ ry 13397 100000"/>
            <a:gd name="by" fmla="+- b 0 ty"/>
            <a:gd name="y4" fmla="+- b 0 ry"/>
            <a:gd name="ry2" fmla="*/ ry 2 1"/>
          </a:gdLst>
          <a:ahLst/>
          <a:cxnLst>
            <a:cxn ang="16200000">
              <a:pos x="x2" y="t"/>
            </a:cxn>
            <a:cxn ang="16200000">
              <a:pos x="x3" y="ty"/>
            </a:cxn>
            <a:cxn ang="0">
              <a:pos x="r" y="y1"/>
            </a:cxn>
            <a:cxn ang="0">
              <a:pos x="r" y="y2"/>
            </a:cxn>
            <a:cxn ang="0">
              <a:pos x="r" y="y3"/>
            </a:cxn>
            <a:cxn ang="5400000">
              <a:pos x="x3" y="by"/>
            </a:cxn>
            <a:cxn ang="5400000">
              <a:pos x="x2" y="b"/>
            </a:cxn>
            <a:cxn ang="5400000">
              <a:pos x="x1" y="by"/>
            </a:cxn>
            <a:cxn ang="10800000">
              <a:pos x="l" y="y3"/>
            </a:cxn>
            <a:cxn ang="10800000">
              <a:pos x="l" y="y2"/>
            </a:cxn>
            <a:cxn ang="10800000">
              <a:pos x="l" y="y1"/>
            </a:cxn>
            <a:cxn ang="16200000">
              <a:pos x="x1" y="ty"/>
            </a:cxn>
          </a:cxnLst>
          <a:rect l="l" t="t" r="r" b="b"/>
          <a:pathLst>
            <a:path stroke="0" extrusionOk="0">
              <a:moveTo>
                <a:pt x="l" y="ry"/>
              </a:moveTo>
              <a:arcTo wR="wr" hR="ry" stAng="10800000" swAng="-10800000"/>
              <a:lnTo>
                <a:pt x="r" y="y4"/>
              </a:lnTo>
              <a:arcTo wR="wr" hR="ry" stAng="0" swAng="10800000"/>
              <a:close/>
            </a:path>
            <a:path fill="lighten" stroke="0" extrusionOk="0">
              <a:moveTo>
                <a:pt x="l" y="ry"/>
              </a:moveTo>
              <a:arcTo wR="wr" hR="ry" stAng="10800000" swAng="10800000"/>
              <a:arcTo wR="wr" hR="ry" stAng="0" swAng="10800000"/>
              <a:close/>
            </a:path>
            <a:path fill="none" extrusionOk="0">
              <a:moveTo>
                <a:pt x="r" y="ry"/>
              </a:moveTo>
              <a:arcTo wR="wr" hR="ry" stAng="0" swAng="10800000"/>
              <a:arcTo wR="wr" hR="ry" stAng="10800000" swAng="10800000"/>
              <a:lnTo>
                <a:pt x="r" y="y4"/>
              </a:lnTo>
              <a:arcTo wR="wr" hR="ry" stAng="0" swAng="10800000"/>
              <a:lnTo>
                <a:pt x="l" y="ry"/>
              </a:lnTo>
            </a:path>
          </a:pathLst>
        </a:custGeom>
        <a:solidFill>
          <a:srgbClr val="FFFFFF"/>
        </a:solidFill>
        <a:ln w="12700" cap="flat">
          <a:solidFill>
            <a:srgbClr val="404040"/>
          </a:solidFill>
          <a:round/>
        </a:ln>
      </xdr:spPr>
      <xdr:txBody>
        <a:bodyPr vertOverflow="overflow" horzOverflow="overflow" wrap="square" lIns="25400" tIns="76200" rIns="25400" bIns="25400" rtlCol="0" anchor="ctr">
          <a:noAutofit/>
        </a:bodyPr>
        <a:lstStyle/>
        <a:p>
          <a:pPr algn="ctr">
            <a:lnSpc>
              <a:spcPct val="95000"/>
            </a:lnSpc>
          </a:pPr>
          <a:r>
            <a:rPr lang="ja-JP" altLang="en-US" sz="850" b="1" dirty="0">
              <a:solidFill>
                <a:srgbClr val="262626"/>
              </a:solidFill>
              <a:latin typeface="Meiryo UI"/>
              <a:ea typeface="Meiryo UI"/>
              <a:cs typeface="Meiryo UI"/>
            </a:rPr>
            <a:t>DB</a:t>
          </a:r>
          <a:endParaRPr lang="ja-JP" altLang="en-US" sz="850" dirty="0">
            <a:latin typeface="Meiryo UI"/>
            <a:ea typeface="Meiryo UI"/>
          </a:endParaRPr>
        </a:p>
        <a:p>
          <a:pPr algn="ctr">
            <a:lnSpc>
              <a:spcPct val="95000"/>
            </a:lnSpc>
            <a:spcBef>
              <a:spcPts val="50"/>
            </a:spcBef>
          </a:pPr>
          <a:r>
            <a:rPr lang="ja-JP" altLang="en-US" sz="700" b="0" dirty="0">
              <a:solidFill>
                <a:srgbClr val="595959"/>
              </a:solidFill>
              <a:latin typeface="Meiryo UI"/>
              <a:ea typeface="Meiryo UI"/>
              <a:cs typeface="Meiryo UI"/>
            </a:rPr>
            <a:t>ストレージ</a:t>
          </a:r>
          <a:endParaRPr lang="ja-JP" altLang="en-US" sz="700" dirty="0">
            <a:latin typeface="Meiryo UI"/>
            <a:ea typeface="Meiryo UI"/>
          </a:endParaRPr>
        </a:p>
      </xdr:txBody>
    </xdr:sp>
    <xdr:clientData/>
  </xdr:twoCellAnchor>
  <xdr:twoCellAnchor editAs="oneCell">
    <xdr:from>
      <xdr:col>82</xdr:col>
      <xdr:colOff>0</xdr:colOff>
      <xdr:row>16</xdr:row>
      <xdr:rowOff>0</xdr:rowOff>
    </xdr:from>
    <xdr:to>
      <xdr:col>86</xdr:col>
      <xdr:colOff>0</xdr:colOff>
      <xdr:row>20</xdr:row>
      <xdr:rowOff>0</xdr:rowOff>
    </xdr:to>
    <xdr:sp macro="" textlink="">
      <xdr:nvSpPr>
        <xdr:cNvPr id="46" name="ノード: 円・標準（共通）">
          <a:extLst>
            <a:ext uri="{FF2B5EF4-FFF2-40B4-BE49-F238E27FC236}">
              <a16:creationId xmlns:a16="http://schemas.microsoft.com/office/drawing/2014/main" id="{00000000-0008-0000-0200-00002E000000}"/>
            </a:ext>
          </a:extLst>
        </xdr:cNvPr>
        <xdr:cNvSpPr/>
      </xdr:nvSpPr>
      <xdr:spPr>
        <a:xfrm>
          <a:off x="15621000" y="3048000"/>
          <a:ext cx="762000" cy="762000"/>
        </a:xfrm>
        <a:custGeom>
          <a:avLst/>
          <a:gdLst>
            <a:gd name="wr" fmla="*/ w 1 2"/>
            <a:gd name="hr" fmla="*/ h 1 2"/>
            <a:gd name="dx0" fmla="sin wr 0"/>
            <a:gd name="dy0" fmla="cos hr 0"/>
            <a:gd name="px0" fmla="+- hc dx0 0"/>
            <a:gd name="py0" fmla="+- vc 0 dy0"/>
            <a:gd name="dx1" fmla="sin wr 1800000"/>
            <a:gd name="dy1" fmla="cos hr 1800000"/>
            <a:gd name="px1" fmla="+- hc dx1 0"/>
            <a:gd name="py1" fmla="+- vc 0 dy1"/>
            <a:gd name="dx2" fmla="sin wr 3600000"/>
            <a:gd name="dy2" fmla="cos hr 3600000"/>
            <a:gd name="px2" fmla="+- hc dx2 0"/>
            <a:gd name="py2" fmla="+- vc 0 dy2"/>
            <a:gd name="dx3" fmla="sin wr 5400000"/>
            <a:gd name="dy3" fmla="cos hr 5400000"/>
            <a:gd name="px3" fmla="+- hc dx3 0"/>
            <a:gd name="py3" fmla="+- vc 0 dy3"/>
            <a:gd name="dx4" fmla="sin wr 7200000"/>
            <a:gd name="dy4" fmla="cos hr 7200000"/>
            <a:gd name="px4" fmla="+- hc dx4 0"/>
            <a:gd name="py4" fmla="+- vc 0 dy4"/>
            <a:gd name="dx5" fmla="sin wr 9000000"/>
            <a:gd name="dy5" fmla="cos hr 9000000"/>
            <a:gd name="px5" fmla="+- hc dx5 0"/>
            <a:gd name="py5" fmla="+- vc 0 dy5"/>
            <a:gd name="dx6" fmla="sin wr 10800000"/>
            <a:gd name="dy6" fmla="cos hr 10800000"/>
            <a:gd name="px6" fmla="+- hc dx6 0"/>
            <a:gd name="py6" fmla="+- vc 0 dy6"/>
            <a:gd name="dx7" fmla="sin wr 12600000"/>
            <a:gd name="dy7" fmla="cos hr 12600000"/>
            <a:gd name="px7" fmla="+- hc dx7 0"/>
            <a:gd name="py7" fmla="+- vc 0 dy7"/>
            <a:gd name="dx8" fmla="sin wr 14400000"/>
            <a:gd name="dy8" fmla="cos hr 14400000"/>
            <a:gd name="px8" fmla="+- hc dx8 0"/>
            <a:gd name="py8" fmla="+- vc 0 dy8"/>
            <a:gd name="dx9" fmla="sin wr 16200000"/>
            <a:gd name="dy9" fmla="cos hr 16200000"/>
            <a:gd name="px9" fmla="+- hc dx9 0"/>
            <a:gd name="py9" fmla="+- vc 0 dy9"/>
            <a:gd name="dx10" fmla="sin wr 18000000"/>
            <a:gd name="dy10" fmla="cos hr 18000000"/>
            <a:gd name="px10" fmla="+- hc dx10 0"/>
            <a:gd name="py10" fmla="+- vc 0 dy10"/>
            <a:gd name="dx11" fmla="sin wr 19800000"/>
            <a:gd name="dy11" fmla="cos hr 19800000"/>
            <a:gd name="px11" fmla="+- hc dx11 0"/>
            <a:gd name="py11" fmla="+- vc 0 dy11"/>
          </a:gdLst>
          <a:ahLst/>
          <a:cxnLst>
            <a:cxn ang="16200000">
              <a:pos x="px0" y="py0"/>
            </a:cxn>
            <a:cxn ang="16200000">
              <a:pos x="px1" y="py1"/>
            </a:cxn>
            <a:cxn ang="0">
              <a:pos x="px2" y="py2"/>
            </a:cxn>
            <a:cxn ang="0">
              <a:pos x="px3" y="py3"/>
            </a:cxn>
            <a:cxn ang="0">
              <a:pos x="px4" y="py4"/>
            </a:cxn>
            <a:cxn ang="5400000">
              <a:pos x="px5" y="py5"/>
            </a:cxn>
            <a:cxn ang="5400000">
              <a:pos x="px6" y="py6"/>
            </a:cxn>
            <a:cxn ang="5400000">
              <a:pos x="px7" y="py7"/>
            </a:cxn>
            <a:cxn ang="10800000">
              <a:pos x="px8" y="py8"/>
            </a:cxn>
            <a:cxn ang="10800000">
              <a:pos x="px9" y="py9"/>
            </a:cxn>
            <a:cxn ang="10800000">
              <a:pos x="px10" y="py10"/>
            </a:cxn>
            <a:cxn ang="16200000">
              <a:pos x="px11" y="py11"/>
            </a:cxn>
          </a:cxnLst>
          <a:rect l="l" t="t" r="r" b="b"/>
          <a:pathLst>
            <a:path>
              <a:moveTo>
                <a:pt x="l" y="vc"/>
              </a:moveTo>
              <a:arcTo wR="wr" hR="hr" stAng="10800000" swAng="21600000"/>
              <a:close/>
            </a:path>
          </a:pathLst>
        </a:custGeom>
        <a:solidFill>
          <a:srgbClr val="FFFFFF"/>
        </a:solidFill>
        <a:ln w="12700" cap="flat">
          <a:solidFill>
            <a:srgbClr val="404040"/>
          </a:solidFill>
          <a:round/>
        </a:ln>
      </xdr:spPr>
      <xdr:txBody>
        <a:bodyPr vertOverflow="overflow" horzOverflow="overflow" wrap="square" lIns="38100" tIns="19050" rIns="38100" bIns="19050" rtlCol="0" anchor="ctr">
          <a:noAutofit/>
        </a:bodyPr>
        <a:lstStyle/>
        <a:p>
          <a:pPr algn="ctr">
            <a:lnSpc>
              <a:spcPct val="95000"/>
            </a:lnSpc>
          </a:pPr>
          <a:r>
            <a:rPr lang="ja-JP" altLang="en-US" sz="850" b="1" dirty="0">
              <a:solidFill>
                <a:srgbClr val="262626"/>
              </a:solidFill>
              <a:latin typeface="Meiryo UI"/>
              <a:ea typeface="Meiryo UI"/>
              <a:cs typeface="Meiryo UI"/>
            </a:rPr>
            <a:t>利用者</a:t>
          </a:r>
          <a:endParaRPr lang="ja-JP" altLang="en-US" sz="850" dirty="0">
            <a:latin typeface="Meiryo UI"/>
            <a:ea typeface="Meiryo UI"/>
          </a:endParaRPr>
        </a:p>
      </xdr:txBody>
    </xdr:sp>
    <xdr:clientData/>
  </xdr:twoCellAnchor>
  <xdr:twoCellAnchor editAs="oneCell">
    <xdr:from>
      <xdr:col>78</xdr:col>
      <xdr:colOff>0</xdr:colOff>
      <xdr:row>21</xdr:row>
      <xdr:rowOff>0</xdr:rowOff>
    </xdr:from>
    <xdr:to>
      <xdr:col>86</xdr:col>
      <xdr:colOff>0</xdr:colOff>
      <xdr:row>25</xdr:row>
      <xdr:rowOff>0</xdr:rowOff>
    </xdr:to>
    <xdr:sp macro="" textlink="">
      <xdr:nvSpPr>
        <xdr:cNvPr id="47" name="ノード: カプセル・標準（共通）">
          <a:extLst>
            <a:ext uri="{FF2B5EF4-FFF2-40B4-BE49-F238E27FC236}">
              <a16:creationId xmlns:a16="http://schemas.microsoft.com/office/drawing/2014/main" id="{00000000-0008-0000-0200-00002F000000}"/>
            </a:ext>
          </a:extLst>
        </xdr:cNvPr>
        <xdr:cNvSpPr/>
      </xdr:nvSpPr>
      <xdr:spPr>
        <a:xfrm>
          <a:off x="14859000" y="4000500"/>
          <a:ext cx="1524000" cy="762000"/>
        </a:xfrm>
        <a:custGeom>
          <a:avLst/>
          <a:gdLst>
            <a:gd name="x1" fmla="*/ w 1 4"/>
            <a:gd name="x2" fmla="*/ w 1 2"/>
            <a:gd name="x3" fmla="*/ w 3 4"/>
            <a:gd name="y1" fmla="*/ h 1 4"/>
            <a:gd name="y2" fmla="*/ h 1 2"/>
            <a:gd name="y3" fmla="*/ h 3 4"/>
            <a:gd name="smin" fmla="min w h"/>
            <a:gd name="rr" fmla="*/ smin 1 2"/>
            <a:gd name="rx" fmla="+- r 0 rr"/>
            <a:gd name="k" fmla="*/ rr 13397 100000"/>
            <a:gd name="rk" fmla="+- r 0 k"/>
          </a:gdLst>
          <a:ahLst/>
          <a:cxnLst>
            <a:cxn ang="16200000">
              <a:pos x="x2" y="t"/>
            </a:cxn>
            <a:cxn ang="16200000">
              <a:pos x="x3" y="t"/>
            </a:cxn>
            <a:cxn ang="0">
              <a:pos x="rk" y="y1"/>
            </a:cxn>
            <a:cxn ang="0">
              <a:pos x="r" y="y2"/>
            </a:cxn>
            <a:cxn ang="0">
              <a:pos x="rk" y="y3"/>
            </a:cxn>
            <a:cxn ang="5400000">
              <a:pos x="x3" y="b"/>
            </a:cxn>
            <a:cxn ang="5400000">
              <a:pos x="x2" y="b"/>
            </a:cxn>
            <a:cxn ang="5400000">
              <a:pos x="x1" y="b"/>
            </a:cxn>
            <a:cxn ang="10800000">
              <a:pos x="k" y="y3"/>
            </a:cxn>
            <a:cxn ang="10800000">
              <a:pos x="l" y="y2"/>
            </a:cxn>
            <a:cxn ang="10800000">
              <a:pos x="k" y="y1"/>
            </a:cxn>
            <a:cxn ang="16200000">
              <a:pos x="x1" y="t"/>
            </a:cxn>
          </a:cxnLst>
          <a:rect l="l" t="t" r="r" b="b"/>
          <a:pathLst>
            <a:path>
              <a:moveTo>
                <a:pt x="rr" y="t"/>
              </a:moveTo>
              <a:lnTo>
                <a:pt x="rx" y="t"/>
              </a:lnTo>
              <a:arcTo wR="rr" hR="rr" stAng="16200000" swAng="10800000"/>
              <a:lnTo>
                <a:pt x="rr" y="b"/>
              </a:lnTo>
              <a:arcTo wR="rr" hR="rr" stAng="5400000" swAng="10800000"/>
              <a:close/>
            </a:path>
          </a:pathLst>
        </a:custGeom>
        <a:solidFill>
          <a:srgbClr val="FFFFFF"/>
        </a:solidFill>
        <a:ln w="12700" cap="flat">
          <a:solidFill>
            <a:srgbClr val="404040"/>
          </a:solidFill>
          <a:round/>
        </a:ln>
      </xdr:spPr>
      <xdr:txBody>
        <a:bodyPr vertOverflow="overflow" horzOverflow="overflow" wrap="square" lIns="101600" tIns="12700" rIns="101600" bIns="12700" rtlCol="0" anchor="ctr">
          <a:noAutofit/>
        </a:bodyPr>
        <a:lstStyle/>
        <a:p>
          <a:pPr algn="ctr">
            <a:lnSpc>
              <a:spcPct val="95000"/>
            </a:lnSpc>
          </a:pPr>
          <a:r>
            <a:rPr lang="ja-JP" altLang="en-US" sz="950" b="1" dirty="0">
              <a:solidFill>
                <a:srgbClr val="262626"/>
              </a:solidFill>
              <a:latin typeface="Meiryo UI"/>
              <a:ea typeface="Meiryo UI"/>
              <a:cs typeface="Meiryo UI"/>
            </a:rPr>
            <a:t>API・キュー</a:t>
          </a:r>
          <a:endParaRPr lang="ja-JP" altLang="en-US" sz="950" dirty="0">
            <a:latin typeface="Meiryo UI"/>
            <a:ea typeface="Meiryo UI"/>
          </a:endParaRPr>
        </a:p>
      </xdr:txBody>
    </xdr:sp>
    <xdr:clientData/>
  </xdr:twoCellAnchor>
  <xdr:twoCellAnchor editAs="oneCell">
    <xdr:from>
      <xdr:col>78</xdr:col>
      <xdr:colOff>0</xdr:colOff>
      <xdr:row>27</xdr:row>
      <xdr:rowOff>0</xdr:rowOff>
    </xdr:from>
    <xdr:to>
      <xdr:col>86</xdr:col>
      <xdr:colOff>0</xdr:colOff>
      <xdr:row>27</xdr:row>
      <xdr:rowOff>0</xdr:rowOff>
    </xdr:to>
    <xdr:cxnSp macro="">
      <xdr:nvCxnSpPr>
        <xdr:cNvPr id="48" name="線: オンライン連携・直線（共通）">
          <a:extLst>
            <a:ext uri="{FF2B5EF4-FFF2-40B4-BE49-F238E27FC236}">
              <a16:creationId xmlns:a16="http://schemas.microsoft.com/office/drawing/2014/main" id="{00000000-0008-0000-0200-000030000000}"/>
            </a:ext>
          </a:extLst>
        </xdr:cNvPr>
        <xdr:cNvCxnSpPr/>
      </xdr:nvCxnSpPr>
      <xdr:spPr>
        <a:xfrm>
          <a:off x="14859000" y="5143500"/>
          <a:ext cx="1524000" cy="0"/>
        </a:xfrm>
        <a:prstGeom prst="straightConnector1">
          <a:avLst/>
        </a:prstGeom>
        <a:ln w="19050" cap="flat">
          <a:solidFill>
            <a:srgbClr val="404040"/>
          </a:solidFill>
          <a:round/>
          <a:tailEnd type="triangle" w="med" len="med"/>
        </a:ln>
      </xdr:spPr>
    </xdr:cxnSp>
    <xdr:clientData/>
  </xdr:twoCellAnchor>
  <xdr:twoCellAnchor editAs="oneCell">
    <xdr:from>
      <xdr:col>78</xdr:col>
      <xdr:colOff>0</xdr:colOff>
      <xdr:row>28</xdr:row>
      <xdr:rowOff>0</xdr:rowOff>
    </xdr:from>
    <xdr:to>
      <xdr:col>86</xdr:col>
      <xdr:colOff>0</xdr:colOff>
      <xdr:row>28</xdr:row>
      <xdr:rowOff>0</xdr:rowOff>
    </xdr:to>
    <xdr:cxnSp macro="">
      <xdr:nvCxnSpPr>
        <xdr:cNvPr id="49" name="線: バッチ・ファイル・直線（共通）">
          <a:extLst>
            <a:ext uri="{FF2B5EF4-FFF2-40B4-BE49-F238E27FC236}">
              <a16:creationId xmlns:a16="http://schemas.microsoft.com/office/drawing/2014/main" id="{00000000-0008-0000-0200-000031000000}"/>
            </a:ext>
          </a:extLst>
        </xdr:cNvPr>
        <xdr:cNvCxnSpPr/>
      </xdr:nvCxnSpPr>
      <xdr:spPr>
        <a:xfrm>
          <a:off x="14859000" y="5334000"/>
          <a:ext cx="1524000" cy="0"/>
        </a:xfrm>
        <a:prstGeom prst="straightConnector1">
          <a:avLst/>
        </a:prstGeom>
        <a:ln w="19050" cap="flat">
          <a:solidFill>
            <a:srgbClr val="404040"/>
          </a:solidFill>
          <a:prstDash val="dash"/>
          <a:round/>
          <a:tailEnd type="triangle" w="med" len="med"/>
        </a:ln>
      </xdr:spPr>
    </xdr:cxnSp>
    <xdr:clientData/>
  </xdr:twoCellAnchor>
  <xdr:twoCellAnchor editAs="oneCell">
    <xdr:from>
      <xdr:col>78</xdr:col>
      <xdr:colOff>0</xdr:colOff>
      <xdr:row>29</xdr:row>
      <xdr:rowOff>0</xdr:rowOff>
    </xdr:from>
    <xdr:to>
      <xdr:col>86</xdr:col>
      <xdr:colOff>0</xdr:colOff>
      <xdr:row>29</xdr:row>
      <xdr:rowOff>0</xdr:rowOff>
    </xdr:to>
    <xdr:cxnSp macro="">
      <xdr:nvCxnSpPr>
        <xdr:cNvPr id="50" name="線: 監視・運用・直線（共通）">
          <a:extLst>
            <a:ext uri="{FF2B5EF4-FFF2-40B4-BE49-F238E27FC236}">
              <a16:creationId xmlns:a16="http://schemas.microsoft.com/office/drawing/2014/main" id="{00000000-0008-0000-0200-000032000000}"/>
            </a:ext>
          </a:extLst>
        </xdr:cNvPr>
        <xdr:cNvCxnSpPr/>
      </xdr:nvCxnSpPr>
      <xdr:spPr>
        <a:xfrm>
          <a:off x="14859000" y="5524500"/>
          <a:ext cx="1524000" cy="0"/>
        </a:xfrm>
        <a:prstGeom prst="straightConnector1">
          <a:avLst/>
        </a:prstGeom>
        <a:ln w="12700" cap="flat">
          <a:solidFill>
            <a:srgbClr val="404040"/>
          </a:solidFill>
          <a:prstDash val="sysDot"/>
          <a:round/>
          <a:tailEnd type="triangle" w="med" len="med"/>
        </a:ln>
      </xdr:spPr>
    </xdr:cxnSp>
    <xdr:clientData/>
  </xdr:twoCellAnchor>
  <xdr:twoCellAnchor editAs="oneCell">
    <xdr:from>
      <xdr:col>78</xdr:col>
      <xdr:colOff>0</xdr:colOff>
      <xdr:row>30</xdr:row>
      <xdr:rowOff>0</xdr:rowOff>
    </xdr:from>
    <xdr:to>
      <xdr:col>86</xdr:col>
      <xdr:colOff>0</xdr:colOff>
      <xdr:row>32</xdr:row>
      <xdr:rowOff>0</xdr:rowOff>
    </xdr:to>
    <xdr:cxnSp macro="">
      <xdr:nvCxnSpPr>
        <xdr:cNvPr id="51" name="線: オンライン連携・カギ線（共通）">
          <a:extLst>
            <a:ext uri="{FF2B5EF4-FFF2-40B4-BE49-F238E27FC236}">
              <a16:creationId xmlns:a16="http://schemas.microsoft.com/office/drawing/2014/main" id="{00000000-0008-0000-0200-000033000000}"/>
            </a:ext>
          </a:extLst>
        </xdr:cNvPr>
        <xdr:cNvCxnSpPr/>
      </xdr:nvCxnSpPr>
      <xdr:spPr>
        <a:xfrm>
          <a:off x="14859000" y="5715000"/>
          <a:ext cx="1524000" cy="381000"/>
        </a:xfrm>
        <a:prstGeom prst="bentConnector3">
          <a:avLst/>
        </a:prstGeom>
        <a:ln w="19050" cap="flat">
          <a:solidFill>
            <a:srgbClr val="404040"/>
          </a:solidFill>
          <a:round/>
          <a:tailEnd type="triangle" w="med" len="med"/>
        </a:ln>
      </xdr:spPr>
    </xdr:cxnSp>
    <xdr:clientData/>
  </xdr:twoCellAnchor>
  <xdr:twoCellAnchor editAs="oneCell">
    <xdr:from>
      <xdr:col>78</xdr:col>
      <xdr:colOff>0</xdr:colOff>
      <xdr:row>34</xdr:row>
      <xdr:rowOff>0</xdr:rowOff>
    </xdr:from>
    <xdr:to>
      <xdr:col>86</xdr:col>
      <xdr:colOff>0</xdr:colOff>
      <xdr:row>38</xdr:row>
      <xdr:rowOff>0</xdr:rowOff>
    </xdr:to>
    <xdr:grpSp>
      <xdr:nvGrpSpPr>
        <xdr:cNvPr id="54" name="コメント: ポイント（共通）">
          <a:extLst>
            <a:ext uri="{FF2B5EF4-FFF2-40B4-BE49-F238E27FC236}">
              <a16:creationId xmlns:a16="http://schemas.microsoft.com/office/drawing/2014/main" id="{00000000-0008-0000-0200-000036000000}"/>
            </a:ext>
          </a:extLst>
        </xdr:cNvPr>
        <xdr:cNvGrpSpPr/>
      </xdr:nvGrpSpPr>
      <xdr:grpSpPr>
        <a:xfrm>
          <a:off x="14859000" y="6477000"/>
          <a:ext cx="1524000" cy="762000"/>
          <a:chOff x="14859000" y="6477000"/>
          <a:chExt cx="1524000" cy="762000"/>
        </a:xfrm>
      </xdr:grpSpPr>
      <xdr:sp macro="" textlink="">
        <xdr:nvSpPr>
          <xdr:cNvPr id="52" name="本文">
            <a:extLst>
              <a:ext uri="{FF2B5EF4-FFF2-40B4-BE49-F238E27FC236}">
                <a16:creationId xmlns:a16="http://schemas.microsoft.com/office/drawing/2014/main" id="{00000000-0008-0000-0200-000034000000}"/>
              </a:ext>
            </a:extLst>
          </xdr:cNvPr>
          <xdr:cNvSpPr/>
        </xdr:nvSpPr>
        <xdr:spPr>
          <a:xfrm>
            <a:off x="14859000" y="6477000"/>
            <a:ext cx="1524000" cy="762000"/>
          </a:xfrm>
          <a:custGeom>
            <a:avLst/>
            <a:gdLst>
              <a:gd name="x1" fmla="*/ w 1 4"/>
              <a:gd name="x2" fmla="*/ w 1 2"/>
              <a:gd name="x3" fmla="*/ w 3 4"/>
              <a:gd name="y1" fmla="*/ h 1 4"/>
              <a:gd name="y2" fmla="*/ h 1 2"/>
              <a:gd name="y3" fmla="*/ h 3 4"/>
              <a:gd name="smin" fmla="min w h"/>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r" y="t"/>
                </a:lnTo>
                <a:lnTo>
                  <a:pt x="r" y="b"/>
                </a:lnTo>
                <a:lnTo>
                  <a:pt x="l" y="b"/>
                </a:lnTo>
                <a:close/>
              </a:path>
            </a:pathLst>
          </a:custGeom>
          <a:solidFill>
            <a:srgbClr val="F7F7F7"/>
          </a:solidFill>
          <a:ln w="9525" cap="flat">
            <a:solidFill>
              <a:srgbClr val="D9D9D9"/>
            </a:solidFill>
            <a:round/>
          </a:ln>
        </xdr:spPr>
        <xdr:txBody>
          <a:bodyPr vertOverflow="overflow" horzOverflow="overflow" wrap="square" lIns="76200" tIns="228600" rIns="76200" bIns="38100" rtlCol="0" anchor="t">
            <a:noAutofit/>
          </a:bodyPr>
          <a:lstStyle/>
          <a:p>
            <a:pPr algn="l">
              <a:lnSpc>
                <a:spcPct val="100000"/>
              </a:lnSpc>
            </a:pPr>
            <a:r>
              <a:rPr lang="ja-JP" altLang="en-US" sz="800" b="0" dirty="0">
                <a:solidFill>
                  <a:srgbClr val="404040"/>
                </a:solidFill>
                <a:latin typeface="Meiryo UI"/>
                <a:ea typeface="Meiryo UI"/>
                <a:cs typeface="Meiryo UI"/>
              </a:rPr>
              <a:t>ポイントを記入</a:t>
            </a:r>
            <a:endParaRPr lang="ja-JP" altLang="en-US" sz="800" dirty="0">
              <a:latin typeface="Meiryo UI"/>
              <a:ea typeface="Meiryo UI"/>
            </a:endParaRPr>
          </a:p>
        </xdr:txBody>
      </xdr:sp>
      <xdr:sp macro="" textlink="">
        <xdr:nvSpPr>
          <xdr:cNvPr id="53" name="見出し">
            <a:extLst>
              <a:ext uri="{FF2B5EF4-FFF2-40B4-BE49-F238E27FC236}">
                <a16:creationId xmlns:a16="http://schemas.microsoft.com/office/drawing/2014/main" id="{00000000-0008-0000-0200-000035000000}"/>
              </a:ext>
            </a:extLst>
          </xdr:cNvPr>
          <xdr:cNvSpPr/>
        </xdr:nvSpPr>
        <xdr:spPr>
          <a:xfrm>
            <a:off x="14859000" y="6477000"/>
            <a:ext cx="1524000" cy="190500"/>
          </a:xfrm>
          <a:custGeom>
            <a:avLst/>
            <a:gdLst>
              <a:gd name="x1" fmla="*/ w 1 4"/>
              <a:gd name="x2" fmla="*/ w 1 2"/>
              <a:gd name="x3" fmla="*/ w 3 4"/>
              <a:gd name="y1" fmla="*/ h 1 4"/>
              <a:gd name="y2" fmla="*/ h 1 2"/>
              <a:gd name="y3" fmla="*/ h 3 4"/>
              <a:gd name="smin" fmla="min w h"/>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r" y="t"/>
                </a:lnTo>
                <a:lnTo>
                  <a:pt x="r" y="b"/>
                </a:lnTo>
                <a:lnTo>
                  <a:pt x="l" y="b"/>
                </a:lnTo>
                <a:close/>
              </a:path>
            </a:pathLst>
          </a:custGeom>
          <a:solidFill>
            <a:srgbClr val="404040"/>
          </a:solidFill>
          <a:ln w="9525" cap="flat">
            <a:solidFill>
              <a:srgbClr val="404040"/>
            </a:solidFill>
            <a:round/>
          </a:ln>
        </xdr:spPr>
        <xdr:txBody>
          <a:bodyPr vertOverflow="overflow" horzOverflow="overflow" wrap="none" lIns="76200" tIns="0" rIns="76200" bIns="0" rtlCol="0" anchor="ctr">
            <a:noAutofit/>
          </a:bodyPr>
          <a:lstStyle/>
          <a:p>
            <a:pPr algn="l"/>
            <a:r>
              <a:rPr lang="ja-JP" altLang="en-US" sz="750" b="1" dirty="0">
                <a:solidFill>
                  <a:srgbClr val="FFFFFF"/>
                </a:solidFill>
                <a:latin typeface="Meiryo UI"/>
                <a:ea typeface="Meiryo UI"/>
                <a:cs typeface="Meiryo UI"/>
              </a:rPr>
              <a:t>POINT</a:t>
            </a:r>
            <a:endParaRPr lang="ja-JP" altLang="en-US" sz="800" dirty="0">
              <a:latin typeface="Meiryo UI"/>
              <a:ea typeface="Meiryo UI"/>
            </a:endParaRPr>
          </a:p>
        </xdr:txBody>
      </xdr:sp>
    </xdr:grpSp>
    <xdr:clientData/>
  </xdr:twoCellAnchor>
  <xdr:twoCellAnchor editAs="oneCell">
    <xdr:from>
      <xdr:col>78</xdr:col>
      <xdr:colOff>0</xdr:colOff>
      <xdr:row>39</xdr:row>
      <xdr:rowOff>0</xdr:rowOff>
    </xdr:from>
    <xdr:to>
      <xdr:col>86</xdr:col>
      <xdr:colOff>0</xdr:colOff>
      <xdr:row>42</xdr:row>
      <xdr:rowOff>0</xdr:rowOff>
    </xdr:to>
    <xdr:grpSp>
      <xdr:nvGrpSpPr>
        <xdr:cNvPr id="57" name="コメント: 付記（共通）">
          <a:extLst>
            <a:ext uri="{FF2B5EF4-FFF2-40B4-BE49-F238E27FC236}">
              <a16:creationId xmlns:a16="http://schemas.microsoft.com/office/drawing/2014/main" id="{00000000-0008-0000-0200-000039000000}"/>
            </a:ext>
          </a:extLst>
        </xdr:cNvPr>
        <xdr:cNvGrpSpPr/>
      </xdr:nvGrpSpPr>
      <xdr:grpSpPr>
        <a:xfrm>
          <a:off x="14859000" y="7429500"/>
          <a:ext cx="1524000" cy="571500"/>
          <a:chOff x="14859000" y="7429500"/>
          <a:chExt cx="1524000" cy="571500"/>
        </a:xfrm>
      </xdr:grpSpPr>
      <xdr:sp macro="" textlink="">
        <xdr:nvSpPr>
          <xdr:cNvPr id="55" name="本文">
            <a:extLst>
              <a:ext uri="{FF2B5EF4-FFF2-40B4-BE49-F238E27FC236}">
                <a16:creationId xmlns:a16="http://schemas.microsoft.com/office/drawing/2014/main" id="{00000000-0008-0000-0200-000037000000}"/>
              </a:ext>
            </a:extLst>
          </xdr:cNvPr>
          <xdr:cNvSpPr/>
        </xdr:nvSpPr>
        <xdr:spPr>
          <a:xfrm>
            <a:off x="14859000" y="7429500"/>
            <a:ext cx="1524000" cy="571500"/>
          </a:xfrm>
          <a:custGeom>
            <a:avLst/>
            <a:gdLst>
              <a:gd name="x1" fmla="*/ w 1 4"/>
              <a:gd name="x2" fmla="*/ w 1 2"/>
              <a:gd name="x3" fmla="*/ w 3 4"/>
              <a:gd name="y1" fmla="*/ h 1 4"/>
              <a:gd name="y2" fmla="*/ h 1 2"/>
              <a:gd name="y3" fmla="*/ h 3 4"/>
              <a:gd name="smin" fmla="min w h"/>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r" y="t"/>
                </a:lnTo>
                <a:lnTo>
                  <a:pt x="r" y="b"/>
                </a:lnTo>
                <a:lnTo>
                  <a:pt x="l" y="b"/>
                </a:lnTo>
                <a:close/>
              </a:path>
            </a:pathLst>
          </a:custGeom>
          <a:solidFill>
            <a:srgbClr val="F7F7F7"/>
          </a:solidFill>
          <a:ln>
            <a:noFill/>
          </a:ln>
        </xdr:spPr>
        <xdr:txBody>
          <a:bodyPr vertOverflow="overflow" horzOverflow="overflow" wrap="square" lIns="114300" tIns="50800" rIns="76200" bIns="38100" rtlCol="0" anchor="t">
            <a:noAutofit/>
          </a:bodyPr>
          <a:lstStyle/>
          <a:p>
            <a:pPr algn="l"/>
            <a:r>
              <a:rPr lang="ja-JP" altLang="en-US" sz="800" b="1" dirty="0">
                <a:solidFill>
                  <a:srgbClr val="262626"/>
                </a:solidFill>
                <a:latin typeface="Meiryo UI"/>
                <a:ea typeface="Meiryo UI"/>
                <a:cs typeface="Meiryo UI"/>
              </a:rPr>
              <a:t>付記</a:t>
            </a:r>
            <a:endParaRPr lang="ja-JP" altLang="en-US" sz="800" dirty="0">
              <a:latin typeface="Meiryo UI"/>
              <a:ea typeface="Meiryo UI"/>
            </a:endParaRPr>
          </a:p>
          <a:p>
            <a:pPr algn="l">
              <a:spcBef>
                <a:spcPts val="100"/>
              </a:spcBef>
            </a:pPr>
            <a:r>
              <a:rPr lang="ja-JP" altLang="en-US" sz="800" b="0" dirty="0">
                <a:solidFill>
                  <a:srgbClr val="404040"/>
                </a:solidFill>
                <a:latin typeface="Meiryo UI"/>
                <a:ea typeface="Meiryo UI"/>
                <a:cs typeface="Meiryo UI"/>
              </a:rPr>
              <a:t>補足を記入</a:t>
            </a:r>
            <a:endParaRPr lang="ja-JP" altLang="en-US" sz="800" dirty="0">
              <a:latin typeface="Meiryo UI"/>
              <a:ea typeface="Meiryo UI"/>
            </a:endParaRPr>
          </a:p>
        </xdr:txBody>
      </xdr:sp>
      <xdr:sp macro="" textlink="">
        <xdr:nvSpPr>
          <xdr:cNvPr id="56" name="左ライン">
            <a:extLst>
              <a:ext uri="{FF2B5EF4-FFF2-40B4-BE49-F238E27FC236}">
                <a16:creationId xmlns:a16="http://schemas.microsoft.com/office/drawing/2014/main" id="{00000000-0008-0000-0200-000038000000}"/>
              </a:ext>
            </a:extLst>
          </xdr:cNvPr>
          <xdr:cNvSpPr/>
        </xdr:nvSpPr>
        <xdr:spPr>
          <a:xfrm>
            <a:off x="14859000" y="7429500"/>
            <a:ext cx="38100" cy="571500"/>
          </a:xfrm>
          <a:prstGeom prst="rect">
            <a:avLst/>
          </a:prstGeom>
          <a:solidFill>
            <a:srgbClr val="404040"/>
          </a:solidFill>
          <a:ln>
            <a:noFill/>
          </a:ln>
        </xdr:spPr>
        <xdr:txBody>
          <a:bodyPr vertOverflow="overflow" horzOverflow="overflow" wrap="square" lIns="38100" tIns="19050" rIns="38100" bIns="19050" rtlCol="0" anchor="ctr">
            <a:noAutofit/>
          </a:bodyPr>
          <a:lstStyle/>
          <a:p>
            <a:pPr algn="l"/>
            <a:endParaRPr lang="ja-JP" altLang="en-US" sz="600" dirty="0">
              <a:latin typeface="Meiryo UI"/>
              <a:ea typeface="Meiryo UI"/>
            </a:endParaRPr>
          </a:p>
        </xdr:txBody>
      </xdr:sp>
    </xdr:grpSp>
    <xdr:clientData/>
  </xdr:twoCellAnchor>
  <xdr:twoCellAnchor editAs="oneCell">
    <xdr:from>
      <xdr:col>78</xdr:col>
      <xdr:colOff>0</xdr:colOff>
      <xdr:row>43</xdr:row>
      <xdr:rowOff>0</xdr:rowOff>
    </xdr:from>
    <xdr:to>
      <xdr:col>86</xdr:col>
      <xdr:colOff>0</xdr:colOff>
      <xdr:row>45</xdr:row>
      <xdr:rowOff>0</xdr:rowOff>
    </xdr:to>
    <xdr:sp macro="" textlink="">
      <xdr:nvSpPr>
        <xdr:cNvPr id="58" name="コメント: 吹き出し（共通）">
          <a:extLst>
            <a:ext uri="{FF2B5EF4-FFF2-40B4-BE49-F238E27FC236}">
              <a16:creationId xmlns:a16="http://schemas.microsoft.com/office/drawing/2014/main" id="{00000000-0008-0000-0200-00003A000000}"/>
            </a:ext>
          </a:extLst>
        </xdr:cNvPr>
        <xdr:cNvSpPr/>
      </xdr:nvSpPr>
      <xdr:spPr>
        <a:xfrm>
          <a:off x="14859000" y="8191500"/>
          <a:ext cx="1524000" cy="381000"/>
        </a:xfrm>
        <a:prstGeom prst="wedgeRoundRectCallout">
          <a:avLst>
            <a:gd name="adj1" fmla="val -30000"/>
            <a:gd name="adj2" fmla="val 95000"/>
            <a:gd name="adj3" fmla="val 16667"/>
          </a:avLst>
        </a:prstGeom>
        <a:solidFill>
          <a:srgbClr val="FFFFFF"/>
        </a:solidFill>
        <a:ln w="12700" cap="flat">
          <a:solidFill>
            <a:srgbClr val="404040"/>
          </a:solidFill>
          <a:round/>
        </a:ln>
      </xdr:spPr>
      <xdr:txBody>
        <a:bodyPr vertOverflow="overflow" horzOverflow="overflow" wrap="square" lIns="63500" tIns="25400" rIns="63500" bIns="25400" rtlCol="0" anchor="ctr">
          <a:noAutofit/>
        </a:bodyPr>
        <a:lstStyle/>
        <a:p>
          <a:pPr algn="l"/>
          <a:r>
            <a:rPr lang="ja-JP" altLang="en-US" sz="800" b="0" dirty="0">
              <a:solidFill>
                <a:srgbClr val="404040"/>
              </a:solidFill>
              <a:latin typeface="Meiryo UI"/>
              <a:ea typeface="Meiryo UI"/>
              <a:cs typeface="Meiryo UI"/>
            </a:rPr>
            <a:t>指摘・補足</a:t>
          </a:r>
          <a:endParaRPr lang="ja-JP" altLang="en-US" sz="800" dirty="0">
            <a:latin typeface="Meiryo UI"/>
            <a:ea typeface="Meiryo UI"/>
          </a:endParaRPr>
        </a:p>
      </xdr:txBody>
    </xdr:sp>
    <xdr:clientData/>
  </xdr:twoCellAnchor>
  <xdr:twoCellAnchor editAs="oneCell">
    <xdr:from>
      <xdr:col>78</xdr:col>
      <xdr:colOff>0</xdr:colOff>
      <xdr:row>47</xdr:row>
      <xdr:rowOff>0</xdr:rowOff>
    </xdr:from>
    <xdr:to>
      <xdr:col>80</xdr:col>
      <xdr:colOff>0</xdr:colOff>
      <xdr:row>48</xdr:row>
      <xdr:rowOff>0</xdr:rowOff>
    </xdr:to>
    <xdr:sp macro="" textlink="">
      <xdr:nvSpPr>
        <xdr:cNvPr id="59" name="番号: 1（共通）">
          <a:extLst>
            <a:ext uri="{FF2B5EF4-FFF2-40B4-BE49-F238E27FC236}">
              <a16:creationId xmlns:a16="http://schemas.microsoft.com/office/drawing/2014/main" id="{00000000-0008-0000-0200-00003B000000}"/>
            </a:ext>
          </a:extLst>
        </xdr:cNvPr>
        <xdr:cNvSpPr/>
      </xdr:nvSpPr>
      <xdr:spPr>
        <a:xfrm>
          <a:off x="14859000" y="8953500"/>
          <a:ext cx="381000" cy="190500"/>
        </a:xfrm>
        <a:prstGeom prst="roundRect">
          <a:avLst>
            <a:gd name="adj" fmla="val 50000"/>
          </a:avLst>
        </a:prstGeom>
        <a:solidFill>
          <a:srgbClr val="404040"/>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1</a:t>
          </a:r>
          <a:endParaRPr lang="ja-JP" altLang="en-US" sz="750" dirty="0">
            <a:latin typeface="Meiryo UI"/>
            <a:ea typeface="Meiryo UI"/>
          </a:endParaRPr>
        </a:p>
      </xdr:txBody>
    </xdr:sp>
    <xdr:clientData/>
  </xdr:twoCellAnchor>
  <xdr:twoCellAnchor editAs="oneCell">
    <xdr:from>
      <xdr:col>81</xdr:col>
      <xdr:colOff>0</xdr:colOff>
      <xdr:row>47</xdr:row>
      <xdr:rowOff>0</xdr:rowOff>
    </xdr:from>
    <xdr:to>
      <xdr:col>83</xdr:col>
      <xdr:colOff>0</xdr:colOff>
      <xdr:row>48</xdr:row>
      <xdr:rowOff>0</xdr:rowOff>
    </xdr:to>
    <xdr:sp macro="" textlink="">
      <xdr:nvSpPr>
        <xdr:cNvPr id="60" name="番号: 2（共通）">
          <a:extLst>
            <a:ext uri="{FF2B5EF4-FFF2-40B4-BE49-F238E27FC236}">
              <a16:creationId xmlns:a16="http://schemas.microsoft.com/office/drawing/2014/main" id="{00000000-0008-0000-0200-00003C000000}"/>
            </a:ext>
          </a:extLst>
        </xdr:cNvPr>
        <xdr:cNvSpPr/>
      </xdr:nvSpPr>
      <xdr:spPr>
        <a:xfrm>
          <a:off x="15430500" y="8953500"/>
          <a:ext cx="381000" cy="190500"/>
        </a:xfrm>
        <a:prstGeom prst="roundRect">
          <a:avLst>
            <a:gd name="adj" fmla="val 50000"/>
          </a:avLst>
        </a:prstGeom>
        <a:solidFill>
          <a:srgbClr val="404040"/>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2</a:t>
          </a:r>
          <a:endParaRPr lang="ja-JP" altLang="en-US" sz="750" dirty="0">
            <a:latin typeface="Meiryo UI"/>
            <a:ea typeface="Meiryo UI"/>
          </a:endParaRPr>
        </a:p>
      </xdr:txBody>
    </xdr:sp>
    <xdr:clientData/>
  </xdr:twoCellAnchor>
  <xdr:twoCellAnchor editAs="oneCell">
    <xdr:from>
      <xdr:col>78</xdr:col>
      <xdr:colOff>0</xdr:colOff>
      <xdr:row>49</xdr:row>
      <xdr:rowOff>0</xdr:rowOff>
    </xdr:from>
    <xdr:to>
      <xdr:col>86</xdr:col>
      <xdr:colOff>0</xdr:colOff>
      <xdr:row>50</xdr:row>
      <xdr:rowOff>0</xdr:rowOff>
    </xdr:to>
    <xdr:sp macro="" textlink="">
      <xdr:nvSpPr>
        <xdr:cNvPr id="61" name="線ラベル（共通）">
          <a:extLst>
            <a:ext uri="{FF2B5EF4-FFF2-40B4-BE49-F238E27FC236}">
              <a16:creationId xmlns:a16="http://schemas.microsoft.com/office/drawing/2014/main" id="{00000000-0008-0000-0200-00003D000000}"/>
            </a:ext>
          </a:extLst>
        </xdr:cNvPr>
        <xdr:cNvSpPr/>
      </xdr:nvSpPr>
      <xdr:spPr>
        <a:xfrm>
          <a:off x="14859000" y="9334500"/>
          <a:ext cx="1524000" cy="190500"/>
        </a:xfrm>
        <a:prstGeom prst="roundRect">
          <a:avLst>
            <a:gd name="adj" fmla="val 50000"/>
          </a:avLst>
        </a:prstGeom>
        <a:solidFill>
          <a:srgbClr val="FFFFFF"/>
        </a:solidFill>
        <a:ln w="9525" cap="flat">
          <a:solidFill>
            <a:srgbClr val="404040"/>
          </a:solidFill>
          <a:round/>
        </a:ln>
      </xdr:spPr>
      <xdr:txBody>
        <a:bodyPr vertOverflow="overflow" horzOverflow="overflow" wrap="none" lIns="25400" tIns="0" rIns="25400" bIns="0" rtlCol="0" anchor="ctr">
          <a:noAutofit/>
        </a:bodyPr>
        <a:lstStyle/>
        <a:p>
          <a:pPr algn="ctr"/>
          <a:r>
            <a:rPr lang="ja-JP" altLang="en-US" sz="750" b="0" dirty="0">
              <a:solidFill>
                <a:srgbClr val="404040"/>
              </a:solidFill>
              <a:latin typeface="Meiryo UI"/>
              <a:ea typeface="Meiryo UI"/>
              <a:cs typeface="Meiryo UI"/>
            </a:rPr>
            <a:t>HTTPS（REST）</a:t>
          </a:r>
          <a:endParaRPr lang="ja-JP" altLang="en-US" sz="750" dirty="0">
            <a:latin typeface="Meiryo UI"/>
            <a:ea typeface="Meiryo UI"/>
          </a:endParaRPr>
        </a:p>
      </xdr:txBody>
    </xdr:sp>
    <xdr:clientData/>
  </xdr:twoCellAnchor>
  <xdr:twoCellAnchor editAs="oneCell">
    <xdr:from>
      <xdr:col>87</xdr:col>
      <xdr:colOff>0</xdr:colOff>
      <xdr:row>6</xdr:row>
      <xdr:rowOff>0</xdr:rowOff>
    </xdr:from>
    <xdr:to>
      <xdr:col>95</xdr:col>
      <xdr:colOff>0</xdr:colOff>
      <xdr:row>10</xdr:row>
      <xdr:rowOff>0</xdr:rowOff>
    </xdr:to>
    <xdr:sp macro="" textlink="">
      <xdr:nvSpPr>
        <xdr:cNvPr id="62" name="ノード: 角丸・標準（ルートA）">
          <a:extLst>
            <a:ext uri="{FF2B5EF4-FFF2-40B4-BE49-F238E27FC236}">
              <a16:creationId xmlns:a16="http://schemas.microsoft.com/office/drawing/2014/main" id="{00000000-0008-0000-0200-00003E000000}"/>
            </a:ext>
          </a:extLst>
        </xdr:cNvPr>
        <xdr:cNvSpPr/>
      </xdr:nvSpPr>
      <xdr:spPr>
        <a:xfrm>
          <a:off x="16573500" y="1143000"/>
          <a:ext cx="1524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E7F1FF"/>
        </a:solidFill>
        <a:ln w="15875" cap="flat">
          <a:solidFill>
            <a:srgbClr val="315C92"/>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262626"/>
              </a:solidFill>
              <a:latin typeface="Meiryo UI"/>
              <a:ea typeface="Meiryo UI"/>
              <a:cs typeface="Meiryo UI"/>
            </a:rPr>
            <a:t>ノード名</a:t>
          </a:r>
          <a:endParaRPr lang="ja-JP" altLang="en-US" sz="950" dirty="0">
            <a:latin typeface="Meiryo UI"/>
            <a:ea typeface="Meiryo UI"/>
          </a:endParaRPr>
        </a:p>
        <a:p>
          <a:pPr algn="ctr">
            <a:lnSpc>
              <a:spcPct val="95000"/>
            </a:lnSpc>
            <a:spcBef>
              <a:spcPts val="50"/>
            </a:spcBef>
          </a:pPr>
          <a:r>
            <a:rPr lang="ja-JP" altLang="en-US" sz="750" b="0" dirty="0">
              <a:solidFill>
                <a:srgbClr val="595959"/>
              </a:solidFill>
              <a:latin typeface="Meiryo UI"/>
              <a:ea typeface="Meiryo UI"/>
              <a:cs typeface="Meiryo UI"/>
            </a:rPr>
            <a:t>役割・概要</a:t>
          </a:r>
          <a:endParaRPr lang="ja-JP" altLang="en-US" sz="750" dirty="0">
            <a:latin typeface="Meiryo UI"/>
            <a:ea typeface="Meiryo UI"/>
          </a:endParaRPr>
        </a:p>
      </xdr:txBody>
    </xdr:sp>
    <xdr:clientData/>
  </xdr:twoCellAnchor>
  <xdr:twoCellAnchor editAs="oneCell">
    <xdr:from>
      <xdr:col>87</xdr:col>
      <xdr:colOff>0</xdr:colOff>
      <xdr:row>11</xdr:row>
      <xdr:rowOff>0</xdr:rowOff>
    </xdr:from>
    <xdr:to>
      <xdr:col>95</xdr:col>
      <xdr:colOff>0</xdr:colOff>
      <xdr:row>15</xdr:row>
      <xdr:rowOff>0</xdr:rowOff>
    </xdr:to>
    <xdr:sp macro="" textlink="">
      <xdr:nvSpPr>
        <xdr:cNvPr id="63" name="ノード: 角丸・強調（ルートA）">
          <a:extLst>
            <a:ext uri="{FF2B5EF4-FFF2-40B4-BE49-F238E27FC236}">
              <a16:creationId xmlns:a16="http://schemas.microsoft.com/office/drawing/2014/main" id="{00000000-0008-0000-0200-00003F000000}"/>
            </a:ext>
          </a:extLst>
        </xdr:cNvPr>
        <xdr:cNvSpPr/>
      </xdr:nvSpPr>
      <xdr:spPr>
        <a:xfrm>
          <a:off x="16573500" y="2095500"/>
          <a:ext cx="1524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315C92"/>
        </a:solidFill>
        <a:ln w="15875" cap="flat">
          <a:solidFill>
            <a:srgbClr val="315C92"/>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FFFFFF"/>
              </a:solidFill>
              <a:latin typeface="Meiryo UI"/>
              <a:ea typeface="Meiryo UI"/>
              <a:cs typeface="Meiryo UI"/>
            </a:rPr>
            <a:t>接続元</a:t>
          </a:r>
          <a:endParaRPr lang="ja-JP" altLang="en-US" sz="950" dirty="0">
            <a:latin typeface="Meiryo UI"/>
            <a:ea typeface="Meiryo UI"/>
          </a:endParaRPr>
        </a:p>
        <a:p>
          <a:pPr algn="ctr">
            <a:lnSpc>
              <a:spcPct val="95000"/>
            </a:lnSpc>
            <a:spcBef>
              <a:spcPts val="50"/>
            </a:spcBef>
          </a:pPr>
          <a:r>
            <a:rPr lang="ja-JP" altLang="en-US" sz="750" b="0" dirty="0">
              <a:solidFill>
                <a:srgbClr val="DBE9FC"/>
              </a:solidFill>
              <a:latin typeface="Meiryo UI"/>
              <a:ea typeface="Meiryo UI"/>
              <a:cs typeface="Meiryo UI"/>
            </a:rPr>
            <a:t>強調ノード</a:t>
          </a:r>
          <a:endParaRPr lang="ja-JP" altLang="en-US" sz="750" dirty="0">
            <a:latin typeface="Meiryo UI"/>
            <a:ea typeface="Meiryo UI"/>
          </a:endParaRPr>
        </a:p>
      </xdr:txBody>
    </xdr:sp>
    <xdr:clientData/>
  </xdr:twoCellAnchor>
  <xdr:twoCellAnchor editAs="oneCell">
    <xdr:from>
      <xdr:col>87</xdr:col>
      <xdr:colOff>0</xdr:colOff>
      <xdr:row>16</xdr:row>
      <xdr:rowOff>0</xdr:rowOff>
    </xdr:from>
    <xdr:to>
      <xdr:col>91</xdr:col>
      <xdr:colOff>0</xdr:colOff>
      <xdr:row>20</xdr:row>
      <xdr:rowOff>0</xdr:rowOff>
    </xdr:to>
    <xdr:sp macro="" textlink="">
      <xdr:nvSpPr>
        <xdr:cNvPr id="64" name="ノード: 円柱・標準（ルートA）">
          <a:extLst>
            <a:ext uri="{FF2B5EF4-FFF2-40B4-BE49-F238E27FC236}">
              <a16:creationId xmlns:a16="http://schemas.microsoft.com/office/drawing/2014/main" id="{00000000-0008-0000-0200-000040000000}"/>
            </a:ext>
          </a:extLst>
        </xdr:cNvPr>
        <xdr:cNvSpPr/>
      </xdr:nvSpPr>
      <xdr:spPr>
        <a:xfrm>
          <a:off x="16573500" y="3048000"/>
          <a:ext cx="762000" cy="762000"/>
        </a:xfrm>
        <a:custGeom>
          <a:avLst/>
          <a:gdLst>
            <a:gd name="x1" fmla="*/ w 1 4"/>
            <a:gd name="x2" fmla="*/ w 1 2"/>
            <a:gd name="x3" fmla="*/ w 3 4"/>
            <a:gd name="y1" fmla="*/ h 1 4"/>
            <a:gd name="y2" fmla="*/ h 1 2"/>
            <a:gd name="y3" fmla="*/ h 3 4"/>
            <a:gd name="smin" fmla="min w h"/>
            <a:gd name="ry" fmla="*/ smin 1 8"/>
            <a:gd name="wr" fmla="*/ w 1 2"/>
            <a:gd name="ty" fmla="*/ ry 13397 100000"/>
            <a:gd name="by" fmla="+- b 0 ty"/>
            <a:gd name="y4" fmla="+- b 0 ry"/>
            <a:gd name="ry2" fmla="*/ ry 2 1"/>
          </a:gdLst>
          <a:ahLst/>
          <a:cxnLst>
            <a:cxn ang="16200000">
              <a:pos x="x2" y="t"/>
            </a:cxn>
            <a:cxn ang="16200000">
              <a:pos x="x3" y="ty"/>
            </a:cxn>
            <a:cxn ang="0">
              <a:pos x="r" y="y1"/>
            </a:cxn>
            <a:cxn ang="0">
              <a:pos x="r" y="y2"/>
            </a:cxn>
            <a:cxn ang="0">
              <a:pos x="r" y="y3"/>
            </a:cxn>
            <a:cxn ang="5400000">
              <a:pos x="x3" y="by"/>
            </a:cxn>
            <a:cxn ang="5400000">
              <a:pos x="x2" y="b"/>
            </a:cxn>
            <a:cxn ang="5400000">
              <a:pos x="x1" y="by"/>
            </a:cxn>
            <a:cxn ang="10800000">
              <a:pos x="l" y="y3"/>
            </a:cxn>
            <a:cxn ang="10800000">
              <a:pos x="l" y="y2"/>
            </a:cxn>
            <a:cxn ang="10800000">
              <a:pos x="l" y="y1"/>
            </a:cxn>
            <a:cxn ang="16200000">
              <a:pos x="x1" y="ty"/>
            </a:cxn>
          </a:cxnLst>
          <a:rect l="l" t="t" r="r" b="b"/>
          <a:pathLst>
            <a:path stroke="0" extrusionOk="0">
              <a:moveTo>
                <a:pt x="l" y="ry"/>
              </a:moveTo>
              <a:arcTo wR="wr" hR="ry" stAng="10800000" swAng="-10800000"/>
              <a:lnTo>
                <a:pt x="r" y="y4"/>
              </a:lnTo>
              <a:arcTo wR="wr" hR="ry" stAng="0" swAng="10800000"/>
              <a:close/>
            </a:path>
            <a:path fill="lighten" stroke="0" extrusionOk="0">
              <a:moveTo>
                <a:pt x="l" y="ry"/>
              </a:moveTo>
              <a:arcTo wR="wr" hR="ry" stAng="10800000" swAng="10800000"/>
              <a:arcTo wR="wr" hR="ry" stAng="0" swAng="10800000"/>
              <a:close/>
            </a:path>
            <a:path fill="none" extrusionOk="0">
              <a:moveTo>
                <a:pt x="r" y="ry"/>
              </a:moveTo>
              <a:arcTo wR="wr" hR="ry" stAng="0" swAng="10800000"/>
              <a:arcTo wR="wr" hR="ry" stAng="10800000" swAng="10800000"/>
              <a:lnTo>
                <a:pt x="r" y="y4"/>
              </a:lnTo>
              <a:arcTo wR="wr" hR="ry" stAng="0" swAng="10800000"/>
              <a:lnTo>
                <a:pt x="l" y="ry"/>
              </a:lnTo>
            </a:path>
          </a:pathLst>
        </a:custGeom>
        <a:solidFill>
          <a:srgbClr val="E7F1FF"/>
        </a:solidFill>
        <a:ln w="15875" cap="flat">
          <a:solidFill>
            <a:srgbClr val="315C92"/>
          </a:solidFill>
          <a:round/>
        </a:ln>
      </xdr:spPr>
      <xdr:txBody>
        <a:bodyPr vertOverflow="overflow" horzOverflow="overflow" wrap="square" lIns="25400" tIns="76200" rIns="25400" bIns="25400" rtlCol="0" anchor="ctr">
          <a:noAutofit/>
        </a:bodyPr>
        <a:lstStyle/>
        <a:p>
          <a:pPr algn="ctr">
            <a:lnSpc>
              <a:spcPct val="95000"/>
            </a:lnSpc>
          </a:pPr>
          <a:r>
            <a:rPr lang="ja-JP" altLang="en-US" sz="850" b="1" dirty="0">
              <a:solidFill>
                <a:srgbClr val="262626"/>
              </a:solidFill>
              <a:latin typeface="Meiryo UI"/>
              <a:ea typeface="Meiryo UI"/>
              <a:cs typeface="Meiryo UI"/>
            </a:rPr>
            <a:t>DB</a:t>
          </a:r>
          <a:endParaRPr lang="ja-JP" altLang="en-US" sz="850" dirty="0">
            <a:latin typeface="Meiryo UI"/>
            <a:ea typeface="Meiryo UI"/>
          </a:endParaRPr>
        </a:p>
        <a:p>
          <a:pPr algn="ctr">
            <a:lnSpc>
              <a:spcPct val="95000"/>
            </a:lnSpc>
            <a:spcBef>
              <a:spcPts val="50"/>
            </a:spcBef>
          </a:pPr>
          <a:r>
            <a:rPr lang="ja-JP" altLang="en-US" sz="700" b="0" dirty="0">
              <a:solidFill>
                <a:srgbClr val="595959"/>
              </a:solidFill>
              <a:latin typeface="Meiryo UI"/>
              <a:ea typeface="Meiryo UI"/>
              <a:cs typeface="Meiryo UI"/>
            </a:rPr>
            <a:t>ストレージ</a:t>
          </a:r>
          <a:endParaRPr lang="ja-JP" altLang="en-US" sz="700" dirty="0">
            <a:latin typeface="Meiryo UI"/>
            <a:ea typeface="Meiryo UI"/>
          </a:endParaRPr>
        </a:p>
      </xdr:txBody>
    </xdr:sp>
    <xdr:clientData/>
  </xdr:twoCellAnchor>
  <xdr:twoCellAnchor editAs="oneCell">
    <xdr:from>
      <xdr:col>91</xdr:col>
      <xdr:colOff>0</xdr:colOff>
      <xdr:row>16</xdr:row>
      <xdr:rowOff>0</xdr:rowOff>
    </xdr:from>
    <xdr:to>
      <xdr:col>95</xdr:col>
      <xdr:colOff>0</xdr:colOff>
      <xdr:row>20</xdr:row>
      <xdr:rowOff>0</xdr:rowOff>
    </xdr:to>
    <xdr:sp macro="" textlink="">
      <xdr:nvSpPr>
        <xdr:cNvPr id="65" name="ノード: 円・標準（ルートA）">
          <a:extLst>
            <a:ext uri="{FF2B5EF4-FFF2-40B4-BE49-F238E27FC236}">
              <a16:creationId xmlns:a16="http://schemas.microsoft.com/office/drawing/2014/main" id="{00000000-0008-0000-0200-000041000000}"/>
            </a:ext>
          </a:extLst>
        </xdr:cNvPr>
        <xdr:cNvSpPr/>
      </xdr:nvSpPr>
      <xdr:spPr>
        <a:xfrm>
          <a:off x="17335500" y="3048000"/>
          <a:ext cx="762000" cy="762000"/>
        </a:xfrm>
        <a:custGeom>
          <a:avLst/>
          <a:gdLst>
            <a:gd name="wr" fmla="*/ w 1 2"/>
            <a:gd name="hr" fmla="*/ h 1 2"/>
            <a:gd name="dx0" fmla="sin wr 0"/>
            <a:gd name="dy0" fmla="cos hr 0"/>
            <a:gd name="px0" fmla="+- hc dx0 0"/>
            <a:gd name="py0" fmla="+- vc 0 dy0"/>
            <a:gd name="dx1" fmla="sin wr 1800000"/>
            <a:gd name="dy1" fmla="cos hr 1800000"/>
            <a:gd name="px1" fmla="+- hc dx1 0"/>
            <a:gd name="py1" fmla="+- vc 0 dy1"/>
            <a:gd name="dx2" fmla="sin wr 3600000"/>
            <a:gd name="dy2" fmla="cos hr 3600000"/>
            <a:gd name="px2" fmla="+- hc dx2 0"/>
            <a:gd name="py2" fmla="+- vc 0 dy2"/>
            <a:gd name="dx3" fmla="sin wr 5400000"/>
            <a:gd name="dy3" fmla="cos hr 5400000"/>
            <a:gd name="px3" fmla="+- hc dx3 0"/>
            <a:gd name="py3" fmla="+- vc 0 dy3"/>
            <a:gd name="dx4" fmla="sin wr 7200000"/>
            <a:gd name="dy4" fmla="cos hr 7200000"/>
            <a:gd name="px4" fmla="+- hc dx4 0"/>
            <a:gd name="py4" fmla="+- vc 0 dy4"/>
            <a:gd name="dx5" fmla="sin wr 9000000"/>
            <a:gd name="dy5" fmla="cos hr 9000000"/>
            <a:gd name="px5" fmla="+- hc dx5 0"/>
            <a:gd name="py5" fmla="+- vc 0 dy5"/>
            <a:gd name="dx6" fmla="sin wr 10800000"/>
            <a:gd name="dy6" fmla="cos hr 10800000"/>
            <a:gd name="px6" fmla="+- hc dx6 0"/>
            <a:gd name="py6" fmla="+- vc 0 dy6"/>
            <a:gd name="dx7" fmla="sin wr 12600000"/>
            <a:gd name="dy7" fmla="cos hr 12600000"/>
            <a:gd name="px7" fmla="+- hc dx7 0"/>
            <a:gd name="py7" fmla="+- vc 0 dy7"/>
            <a:gd name="dx8" fmla="sin wr 14400000"/>
            <a:gd name="dy8" fmla="cos hr 14400000"/>
            <a:gd name="px8" fmla="+- hc dx8 0"/>
            <a:gd name="py8" fmla="+- vc 0 dy8"/>
            <a:gd name="dx9" fmla="sin wr 16200000"/>
            <a:gd name="dy9" fmla="cos hr 16200000"/>
            <a:gd name="px9" fmla="+- hc dx9 0"/>
            <a:gd name="py9" fmla="+- vc 0 dy9"/>
            <a:gd name="dx10" fmla="sin wr 18000000"/>
            <a:gd name="dy10" fmla="cos hr 18000000"/>
            <a:gd name="px10" fmla="+- hc dx10 0"/>
            <a:gd name="py10" fmla="+- vc 0 dy10"/>
            <a:gd name="dx11" fmla="sin wr 19800000"/>
            <a:gd name="dy11" fmla="cos hr 19800000"/>
            <a:gd name="px11" fmla="+- hc dx11 0"/>
            <a:gd name="py11" fmla="+- vc 0 dy11"/>
          </a:gdLst>
          <a:ahLst/>
          <a:cxnLst>
            <a:cxn ang="16200000">
              <a:pos x="px0" y="py0"/>
            </a:cxn>
            <a:cxn ang="16200000">
              <a:pos x="px1" y="py1"/>
            </a:cxn>
            <a:cxn ang="0">
              <a:pos x="px2" y="py2"/>
            </a:cxn>
            <a:cxn ang="0">
              <a:pos x="px3" y="py3"/>
            </a:cxn>
            <a:cxn ang="0">
              <a:pos x="px4" y="py4"/>
            </a:cxn>
            <a:cxn ang="5400000">
              <a:pos x="px5" y="py5"/>
            </a:cxn>
            <a:cxn ang="5400000">
              <a:pos x="px6" y="py6"/>
            </a:cxn>
            <a:cxn ang="5400000">
              <a:pos x="px7" y="py7"/>
            </a:cxn>
            <a:cxn ang="10800000">
              <a:pos x="px8" y="py8"/>
            </a:cxn>
            <a:cxn ang="10800000">
              <a:pos x="px9" y="py9"/>
            </a:cxn>
            <a:cxn ang="10800000">
              <a:pos x="px10" y="py10"/>
            </a:cxn>
            <a:cxn ang="16200000">
              <a:pos x="px11" y="py11"/>
            </a:cxn>
          </a:cxnLst>
          <a:rect l="l" t="t" r="r" b="b"/>
          <a:pathLst>
            <a:path>
              <a:moveTo>
                <a:pt x="l" y="vc"/>
              </a:moveTo>
              <a:arcTo wR="wr" hR="hr" stAng="10800000" swAng="21600000"/>
              <a:close/>
            </a:path>
          </a:pathLst>
        </a:custGeom>
        <a:solidFill>
          <a:srgbClr val="E7F1FF"/>
        </a:solidFill>
        <a:ln w="15875" cap="flat">
          <a:solidFill>
            <a:srgbClr val="315C92"/>
          </a:solidFill>
          <a:round/>
        </a:ln>
      </xdr:spPr>
      <xdr:txBody>
        <a:bodyPr vertOverflow="overflow" horzOverflow="overflow" wrap="square" lIns="38100" tIns="19050" rIns="38100" bIns="19050" rtlCol="0" anchor="ctr">
          <a:noAutofit/>
        </a:bodyPr>
        <a:lstStyle/>
        <a:p>
          <a:pPr algn="ctr">
            <a:lnSpc>
              <a:spcPct val="95000"/>
            </a:lnSpc>
          </a:pPr>
          <a:r>
            <a:rPr lang="ja-JP" altLang="en-US" sz="850" b="1" dirty="0">
              <a:solidFill>
                <a:srgbClr val="262626"/>
              </a:solidFill>
              <a:latin typeface="Meiryo UI"/>
              <a:ea typeface="Meiryo UI"/>
              <a:cs typeface="Meiryo UI"/>
            </a:rPr>
            <a:t>利用者</a:t>
          </a:r>
          <a:endParaRPr lang="ja-JP" altLang="en-US" sz="850" dirty="0">
            <a:latin typeface="Meiryo UI"/>
            <a:ea typeface="Meiryo UI"/>
          </a:endParaRPr>
        </a:p>
      </xdr:txBody>
    </xdr:sp>
    <xdr:clientData/>
  </xdr:twoCellAnchor>
  <xdr:twoCellAnchor editAs="oneCell">
    <xdr:from>
      <xdr:col>87</xdr:col>
      <xdr:colOff>0</xdr:colOff>
      <xdr:row>21</xdr:row>
      <xdr:rowOff>0</xdr:rowOff>
    </xdr:from>
    <xdr:to>
      <xdr:col>95</xdr:col>
      <xdr:colOff>0</xdr:colOff>
      <xdr:row>25</xdr:row>
      <xdr:rowOff>0</xdr:rowOff>
    </xdr:to>
    <xdr:sp macro="" textlink="">
      <xdr:nvSpPr>
        <xdr:cNvPr id="66" name="ノード: カプセル・標準（ルートA）">
          <a:extLst>
            <a:ext uri="{FF2B5EF4-FFF2-40B4-BE49-F238E27FC236}">
              <a16:creationId xmlns:a16="http://schemas.microsoft.com/office/drawing/2014/main" id="{00000000-0008-0000-0200-000042000000}"/>
            </a:ext>
          </a:extLst>
        </xdr:cNvPr>
        <xdr:cNvSpPr/>
      </xdr:nvSpPr>
      <xdr:spPr>
        <a:xfrm>
          <a:off x="16573500" y="4000500"/>
          <a:ext cx="1524000" cy="762000"/>
        </a:xfrm>
        <a:custGeom>
          <a:avLst/>
          <a:gdLst>
            <a:gd name="x1" fmla="*/ w 1 4"/>
            <a:gd name="x2" fmla="*/ w 1 2"/>
            <a:gd name="x3" fmla="*/ w 3 4"/>
            <a:gd name="y1" fmla="*/ h 1 4"/>
            <a:gd name="y2" fmla="*/ h 1 2"/>
            <a:gd name="y3" fmla="*/ h 3 4"/>
            <a:gd name="smin" fmla="min w h"/>
            <a:gd name="rr" fmla="*/ smin 1 2"/>
            <a:gd name="rx" fmla="+- r 0 rr"/>
            <a:gd name="k" fmla="*/ rr 13397 100000"/>
            <a:gd name="rk" fmla="+- r 0 k"/>
          </a:gdLst>
          <a:ahLst/>
          <a:cxnLst>
            <a:cxn ang="16200000">
              <a:pos x="x2" y="t"/>
            </a:cxn>
            <a:cxn ang="16200000">
              <a:pos x="x3" y="t"/>
            </a:cxn>
            <a:cxn ang="0">
              <a:pos x="rk" y="y1"/>
            </a:cxn>
            <a:cxn ang="0">
              <a:pos x="r" y="y2"/>
            </a:cxn>
            <a:cxn ang="0">
              <a:pos x="rk" y="y3"/>
            </a:cxn>
            <a:cxn ang="5400000">
              <a:pos x="x3" y="b"/>
            </a:cxn>
            <a:cxn ang="5400000">
              <a:pos x="x2" y="b"/>
            </a:cxn>
            <a:cxn ang="5400000">
              <a:pos x="x1" y="b"/>
            </a:cxn>
            <a:cxn ang="10800000">
              <a:pos x="k" y="y3"/>
            </a:cxn>
            <a:cxn ang="10800000">
              <a:pos x="l" y="y2"/>
            </a:cxn>
            <a:cxn ang="10800000">
              <a:pos x="k" y="y1"/>
            </a:cxn>
            <a:cxn ang="16200000">
              <a:pos x="x1" y="t"/>
            </a:cxn>
          </a:cxnLst>
          <a:rect l="l" t="t" r="r" b="b"/>
          <a:pathLst>
            <a:path>
              <a:moveTo>
                <a:pt x="rr" y="t"/>
              </a:moveTo>
              <a:lnTo>
                <a:pt x="rx" y="t"/>
              </a:lnTo>
              <a:arcTo wR="rr" hR="rr" stAng="16200000" swAng="10800000"/>
              <a:lnTo>
                <a:pt x="rr" y="b"/>
              </a:lnTo>
              <a:arcTo wR="rr" hR="rr" stAng="5400000" swAng="10800000"/>
              <a:close/>
            </a:path>
          </a:pathLst>
        </a:custGeom>
        <a:solidFill>
          <a:srgbClr val="E7F1FF"/>
        </a:solidFill>
        <a:ln w="15875" cap="flat">
          <a:solidFill>
            <a:srgbClr val="315C92"/>
          </a:solidFill>
          <a:round/>
        </a:ln>
      </xdr:spPr>
      <xdr:txBody>
        <a:bodyPr vertOverflow="overflow" horzOverflow="overflow" wrap="square" lIns="101600" tIns="12700" rIns="101600" bIns="12700" rtlCol="0" anchor="ctr">
          <a:noAutofit/>
        </a:bodyPr>
        <a:lstStyle/>
        <a:p>
          <a:pPr algn="ctr">
            <a:lnSpc>
              <a:spcPct val="95000"/>
            </a:lnSpc>
          </a:pPr>
          <a:r>
            <a:rPr lang="ja-JP" altLang="en-US" sz="950" b="1" dirty="0">
              <a:solidFill>
                <a:srgbClr val="262626"/>
              </a:solidFill>
              <a:latin typeface="Meiryo UI"/>
              <a:ea typeface="Meiryo UI"/>
              <a:cs typeface="Meiryo UI"/>
            </a:rPr>
            <a:t>API・キュー</a:t>
          </a:r>
          <a:endParaRPr lang="ja-JP" altLang="en-US" sz="950" dirty="0">
            <a:latin typeface="Meiryo UI"/>
            <a:ea typeface="Meiryo UI"/>
          </a:endParaRPr>
        </a:p>
      </xdr:txBody>
    </xdr:sp>
    <xdr:clientData/>
  </xdr:twoCellAnchor>
  <xdr:twoCellAnchor editAs="oneCell">
    <xdr:from>
      <xdr:col>87</xdr:col>
      <xdr:colOff>0</xdr:colOff>
      <xdr:row>27</xdr:row>
      <xdr:rowOff>0</xdr:rowOff>
    </xdr:from>
    <xdr:to>
      <xdr:col>95</xdr:col>
      <xdr:colOff>0</xdr:colOff>
      <xdr:row>27</xdr:row>
      <xdr:rowOff>0</xdr:rowOff>
    </xdr:to>
    <xdr:cxnSp macro="">
      <xdr:nvCxnSpPr>
        <xdr:cNvPr id="67" name="線: オンライン連携・直線（ルートA）">
          <a:extLst>
            <a:ext uri="{FF2B5EF4-FFF2-40B4-BE49-F238E27FC236}">
              <a16:creationId xmlns:a16="http://schemas.microsoft.com/office/drawing/2014/main" id="{00000000-0008-0000-0200-000043000000}"/>
            </a:ext>
          </a:extLst>
        </xdr:cNvPr>
        <xdr:cNvCxnSpPr/>
      </xdr:nvCxnSpPr>
      <xdr:spPr>
        <a:xfrm>
          <a:off x="16573500" y="5143500"/>
          <a:ext cx="1524000" cy="0"/>
        </a:xfrm>
        <a:prstGeom prst="straightConnector1">
          <a:avLst/>
        </a:prstGeom>
        <a:ln w="19050" cap="flat">
          <a:solidFill>
            <a:srgbClr val="315C92"/>
          </a:solidFill>
          <a:round/>
          <a:tailEnd type="triangle" w="med" len="med"/>
        </a:ln>
      </xdr:spPr>
    </xdr:cxnSp>
    <xdr:clientData/>
  </xdr:twoCellAnchor>
  <xdr:twoCellAnchor editAs="oneCell">
    <xdr:from>
      <xdr:col>87</xdr:col>
      <xdr:colOff>0</xdr:colOff>
      <xdr:row>28</xdr:row>
      <xdr:rowOff>0</xdr:rowOff>
    </xdr:from>
    <xdr:to>
      <xdr:col>95</xdr:col>
      <xdr:colOff>0</xdr:colOff>
      <xdr:row>28</xdr:row>
      <xdr:rowOff>0</xdr:rowOff>
    </xdr:to>
    <xdr:cxnSp macro="">
      <xdr:nvCxnSpPr>
        <xdr:cNvPr id="68" name="線: バッチ・ファイル・直線（ルートA）">
          <a:extLst>
            <a:ext uri="{FF2B5EF4-FFF2-40B4-BE49-F238E27FC236}">
              <a16:creationId xmlns:a16="http://schemas.microsoft.com/office/drawing/2014/main" id="{00000000-0008-0000-0200-000044000000}"/>
            </a:ext>
          </a:extLst>
        </xdr:cNvPr>
        <xdr:cNvCxnSpPr/>
      </xdr:nvCxnSpPr>
      <xdr:spPr>
        <a:xfrm>
          <a:off x="16573500" y="5334000"/>
          <a:ext cx="1524000" cy="0"/>
        </a:xfrm>
        <a:prstGeom prst="straightConnector1">
          <a:avLst/>
        </a:prstGeom>
        <a:ln w="19050" cap="flat">
          <a:solidFill>
            <a:srgbClr val="315C92"/>
          </a:solidFill>
          <a:prstDash val="dash"/>
          <a:round/>
          <a:tailEnd type="triangle" w="med" len="med"/>
        </a:ln>
      </xdr:spPr>
    </xdr:cxnSp>
    <xdr:clientData/>
  </xdr:twoCellAnchor>
  <xdr:twoCellAnchor editAs="oneCell">
    <xdr:from>
      <xdr:col>87</xdr:col>
      <xdr:colOff>0</xdr:colOff>
      <xdr:row>29</xdr:row>
      <xdr:rowOff>0</xdr:rowOff>
    </xdr:from>
    <xdr:to>
      <xdr:col>95</xdr:col>
      <xdr:colOff>0</xdr:colOff>
      <xdr:row>29</xdr:row>
      <xdr:rowOff>0</xdr:rowOff>
    </xdr:to>
    <xdr:cxnSp macro="">
      <xdr:nvCxnSpPr>
        <xdr:cNvPr id="69" name="線: 監視・運用・直線（ルートA）">
          <a:extLst>
            <a:ext uri="{FF2B5EF4-FFF2-40B4-BE49-F238E27FC236}">
              <a16:creationId xmlns:a16="http://schemas.microsoft.com/office/drawing/2014/main" id="{00000000-0008-0000-0200-000045000000}"/>
            </a:ext>
          </a:extLst>
        </xdr:cNvPr>
        <xdr:cNvCxnSpPr/>
      </xdr:nvCxnSpPr>
      <xdr:spPr>
        <a:xfrm>
          <a:off x="16573500" y="5524500"/>
          <a:ext cx="1524000" cy="0"/>
        </a:xfrm>
        <a:prstGeom prst="straightConnector1">
          <a:avLst/>
        </a:prstGeom>
        <a:ln w="12700" cap="flat">
          <a:solidFill>
            <a:srgbClr val="315C92"/>
          </a:solidFill>
          <a:prstDash val="sysDot"/>
          <a:round/>
          <a:tailEnd type="triangle" w="med" len="med"/>
        </a:ln>
      </xdr:spPr>
    </xdr:cxnSp>
    <xdr:clientData/>
  </xdr:twoCellAnchor>
  <xdr:twoCellAnchor editAs="oneCell">
    <xdr:from>
      <xdr:col>87</xdr:col>
      <xdr:colOff>0</xdr:colOff>
      <xdr:row>30</xdr:row>
      <xdr:rowOff>0</xdr:rowOff>
    </xdr:from>
    <xdr:to>
      <xdr:col>95</xdr:col>
      <xdr:colOff>0</xdr:colOff>
      <xdr:row>32</xdr:row>
      <xdr:rowOff>0</xdr:rowOff>
    </xdr:to>
    <xdr:cxnSp macro="">
      <xdr:nvCxnSpPr>
        <xdr:cNvPr id="70" name="線: オンライン連携・カギ線（ルートA）">
          <a:extLst>
            <a:ext uri="{FF2B5EF4-FFF2-40B4-BE49-F238E27FC236}">
              <a16:creationId xmlns:a16="http://schemas.microsoft.com/office/drawing/2014/main" id="{00000000-0008-0000-0200-000046000000}"/>
            </a:ext>
          </a:extLst>
        </xdr:cNvPr>
        <xdr:cNvCxnSpPr/>
      </xdr:nvCxnSpPr>
      <xdr:spPr>
        <a:xfrm>
          <a:off x="16573500" y="5715000"/>
          <a:ext cx="1524000" cy="381000"/>
        </a:xfrm>
        <a:prstGeom prst="bentConnector3">
          <a:avLst/>
        </a:prstGeom>
        <a:ln w="19050" cap="flat">
          <a:solidFill>
            <a:srgbClr val="315C92"/>
          </a:solidFill>
          <a:round/>
          <a:tailEnd type="triangle" w="med" len="med"/>
        </a:ln>
      </xdr:spPr>
    </xdr:cxnSp>
    <xdr:clientData/>
  </xdr:twoCellAnchor>
  <xdr:twoCellAnchor editAs="oneCell">
    <xdr:from>
      <xdr:col>87</xdr:col>
      <xdr:colOff>0</xdr:colOff>
      <xdr:row>34</xdr:row>
      <xdr:rowOff>0</xdr:rowOff>
    </xdr:from>
    <xdr:to>
      <xdr:col>95</xdr:col>
      <xdr:colOff>0</xdr:colOff>
      <xdr:row>38</xdr:row>
      <xdr:rowOff>0</xdr:rowOff>
    </xdr:to>
    <xdr:grpSp>
      <xdr:nvGrpSpPr>
        <xdr:cNvPr id="73" name="コメント: ポイント（ルートA）">
          <a:extLst>
            <a:ext uri="{FF2B5EF4-FFF2-40B4-BE49-F238E27FC236}">
              <a16:creationId xmlns:a16="http://schemas.microsoft.com/office/drawing/2014/main" id="{00000000-0008-0000-0200-000049000000}"/>
            </a:ext>
          </a:extLst>
        </xdr:cNvPr>
        <xdr:cNvGrpSpPr/>
      </xdr:nvGrpSpPr>
      <xdr:grpSpPr>
        <a:xfrm>
          <a:off x="16573500" y="6477000"/>
          <a:ext cx="1524000" cy="762000"/>
          <a:chOff x="16573500" y="6477000"/>
          <a:chExt cx="1524000" cy="762000"/>
        </a:xfrm>
      </xdr:grpSpPr>
      <xdr:sp macro="" textlink="">
        <xdr:nvSpPr>
          <xdr:cNvPr id="71" name="本文">
            <a:extLst>
              <a:ext uri="{FF2B5EF4-FFF2-40B4-BE49-F238E27FC236}">
                <a16:creationId xmlns:a16="http://schemas.microsoft.com/office/drawing/2014/main" id="{00000000-0008-0000-0200-000047000000}"/>
              </a:ext>
            </a:extLst>
          </xdr:cNvPr>
          <xdr:cNvSpPr/>
        </xdr:nvSpPr>
        <xdr:spPr>
          <a:xfrm>
            <a:off x="16573500" y="6477000"/>
            <a:ext cx="1524000" cy="762000"/>
          </a:xfrm>
          <a:custGeom>
            <a:avLst/>
            <a:gdLst>
              <a:gd name="x1" fmla="*/ w 1 4"/>
              <a:gd name="x2" fmla="*/ w 1 2"/>
              <a:gd name="x3" fmla="*/ w 3 4"/>
              <a:gd name="y1" fmla="*/ h 1 4"/>
              <a:gd name="y2" fmla="*/ h 1 2"/>
              <a:gd name="y3" fmla="*/ h 3 4"/>
              <a:gd name="smin" fmla="min w h"/>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r" y="t"/>
                </a:lnTo>
                <a:lnTo>
                  <a:pt x="r" y="b"/>
                </a:lnTo>
                <a:lnTo>
                  <a:pt x="l" y="b"/>
                </a:lnTo>
                <a:close/>
              </a:path>
            </a:pathLst>
          </a:custGeom>
          <a:solidFill>
            <a:srgbClr val="F3F8FF"/>
          </a:solidFill>
          <a:ln w="9525" cap="flat">
            <a:solidFill>
              <a:srgbClr val="BCD3F2"/>
            </a:solidFill>
            <a:round/>
          </a:ln>
        </xdr:spPr>
        <xdr:txBody>
          <a:bodyPr vertOverflow="overflow" horzOverflow="overflow" wrap="square" lIns="76200" tIns="228600" rIns="76200" bIns="38100" rtlCol="0" anchor="t">
            <a:noAutofit/>
          </a:bodyPr>
          <a:lstStyle/>
          <a:p>
            <a:pPr algn="l">
              <a:lnSpc>
                <a:spcPct val="100000"/>
              </a:lnSpc>
            </a:pPr>
            <a:r>
              <a:rPr lang="ja-JP" altLang="en-US" sz="800" b="0" dirty="0">
                <a:solidFill>
                  <a:srgbClr val="404040"/>
                </a:solidFill>
                <a:latin typeface="Meiryo UI"/>
                <a:ea typeface="Meiryo UI"/>
                <a:cs typeface="Meiryo UI"/>
              </a:rPr>
              <a:t>ポイントを記入</a:t>
            </a:r>
            <a:endParaRPr lang="ja-JP" altLang="en-US" sz="800" dirty="0">
              <a:latin typeface="Meiryo UI"/>
              <a:ea typeface="Meiryo UI"/>
            </a:endParaRPr>
          </a:p>
        </xdr:txBody>
      </xdr:sp>
      <xdr:sp macro="" textlink="">
        <xdr:nvSpPr>
          <xdr:cNvPr id="72" name="見出し">
            <a:extLst>
              <a:ext uri="{FF2B5EF4-FFF2-40B4-BE49-F238E27FC236}">
                <a16:creationId xmlns:a16="http://schemas.microsoft.com/office/drawing/2014/main" id="{00000000-0008-0000-0200-000048000000}"/>
              </a:ext>
            </a:extLst>
          </xdr:cNvPr>
          <xdr:cNvSpPr/>
        </xdr:nvSpPr>
        <xdr:spPr>
          <a:xfrm>
            <a:off x="16573500" y="6477000"/>
            <a:ext cx="1524000" cy="190500"/>
          </a:xfrm>
          <a:custGeom>
            <a:avLst/>
            <a:gdLst>
              <a:gd name="x1" fmla="*/ w 1 4"/>
              <a:gd name="x2" fmla="*/ w 1 2"/>
              <a:gd name="x3" fmla="*/ w 3 4"/>
              <a:gd name="y1" fmla="*/ h 1 4"/>
              <a:gd name="y2" fmla="*/ h 1 2"/>
              <a:gd name="y3" fmla="*/ h 3 4"/>
              <a:gd name="smin" fmla="min w h"/>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r" y="t"/>
                </a:lnTo>
                <a:lnTo>
                  <a:pt x="r" y="b"/>
                </a:lnTo>
                <a:lnTo>
                  <a:pt x="l" y="b"/>
                </a:lnTo>
                <a:close/>
              </a:path>
            </a:pathLst>
          </a:custGeom>
          <a:solidFill>
            <a:srgbClr val="315C92"/>
          </a:solidFill>
          <a:ln w="9525" cap="flat">
            <a:solidFill>
              <a:srgbClr val="315C92"/>
            </a:solidFill>
            <a:round/>
          </a:ln>
        </xdr:spPr>
        <xdr:txBody>
          <a:bodyPr vertOverflow="overflow" horzOverflow="overflow" wrap="none" lIns="76200" tIns="0" rIns="76200" bIns="0" rtlCol="0" anchor="ctr">
            <a:noAutofit/>
          </a:bodyPr>
          <a:lstStyle/>
          <a:p>
            <a:pPr algn="l"/>
            <a:r>
              <a:rPr lang="ja-JP" altLang="en-US" sz="750" b="1" dirty="0">
                <a:solidFill>
                  <a:srgbClr val="FFFFFF"/>
                </a:solidFill>
                <a:latin typeface="Meiryo UI"/>
                <a:ea typeface="Meiryo UI"/>
                <a:cs typeface="Meiryo UI"/>
              </a:rPr>
              <a:t>POINT</a:t>
            </a:r>
            <a:endParaRPr lang="ja-JP" altLang="en-US" sz="800" dirty="0">
              <a:latin typeface="Meiryo UI"/>
              <a:ea typeface="Meiryo UI"/>
            </a:endParaRPr>
          </a:p>
        </xdr:txBody>
      </xdr:sp>
    </xdr:grpSp>
    <xdr:clientData/>
  </xdr:twoCellAnchor>
  <xdr:twoCellAnchor editAs="oneCell">
    <xdr:from>
      <xdr:col>87</xdr:col>
      <xdr:colOff>0</xdr:colOff>
      <xdr:row>39</xdr:row>
      <xdr:rowOff>0</xdr:rowOff>
    </xdr:from>
    <xdr:to>
      <xdr:col>95</xdr:col>
      <xdr:colOff>0</xdr:colOff>
      <xdr:row>42</xdr:row>
      <xdr:rowOff>0</xdr:rowOff>
    </xdr:to>
    <xdr:grpSp>
      <xdr:nvGrpSpPr>
        <xdr:cNvPr id="76" name="コメント: 付記（ルートA）">
          <a:extLst>
            <a:ext uri="{FF2B5EF4-FFF2-40B4-BE49-F238E27FC236}">
              <a16:creationId xmlns:a16="http://schemas.microsoft.com/office/drawing/2014/main" id="{00000000-0008-0000-0200-00004C000000}"/>
            </a:ext>
          </a:extLst>
        </xdr:cNvPr>
        <xdr:cNvGrpSpPr/>
      </xdr:nvGrpSpPr>
      <xdr:grpSpPr>
        <a:xfrm>
          <a:off x="16573500" y="7429500"/>
          <a:ext cx="1524000" cy="571500"/>
          <a:chOff x="16573500" y="7429500"/>
          <a:chExt cx="1524000" cy="571500"/>
        </a:xfrm>
      </xdr:grpSpPr>
      <xdr:sp macro="" textlink="">
        <xdr:nvSpPr>
          <xdr:cNvPr id="74" name="本文">
            <a:extLst>
              <a:ext uri="{FF2B5EF4-FFF2-40B4-BE49-F238E27FC236}">
                <a16:creationId xmlns:a16="http://schemas.microsoft.com/office/drawing/2014/main" id="{00000000-0008-0000-0200-00004A000000}"/>
              </a:ext>
            </a:extLst>
          </xdr:cNvPr>
          <xdr:cNvSpPr/>
        </xdr:nvSpPr>
        <xdr:spPr>
          <a:xfrm>
            <a:off x="16573500" y="7429500"/>
            <a:ext cx="1524000" cy="571500"/>
          </a:xfrm>
          <a:custGeom>
            <a:avLst/>
            <a:gdLst>
              <a:gd name="x1" fmla="*/ w 1 4"/>
              <a:gd name="x2" fmla="*/ w 1 2"/>
              <a:gd name="x3" fmla="*/ w 3 4"/>
              <a:gd name="y1" fmla="*/ h 1 4"/>
              <a:gd name="y2" fmla="*/ h 1 2"/>
              <a:gd name="y3" fmla="*/ h 3 4"/>
              <a:gd name="smin" fmla="min w h"/>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r" y="t"/>
                </a:lnTo>
                <a:lnTo>
                  <a:pt x="r" y="b"/>
                </a:lnTo>
                <a:lnTo>
                  <a:pt x="l" y="b"/>
                </a:lnTo>
                <a:close/>
              </a:path>
            </a:pathLst>
          </a:custGeom>
          <a:solidFill>
            <a:srgbClr val="F3F8FF"/>
          </a:solidFill>
          <a:ln>
            <a:noFill/>
          </a:ln>
        </xdr:spPr>
        <xdr:txBody>
          <a:bodyPr vertOverflow="overflow" horzOverflow="overflow" wrap="square" lIns="114300" tIns="50800" rIns="76200" bIns="38100" rtlCol="0" anchor="t">
            <a:noAutofit/>
          </a:bodyPr>
          <a:lstStyle/>
          <a:p>
            <a:pPr algn="l"/>
            <a:r>
              <a:rPr lang="ja-JP" altLang="en-US" sz="800" b="1" dirty="0">
                <a:solidFill>
                  <a:srgbClr val="113866"/>
                </a:solidFill>
                <a:latin typeface="Meiryo UI"/>
                <a:ea typeface="Meiryo UI"/>
                <a:cs typeface="Meiryo UI"/>
              </a:rPr>
              <a:t>付記</a:t>
            </a:r>
            <a:endParaRPr lang="ja-JP" altLang="en-US" sz="800" dirty="0">
              <a:latin typeface="Meiryo UI"/>
              <a:ea typeface="Meiryo UI"/>
            </a:endParaRPr>
          </a:p>
          <a:p>
            <a:pPr algn="l">
              <a:spcBef>
                <a:spcPts val="100"/>
              </a:spcBef>
            </a:pPr>
            <a:r>
              <a:rPr lang="ja-JP" altLang="en-US" sz="800" b="0" dirty="0">
                <a:solidFill>
                  <a:srgbClr val="404040"/>
                </a:solidFill>
                <a:latin typeface="Meiryo UI"/>
                <a:ea typeface="Meiryo UI"/>
                <a:cs typeface="Meiryo UI"/>
              </a:rPr>
              <a:t>補足を記入</a:t>
            </a:r>
            <a:endParaRPr lang="ja-JP" altLang="en-US" sz="800" dirty="0">
              <a:latin typeface="Meiryo UI"/>
              <a:ea typeface="Meiryo UI"/>
            </a:endParaRPr>
          </a:p>
        </xdr:txBody>
      </xdr:sp>
      <xdr:sp macro="" textlink="">
        <xdr:nvSpPr>
          <xdr:cNvPr id="75" name="左ライン">
            <a:extLst>
              <a:ext uri="{FF2B5EF4-FFF2-40B4-BE49-F238E27FC236}">
                <a16:creationId xmlns:a16="http://schemas.microsoft.com/office/drawing/2014/main" id="{00000000-0008-0000-0200-00004B000000}"/>
              </a:ext>
            </a:extLst>
          </xdr:cNvPr>
          <xdr:cNvSpPr/>
        </xdr:nvSpPr>
        <xdr:spPr>
          <a:xfrm>
            <a:off x="16573500" y="7429500"/>
            <a:ext cx="38100" cy="571500"/>
          </a:xfrm>
          <a:prstGeom prst="rect">
            <a:avLst/>
          </a:prstGeom>
          <a:solidFill>
            <a:srgbClr val="315C92"/>
          </a:solidFill>
          <a:ln>
            <a:noFill/>
          </a:ln>
        </xdr:spPr>
        <xdr:txBody>
          <a:bodyPr vertOverflow="overflow" horzOverflow="overflow" wrap="square" lIns="38100" tIns="19050" rIns="38100" bIns="19050" rtlCol="0" anchor="ctr">
            <a:noAutofit/>
          </a:bodyPr>
          <a:lstStyle/>
          <a:p>
            <a:pPr algn="l"/>
            <a:endParaRPr lang="ja-JP" altLang="en-US" sz="600" dirty="0">
              <a:latin typeface="Meiryo UI"/>
              <a:ea typeface="Meiryo UI"/>
            </a:endParaRPr>
          </a:p>
        </xdr:txBody>
      </xdr:sp>
    </xdr:grpSp>
    <xdr:clientData/>
  </xdr:twoCellAnchor>
  <xdr:twoCellAnchor editAs="oneCell">
    <xdr:from>
      <xdr:col>87</xdr:col>
      <xdr:colOff>0</xdr:colOff>
      <xdr:row>43</xdr:row>
      <xdr:rowOff>0</xdr:rowOff>
    </xdr:from>
    <xdr:to>
      <xdr:col>95</xdr:col>
      <xdr:colOff>0</xdr:colOff>
      <xdr:row>45</xdr:row>
      <xdr:rowOff>0</xdr:rowOff>
    </xdr:to>
    <xdr:sp macro="" textlink="">
      <xdr:nvSpPr>
        <xdr:cNvPr id="77" name="コメント: 吹き出し（ルートA）">
          <a:extLst>
            <a:ext uri="{FF2B5EF4-FFF2-40B4-BE49-F238E27FC236}">
              <a16:creationId xmlns:a16="http://schemas.microsoft.com/office/drawing/2014/main" id="{00000000-0008-0000-0200-00004D000000}"/>
            </a:ext>
          </a:extLst>
        </xdr:cNvPr>
        <xdr:cNvSpPr/>
      </xdr:nvSpPr>
      <xdr:spPr>
        <a:xfrm>
          <a:off x="16573500" y="8191500"/>
          <a:ext cx="1524000" cy="381000"/>
        </a:xfrm>
        <a:prstGeom prst="wedgeRoundRectCallout">
          <a:avLst>
            <a:gd name="adj1" fmla="val -30000"/>
            <a:gd name="adj2" fmla="val 95000"/>
            <a:gd name="adj3" fmla="val 16667"/>
          </a:avLst>
        </a:prstGeom>
        <a:solidFill>
          <a:srgbClr val="FFFFFF"/>
        </a:solidFill>
        <a:ln w="12700" cap="flat">
          <a:solidFill>
            <a:srgbClr val="315C92"/>
          </a:solidFill>
          <a:round/>
        </a:ln>
      </xdr:spPr>
      <xdr:txBody>
        <a:bodyPr vertOverflow="overflow" horzOverflow="overflow" wrap="square" lIns="63500" tIns="25400" rIns="63500" bIns="25400" rtlCol="0" anchor="ctr">
          <a:noAutofit/>
        </a:bodyPr>
        <a:lstStyle/>
        <a:p>
          <a:pPr algn="l"/>
          <a:r>
            <a:rPr lang="ja-JP" altLang="en-US" sz="800" b="0" dirty="0">
              <a:solidFill>
                <a:srgbClr val="404040"/>
              </a:solidFill>
              <a:latin typeface="Meiryo UI"/>
              <a:ea typeface="Meiryo UI"/>
              <a:cs typeface="Meiryo UI"/>
            </a:rPr>
            <a:t>指摘・補足</a:t>
          </a:r>
          <a:endParaRPr lang="ja-JP" altLang="en-US" sz="800" dirty="0">
            <a:latin typeface="Meiryo UI"/>
            <a:ea typeface="Meiryo UI"/>
          </a:endParaRPr>
        </a:p>
      </xdr:txBody>
    </xdr:sp>
    <xdr:clientData/>
  </xdr:twoCellAnchor>
  <xdr:twoCellAnchor editAs="oneCell">
    <xdr:from>
      <xdr:col>87</xdr:col>
      <xdr:colOff>0</xdr:colOff>
      <xdr:row>47</xdr:row>
      <xdr:rowOff>0</xdr:rowOff>
    </xdr:from>
    <xdr:to>
      <xdr:col>89</xdr:col>
      <xdr:colOff>0</xdr:colOff>
      <xdr:row>48</xdr:row>
      <xdr:rowOff>0</xdr:rowOff>
    </xdr:to>
    <xdr:sp macro="" textlink="">
      <xdr:nvSpPr>
        <xdr:cNvPr id="78" name="番号: A1（ルートA）">
          <a:extLst>
            <a:ext uri="{FF2B5EF4-FFF2-40B4-BE49-F238E27FC236}">
              <a16:creationId xmlns:a16="http://schemas.microsoft.com/office/drawing/2014/main" id="{00000000-0008-0000-0200-00004E000000}"/>
            </a:ext>
          </a:extLst>
        </xdr:cNvPr>
        <xdr:cNvSpPr/>
      </xdr:nvSpPr>
      <xdr:spPr>
        <a:xfrm>
          <a:off x="16573500" y="8953500"/>
          <a:ext cx="381000" cy="190500"/>
        </a:xfrm>
        <a:prstGeom prst="roundRect">
          <a:avLst>
            <a:gd name="adj" fmla="val 50000"/>
          </a:avLst>
        </a:prstGeom>
        <a:solidFill>
          <a:srgbClr val="315C92"/>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A1</a:t>
          </a:r>
          <a:endParaRPr lang="ja-JP" altLang="en-US" sz="750" dirty="0">
            <a:latin typeface="Meiryo UI"/>
            <a:ea typeface="Meiryo UI"/>
          </a:endParaRPr>
        </a:p>
      </xdr:txBody>
    </xdr:sp>
    <xdr:clientData/>
  </xdr:twoCellAnchor>
  <xdr:twoCellAnchor editAs="oneCell">
    <xdr:from>
      <xdr:col>90</xdr:col>
      <xdr:colOff>0</xdr:colOff>
      <xdr:row>47</xdr:row>
      <xdr:rowOff>0</xdr:rowOff>
    </xdr:from>
    <xdr:to>
      <xdr:col>92</xdr:col>
      <xdr:colOff>0</xdr:colOff>
      <xdr:row>48</xdr:row>
      <xdr:rowOff>0</xdr:rowOff>
    </xdr:to>
    <xdr:sp macro="" textlink="">
      <xdr:nvSpPr>
        <xdr:cNvPr id="79" name="番号: A2（ルートA）">
          <a:extLst>
            <a:ext uri="{FF2B5EF4-FFF2-40B4-BE49-F238E27FC236}">
              <a16:creationId xmlns:a16="http://schemas.microsoft.com/office/drawing/2014/main" id="{00000000-0008-0000-0200-00004F000000}"/>
            </a:ext>
          </a:extLst>
        </xdr:cNvPr>
        <xdr:cNvSpPr/>
      </xdr:nvSpPr>
      <xdr:spPr>
        <a:xfrm>
          <a:off x="17145000" y="8953500"/>
          <a:ext cx="381000" cy="190500"/>
        </a:xfrm>
        <a:prstGeom prst="roundRect">
          <a:avLst>
            <a:gd name="adj" fmla="val 50000"/>
          </a:avLst>
        </a:prstGeom>
        <a:solidFill>
          <a:srgbClr val="315C92"/>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A2</a:t>
          </a:r>
          <a:endParaRPr lang="ja-JP" altLang="en-US" sz="750" dirty="0">
            <a:latin typeface="Meiryo UI"/>
            <a:ea typeface="Meiryo UI"/>
          </a:endParaRPr>
        </a:p>
      </xdr:txBody>
    </xdr:sp>
    <xdr:clientData/>
  </xdr:twoCellAnchor>
  <xdr:twoCellAnchor editAs="oneCell">
    <xdr:from>
      <xdr:col>87</xdr:col>
      <xdr:colOff>0</xdr:colOff>
      <xdr:row>49</xdr:row>
      <xdr:rowOff>0</xdr:rowOff>
    </xdr:from>
    <xdr:to>
      <xdr:col>95</xdr:col>
      <xdr:colOff>0</xdr:colOff>
      <xdr:row>50</xdr:row>
      <xdr:rowOff>0</xdr:rowOff>
    </xdr:to>
    <xdr:sp macro="" textlink="">
      <xdr:nvSpPr>
        <xdr:cNvPr id="80" name="線ラベル（ルートA）">
          <a:extLst>
            <a:ext uri="{FF2B5EF4-FFF2-40B4-BE49-F238E27FC236}">
              <a16:creationId xmlns:a16="http://schemas.microsoft.com/office/drawing/2014/main" id="{00000000-0008-0000-0200-000050000000}"/>
            </a:ext>
          </a:extLst>
        </xdr:cNvPr>
        <xdr:cNvSpPr/>
      </xdr:nvSpPr>
      <xdr:spPr>
        <a:xfrm>
          <a:off x="16573500" y="9334500"/>
          <a:ext cx="1524000" cy="190500"/>
        </a:xfrm>
        <a:prstGeom prst="roundRect">
          <a:avLst>
            <a:gd name="adj" fmla="val 50000"/>
          </a:avLst>
        </a:prstGeom>
        <a:solidFill>
          <a:srgbClr val="FFFFFF"/>
        </a:solidFill>
        <a:ln w="9525" cap="flat">
          <a:solidFill>
            <a:srgbClr val="315C92"/>
          </a:solidFill>
          <a:round/>
        </a:ln>
      </xdr:spPr>
      <xdr:txBody>
        <a:bodyPr vertOverflow="overflow" horzOverflow="overflow" wrap="none" lIns="25400" tIns="0" rIns="25400" bIns="0" rtlCol="0" anchor="ctr">
          <a:noAutofit/>
        </a:bodyPr>
        <a:lstStyle/>
        <a:p>
          <a:pPr algn="ctr"/>
          <a:r>
            <a:rPr lang="ja-JP" altLang="en-US" sz="750" b="0" dirty="0">
              <a:solidFill>
                <a:srgbClr val="113866"/>
              </a:solidFill>
              <a:latin typeface="Meiryo UI"/>
              <a:ea typeface="Meiryo UI"/>
              <a:cs typeface="Meiryo UI"/>
            </a:rPr>
            <a:t>HTTPS（REST）</a:t>
          </a:r>
          <a:endParaRPr lang="ja-JP" altLang="en-US" sz="750" dirty="0">
            <a:latin typeface="Meiryo UI"/>
            <a:ea typeface="Meiryo UI"/>
          </a:endParaRPr>
        </a:p>
      </xdr:txBody>
    </xdr:sp>
    <xdr:clientData/>
  </xdr:twoCellAnchor>
  <xdr:twoCellAnchor editAs="oneCell">
    <xdr:from>
      <xdr:col>96</xdr:col>
      <xdr:colOff>0</xdr:colOff>
      <xdr:row>6</xdr:row>
      <xdr:rowOff>0</xdr:rowOff>
    </xdr:from>
    <xdr:to>
      <xdr:col>104</xdr:col>
      <xdr:colOff>0</xdr:colOff>
      <xdr:row>10</xdr:row>
      <xdr:rowOff>0</xdr:rowOff>
    </xdr:to>
    <xdr:sp macro="" textlink="">
      <xdr:nvSpPr>
        <xdr:cNvPr id="81" name="ノード: 角丸・標準（ルートB）">
          <a:extLst>
            <a:ext uri="{FF2B5EF4-FFF2-40B4-BE49-F238E27FC236}">
              <a16:creationId xmlns:a16="http://schemas.microsoft.com/office/drawing/2014/main" id="{00000000-0008-0000-0200-000051000000}"/>
            </a:ext>
          </a:extLst>
        </xdr:cNvPr>
        <xdr:cNvSpPr/>
      </xdr:nvSpPr>
      <xdr:spPr>
        <a:xfrm>
          <a:off x="18288000" y="1143000"/>
          <a:ext cx="1524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E3F5EF"/>
        </a:solidFill>
        <a:ln w="15875" cap="flat">
          <a:solidFill>
            <a:srgbClr val="247966"/>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262626"/>
              </a:solidFill>
              <a:latin typeface="Meiryo UI"/>
              <a:ea typeface="Meiryo UI"/>
              <a:cs typeface="Meiryo UI"/>
            </a:rPr>
            <a:t>ノード名</a:t>
          </a:r>
          <a:endParaRPr lang="ja-JP" altLang="en-US" sz="950" dirty="0">
            <a:latin typeface="Meiryo UI"/>
            <a:ea typeface="Meiryo UI"/>
          </a:endParaRPr>
        </a:p>
        <a:p>
          <a:pPr algn="ctr">
            <a:lnSpc>
              <a:spcPct val="95000"/>
            </a:lnSpc>
            <a:spcBef>
              <a:spcPts val="50"/>
            </a:spcBef>
          </a:pPr>
          <a:r>
            <a:rPr lang="ja-JP" altLang="en-US" sz="750" b="0" dirty="0">
              <a:solidFill>
                <a:srgbClr val="595959"/>
              </a:solidFill>
              <a:latin typeface="Meiryo UI"/>
              <a:ea typeface="Meiryo UI"/>
              <a:cs typeface="Meiryo UI"/>
            </a:rPr>
            <a:t>役割・概要</a:t>
          </a:r>
          <a:endParaRPr lang="ja-JP" altLang="en-US" sz="750" dirty="0">
            <a:latin typeface="Meiryo UI"/>
            <a:ea typeface="Meiryo UI"/>
          </a:endParaRPr>
        </a:p>
      </xdr:txBody>
    </xdr:sp>
    <xdr:clientData/>
  </xdr:twoCellAnchor>
  <xdr:twoCellAnchor editAs="oneCell">
    <xdr:from>
      <xdr:col>96</xdr:col>
      <xdr:colOff>0</xdr:colOff>
      <xdr:row>11</xdr:row>
      <xdr:rowOff>0</xdr:rowOff>
    </xdr:from>
    <xdr:to>
      <xdr:col>104</xdr:col>
      <xdr:colOff>0</xdr:colOff>
      <xdr:row>15</xdr:row>
      <xdr:rowOff>0</xdr:rowOff>
    </xdr:to>
    <xdr:sp macro="" textlink="">
      <xdr:nvSpPr>
        <xdr:cNvPr id="82" name="ノード: 角丸・強調（ルートB）">
          <a:extLst>
            <a:ext uri="{FF2B5EF4-FFF2-40B4-BE49-F238E27FC236}">
              <a16:creationId xmlns:a16="http://schemas.microsoft.com/office/drawing/2014/main" id="{00000000-0008-0000-0200-000052000000}"/>
            </a:ext>
          </a:extLst>
        </xdr:cNvPr>
        <xdr:cNvSpPr/>
      </xdr:nvSpPr>
      <xdr:spPr>
        <a:xfrm>
          <a:off x="18288000" y="2095500"/>
          <a:ext cx="1524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247966"/>
        </a:solidFill>
        <a:ln w="15875" cap="flat">
          <a:solidFill>
            <a:srgbClr val="247966"/>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FFFFFF"/>
              </a:solidFill>
              <a:latin typeface="Meiryo UI"/>
              <a:ea typeface="Meiryo UI"/>
              <a:cs typeface="Meiryo UI"/>
            </a:rPr>
            <a:t>接続元</a:t>
          </a:r>
          <a:endParaRPr lang="ja-JP" altLang="en-US" sz="950" dirty="0">
            <a:latin typeface="Meiryo UI"/>
            <a:ea typeface="Meiryo UI"/>
          </a:endParaRPr>
        </a:p>
        <a:p>
          <a:pPr algn="ctr">
            <a:lnSpc>
              <a:spcPct val="95000"/>
            </a:lnSpc>
            <a:spcBef>
              <a:spcPts val="50"/>
            </a:spcBef>
          </a:pPr>
          <a:r>
            <a:rPr lang="ja-JP" altLang="en-US" sz="750" b="0" dirty="0">
              <a:solidFill>
                <a:srgbClr val="D4EFE7"/>
              </a:solidFill>
              <a:latin typeface="Meiryo UI"/>
              <a:ea typeface="Meiryo UI"/>
              <a:cs typeface="Meiryo UI"/>
            </a:rPr>
            <a:t>強調ノード</a:t>
          </a:r>
          <a:endParaRPr lang="ja-JP" altLang="en-US" sz="750" dirty="0">
            <a:latin typeface="Meiryo UI"/>
            <a:ea typeface="Meiryo UI"/>
          </a:endParaRPr>
        </a:p>
      </xdr:txBody>
    </xdr:sp>
    <xdr:clientData/>
  </xdr:twoCellAnchor>
  <xdr:twoCellAnchor editAs="oneCell">
    <xdr:from>
      <xdr:col>96</xdr:col>
      <xdr:colOff>0</xdr:colOff>
      <xdr:row>16</xdr:row>
      <xdr:rowOff>0</xdr:rowOff>
    </xdr:from>
    <xdr:to>
      <xdr:col>100</xdr:col>
      <xdr:colOff>0</xdr:colOff>
      <xdr:row>20</xdr:row>
      <xdr:rowOff>0</xdr:rowOff>
    </xdr:to>
    <xdr:sp macro="" textlink="">
      <xdr:nvSpPr>
        <xdr:cNvPr id="83" name="ノード: 円柱・標準（ルートB）">
          <a:extLst>
            <a:ext uri="{FF2B5EF4-FFF2-40B4-BE49-F238E27FC236}">
              <a16:creationId xmlns:a16="http://schemas.microsoft.com/office/drawing/2014/main" id="{00000000-0008-0000-0200-000053000000}"/>
            </a:ext>
          </a:extLst>
        </xdr:cNvPr>
        <xdr:cNvSpPr/>
      </xdr:nvSpPr>
      <xdr:spPr>
        <a:xfrm>
          <a:off x="18288000" y="3048000"/>
          <a:ext cx="762000" cy="762000"/>
        </a:xfrm>
        <a:custGeom>
          <a:avLst/>
          <a:gdLst>
            <a:gd name="x1" fmla="*/ w 1 4"/>
            <a:gd name="x2" fmla="*/ w 1 2"/>
            <a:gd name="x3" fmla="*/ w 3 4"/>
            <a:gd name="y1" fmla="*/ h 1 4"/>
            <a:gd name="y2" fmla="*/ h 1 2"/>
            <a:gd name="y3" fmla="*/ h 3 4"/>
            <a:gd name="smin" fmla="min w h"/>
            <a:gd name="ry" fmla="*/ smin 1 8"/>
            <a:gd name="wr" fmla="*/ w 1 2"/>
            <a:gd name="ty" fmla="*/ ry 13397 100000"/>
            <a:gd name="by" fmla="+- b 0 ty"/>
            <a:gd name="y4" fmla="+- b 0 ry"/>
            <a:gd name="ry2" fmla="*/ ry 2 1"/>
          </a:gdLst>
          <a:ahLst/>
          <a:cxnLst>
            <a:cxn ang="16200000">
              <a:pos x="x2" y="t"/>
            </a:cxn>
            <a:cxn ang="16200000">
              <a:pos x="x3" y="ty"/>
            </a:cxn>
            <a:cxn ang="0">
              <a:pos x="r" y="y1"/>
            </a:cxn>
            <a:cxn ang="0">
              <a:pos x="r" y="y2"/>
            </a:cxn>
            <a:cxn ang="0">
              <a:pos x="r" y="y3"/>
            </a:cxn>
            <a:cxn ang="5400000">
              <a:pos x="x3" y="by"/>
            </a:cxn>
            <a:cxn ang="5400000">
              <a:pos x="x2" y="b"/>
            </a:cxn>
            <a:cxn ang="5400000">
              <a:pos x="x1" y="by"/>
            </a:cxn>
            <a:cxn ang="10800000">
              <a:pos x="l" y="y3"/>
            </a:cxn>
            <a:cxn ang="10800000">
              <a:pos x="l" y="y2"/>
            </a:cxn>
            <a:cxn ang="10800000">
              <a:pos x="l" y="y1"/>
            </a:cxn>
            <a:cxn ang="16200000">
              <a:pos x="x1" y="ty"/>
            </a:cxn>
          </a:cxnLst>
          <a:rect l="l" t="t" r="r" b="b"/>
          <a:pathLst>
            <a:path stroke="0" extrusionOk="0">
              <a:moveTo>
                <a:pt x="l" y="ry"/>
              </a:moveTo>
              <a:arcTo wR="wr" hR="ry" stAng="10800000" swAng="-10800000"/>
              <a:lnTo>
                <a:pt x="r" y="y4"/>
              </a:lnTo>
              <a:arcTo wR="wr" hR="ry" stAng="0" swAng="10800000"/>
              <a:close/>
            </a:path>
            <a:path fill="lighten" stroke="0" extrusionOk="0">
              <a:moveTo>
                <a:pt x="l" y="ry"/>
              </a:moveTo>
              <a:arcTo wR="wr" hR="ry" stAng="10800000" swAng="10800000"/>
              <a:arcTo wR="wr" hR="ry" stAng="0" swAng="10800000"/>
              <a:close/>
            </a:path>
            <a:path fill="none" extrusionOk="0">
              <a:moveTo>
                <a:pt x="r" y="ry"/>
              </a:moveTo>
              <a:arcTo wR="wr" hR="ry" stAng="0" swAng="10800000"/>
              <a:arcTo wR="wr" hR="ry" stAng="10800000" swAng="10800000"/>
              <a:lnTo>
                <a:pt x="r" y="y4"/>
              </a:lnTo>
              <a:arcTo wR="wr" hR="ry" stAng="0" swAng="10800000"/>
              <a:lnTo>
                <a:pt x="l" y="ry"/>
              </a:lnTo>
            </a:path>
          </a:pathLst>
        </a:custGeom>
        <a:solidFill>
          <a:srgbClr val="E3F5EF"/>
        </a:solidFill>
        <a:ln w="15875" cap="flat">
          <a:solidFill>
            <a:srgbClr val="247966"/>
          </a:solidFill>
          <a:round/>
        </a:ln>
      </xdr:spPr>
      <xdr:txBody>
        <a:bodyPr vertOverflow="overflow" horzOverflow="overflow" wrap="square" lIns="25400" tIns="76200" rIns="25400" bIns="25400" rtlCol="0" anchor="ctr">
          <a:noAutofit/>
        </a:bodyPr>
        <a:lstStyle/>
        <a:p>
          <a:pPr algn="ctr">
            <a:lnSpc>
              <a:spcPct val="95000"/>
            </a:lnSpc>
          </a:pPr>
          <a:r>
            <a:rPr lang="ja-JP" altLang="en-US" sz="850" b="1" dirty="0">
              <a:solidFill>
                <a:srgbClr val="262626"/>
              </a:solidFill>
              <a:latin typeface="Meiryo UI"/>
              <a:ea typeface="Meiryo UI"/>
              <a:cs typeface="Meiryo UI"/>
            </a:rPr>
            <a:t>DB</a:t>
          </a:r>
          <a:endParaRPr lang="ja-JP" altLang="en-US" sz="850" dirty="0">
            <a:latin typeface="Meiryo UI"/>
            <a:ea typeface="Meiryo UI"/>
          </a:endParaRPr>
        </a:p>
        <a:p>
          <a:pPr algn="ctr">
            <a:lnSpc>
              <a:spcPct val="95000"/>
            </a:lnSpc>
            <a:spcBef>
              <a:spcPts val="50"/>
            </a:spcBef>
          </a:pPr>
          <a:r>
            <a:rPr lang="ja-JP" altLang="en-US" sz="700" b="0" dirty="0">
              <a:solidFill>
                <a:srgbClr val="595959"/>
              </a:solidFill>
              <a:latin typeface="Meiryo UI"/>
              <a:ea typeface="Meiryo UI"/>
              <a:cs typeface="Meiryo UI"/>
            </a:rPr>
            <a:t>ストレージ</a:t>
          </a:r>
          <a:endParaRPr lang="ja-JP" altLang="en-US" sz="700" dirty="0">
            <a:latin typeface="Meiryo UI"/>
            <a:ea typeface="Meiryo UI"/>
          </a:endParaRPr>
        </a:p>
      </xdr:txBody>
    </xdr:sp>
    <xdr:clientData/>
  </xdr:twoCellAnchor>
  <xdr:twoCellAnchor editAs="oneCell">
    <xdr:from>
      <xdr:col>100</xdr:col>
      <xdr:colOff>0</xdr:colOff>
      <xdr:row>16</xdr:row>
      <xdr:rowOff>0</xdr:rowOff>
    </xdr:from>
    <xdr:to>
      <xdr:col>104</xdr:col>
      <xdr:colOff>0</xdr:colOff>
      <xdr:row>20</xdr:row>
      <xdr:rowOff>0</xdr:rowOff>
    </xdr:to>
    <xdr:sp macro="" textlink="">
      <xdr:nvSpPr>
        <xdr:cNvPr id="84" name="ノード: 円・標準（ルートB）">
          <a:extLst>
            <a:ext uri="{FF2B5EF4-FFF2-40B4-BE49-F238E27FC236}">
              <a16:creationId xmlns:a16="http://schemas.microsoft.com/office/drawing/2014/main" id="{00000000-0008-0000-0200-000054000000}"/>
            </a:ext>
          </a:extLst>
        </xdr:cNvPr>
        <xdr:cNvSpPr/>
      </xdr:nvSpPr>
      <xdr:spPr>
        <a:xfrm>
          <a:off x="19050000" y="3048000"/>
          <a:ext cx="762000" cy="762000"/>
        </a:xfrm>
        <a:custGeom>
          <a:avLst/>
          <a:gdLst>
            <a:gd name="wr" fmla="*/ w 1 2"/>
            <a:gd name="hr" fmla="*/ h 1 2"/>
            <a:gd name="dx0" fmla="sin wr 0"/>
            <a:gd name="dy0" fmla="cos hr 0"/>
            <a:gd name="px0" fmla="+- hc dx0 0"/>
            <a:gd name="py0" fmla="+- vc 0 dy0"/>
            <a:gd name="dx1" fmla="sin wr 1800000"/>
            <a:gd name="dy1" fmla="cos hr 1800000"/>
            <a:gd name="px1" fmla="+- hc dx1 0"/>
            <a:gd name="py1" fmla="+- vc 0 dy1"/>
            <a:gd name="dx2" fmla="sin wr 3600000"/>
            <a:gd name="dy2" fmla="cos hr 3600000"/>
            <a:gd name="px2" fmla="+- hc dx2 0"/>
            <a:gd name="py2" fmla="+- vc 0 dy2"/>
            <a:gd name="dx3" fmla="sin wr 5400000"/>
            <a:gd name="dy3" fmla="cos hr 5400000"/>
            <a:gd name="px3" fmla="+- hc dx3 0"/>
            <a:gd name="py3" fmla="+- vc 0 dy3"/>
            <a:gd name="dx4" fmla="sin wr 7200000"/>
            <a:gd name="dy4" fmla="cos hr 7200000"/>
            <a:gd name="px4" fmla="+- hc dx4 0"/>
            <a:gd name="py4" fmla="+- vc 0 dy4"/>
            <a:gd name="dx5" fmla="sin wr 9000000"/>
            <a:gd name="dy5" fmla="cos hr 9000000"/>
            <a:gd name="px5" fmla="+- hc dx5 0"/>
            <a:gd name="py5" fmla="+- vc 0 dy5"/>
            <a:gd name="dx6" fmla="sin wr 10800000"/>
            <a:gd name="dy6" fmla="cos hr 10800000"/>
            <a:gd name="px6" fmla="+- hc dx6 0"/>
            <a:gd name="py6" fmla="+- vc 0 dy6"/>
            <a:gd name="dx7" fmla="sin wr 12600000"/>
            <a:gd name="dy7" fmla="cos hr 12600000"/>
            <a:gd name="px7" fmla="+- hc dx7 0"/>
            <a:gd name="py7" fmla="+- vc 0 dy7"/>
            <a:gd name="dx8" fmla="sin wr 14400000"/>
            <a:gd name="dy8" fmla="cos hr 14400000"/>
            <a:gd name="px8" fmla="+- hc dx8 0"/>
            <a:gd name="py8" fmla="+- vc 0 dy8"/>
            <a:gd name="dx9" fmla="sin wr 16200000"/>
            <a:gd name="dy9" fmla="cos hr 16200000"/>
            <a:gd name="px9" fmla="+- hc dx9 0"/>
            <a:gd name="py9" fmla="+- vc 0 dy9"/>
            <a:gd name="dx10" fmla="sin wr 18000000"/>
            <a:gd name="dy10" fmla="cos hr 18000000"/>
            <a:gd name="px10" fmla="+- hc dx10 0"/>
            <a:gd name="py10" fmla="+- vc 0 dy10"/>
            <a:gd name="dx11" fmla="sin wr 19800000"/>
            <a:gd name="dy11" fmla="cos hr 19800000"/>
            <a:gd name="px11" fmla="+- hc dx11 0"/>
            <a:gd name="py11" fmla="+- vc 0 dy11"/>
          </a:gdLst>
          <a:ahLst/>
          <a:cxnLst>
            <a:cxn ang="16200000">
              <a:pos x="px0" y="py0"/>
            </a:cxn>
            <a:cxn ang="16200000">
              <a:pos x="px1" y="py1"/>
            </a:cxn>
            <a:cxn ang="0">
              <a:pos x="px2" y="py2"/>
            </a:cxn>
            <a:cxn ang="0">
              <a:pos x="px3" y="py3"/>
            </a:cxn>
            <a:cxn ang="0">
              <a:pos x="px4" y="py4"/>
            </a:cxn>
            <a:cxn ang="5400000">
              <a:pos x="px5" y="py5"/>
            </a:cxn>
            <a:cxn ang="5400000">
              <a:pos x="px6" y="py6"/>
            </a:cxn>
            <a:cxn ang="5400000">
              <a:pos x="px7" y="py7"/>
            </a:cxn>
            <a:cxn ang="10800000">
              <a:pos x="px8" y="py8"/>
            </a:cxn>
            <a:cxn ang="10800000">
              <a:pos x="px9" y="py9"/>
            </a:cxn>
            <a:cxn ang="10800000">
              <a:pos x="px10" y="py10"/>
            </a:cxn>
            <a:cxn ang="16200000">
              <a:pos x="px11" y="py11"/>
            </a:cxn>
          </a:cxnLst>
          <a:rect l="l" t="t" r="r" b="b"/>
          <a:pathLst>
            <a:path>
              <a:moveTo>
                <a:pt x="l" y="vc"/>
              </a:moveTo>
              <a:arcTo wR="wr" hR="hr" stAng="10800000" swAng="21600000"/>
              <a:close/>
            </a:path>
          </a:pathLst>
        </a:custGeom>
        <a:solidFill>
          <a:srgbClr val="E3F5EF"/>
        </a:solidFill>
        <a:ln w="15875" cap="flat">
          <a:solidFill>
            <a:srgbClr val="247966"/>
          </a:solidFill>
          <a:round/>
        </a:ln>
      </xdr:spPr>
      <xdr:txBody>
        <a:bodyPr vertOverflow="overflow" horzOverflow="overflow" wrap="square" lIns="38100" tIns="19050" rIns="38100" bIns="19050" rtlCol="0" anchor="ctr">
          <a:noAutofit/>
        </a:bodyPr>
        <a:lstStyle/>
        <a:p>
          <a:pPr algn="ctr">
            <a:lnSpc>
              <a:spcPct val="95000"/>
            </a:lnSpc>
          </a:pPr>
          <a:r>
            <a:rPr lang="ja-JP" altLang="en-US" sz="850" b="1" dirty="0">
              <a:solidFill>
                <a:srgbClr val="262626"/>
              </a:solidFill>
              <a:latin typeface="Meiryo UI"/>
              <a:ea typeface="Meiryo UI"/>
              <a:cs typeface="Meiryo UI"/>
            </a:rPr>
            <a:t>利用者</a:t>
          </a:r>
          <a:endParaRPr lang="ja-JP" altLang="en-US" sz="850" dirty="0">
            <a:latin typeface="Meiryo UI"/>
            <a:ea typeface="Meiryo UI"/>
          </a:endParaRPr>
        </a:p>
      </xdr:txBody>
    </xdr:sp>
    <xdr:clientData/>
  </xdr:twoCellAnchor>
  <xdr:twoCellAnchor editAs="oneCell">
    <xdr:from>
      <xdr:col>96</xdr:col>
      <xdr:colOff>0</xdr:colOff>
      <xdr:row>21</xdr:row>
      <xdr:rowOff>0</xdr:rowOff>
    </xdr:from>
    <xdr:to>
      <xdr:col>104</xdr:col>
      <xdr:colOff>0</xdr:colOff>
      <xdr:row>25</xdr:row>
      <xdr:rowOff>0</xdr:rowOff>
    </xdr:to>
    <xdr:sp macro="" textlink="">
      <xdr:nvSpPr>
        <xdr:cNvPr id="85" name="ノード: カプセル・標準（ルートB）">
          <a:extLst>
            <a:ext uri="{FF2B5EF4-FFF2-40B4-BE49-F238E27FC236}">
              <a16:creationId xmlns:a16="http://schemas.microsoft.com/office/drawing/2014/main" id="{00000000-0008-0000-0200-000055000000}"/>
            </a:ext>
          </a:extLst>
        </xdr:cNvPr>
        <xdr:cNvSpPr/>
      </xdr:nvSpPr>
      <xdr:spPr>
        <a:xfrm>
          <a:off x="18288000" y="4000500"/>
          <a:ext cx="1524000" cy="762000"/>
        </a:xfrm>
        <a:custGeom>
          <a:avLst/>
          <a:gdLst>
            <a:gd name="x1" fmla="*/ w 1 4"/>
            <a:gd name="x2" fmla="*/ w 1 2"/>
            <a:gd name="x3" fmla="*/ w 3 4"/>
            <a:gd name="y1" fmla="*/ h 1 4"/>
            <a:gd name="y2" fmla="*/ h 1 2"/>
            <a:gd name="y3" fmla="*/ h 3 4"/>
            <a:gd name="smin" fmla="min w h"/>
            <a:gd name="rr" fmla="*/ smin 1 2"/>
            <a:gd name="rx" fmla="+- r 0 rr"/>
            <a:gd name="k" fmla="*/ rr 13397 100000"/>
            <a:gd name="rk" fmla="+- r 0 k"/>
          </a:gdLst>
          <a:ahLst/>
          <a:cxnLst>
            <a:cxn ang="16200000">
              <a:pos x="x2" y="t"/>
            </a:cxn>
            <a:cxn ang="16200000">
              <a:pos x="x3" y="t"/>
            </a:cxn>
            <a:cxn ang="0">
              <a:pos x="rk" y="y1"/>
            </a:cxn>
            <a:cxn ang="0">
              <a:pos x="r" y="y2"/>
            </a:cxn>
            <a:cxn ang="0">
              <a:pos x="rk" y="y3"/>
            </a:cxn>
            <a:cxn ang="5400000">
              <a:pos x="x3" y="b"/>
            </a:cxn>
            <a:cxn ang="5400000">
              <a:pos x="x2" y="b"/>
            </a:cxn>
            <a:cxn ang="5400000">
              <a:pos x="x1" y="b"/>
            </a:cxn>
            <a:cxn ang="10800000">
              <a:pos x="k" y="y3"/>
            </a:cxn>
            <a:cxn ang="10800000">
              <a:pos x="l" y="y2"/>
            </a:cxn>
            <a:cxn ang="10800000">
              <a:pos x="k" y="y1"/>
            </a:cxn>
            <a:cxn ang="16200000">
              <a:pos x="x1" y="t"/>
            </a:cxn>
          </a:cxnLst>
          <a:rect l="l" t="t" r="r" b="b"/>
          <a:pathLst>
            <a:path>
              <a:moveTo>
                <a:pt x="rr" y="t"/>
              </a:moveTo>
              <a:lnTo>
                <a:pt x="rx" y="t"/>
              </a:lnTo>
              <a:arcTo wR="rr" hR="rr" stAng="16200000" swAng="10800000"/>
              <a:lnTo>
                <a:pt x="rr" y="b"/>
              </a:lnTo>
              <a:arcTo wR="rr" hR="rr" stAng="5400000" swAng="10800000"/>
              <a:close/>
            </a:path>
          </a:pathLst>
        </a:custGeom>
        <a:solidFill>
          <a:srgbClr val="E3F5EF"/>
        </a:solidFill>
        <a:ln w="15875" cap="flat">
          <a:solidFill>
            <a:srgbClr val="247966"/>
          </a:solidFill>
          <a:round/>
        </a:ln>
      </xdr:spPr>
      <xdr:txBody>
        <a:bodyPr vertOverflow="overflow" horzOverflow="overflow" wrap="square" lIns="101600" tIns="12700" rIns="101600" bIns="12700" rtlCol="0" anchor="ctr">
          <a:noAutofit/>
        </a:bodyPr>
        <a:lstStyle/>
        <a:p>
          <a:pPr algn="ctr">
            <a:lnSpc>
              <a:spcPct val="95000"/>
            </a:lnSpc>
          </a:pPr>
          <a:r>
            <a:rPr lang="ja-JP" altLang="en-US" sz="950" b="1" dirty="0">
              <a:solidFill>
                <a:srgbClr val="262626"/>
              </a:solidFill>
              <a:latin typeface="Meiryo UI"/>
              <a:ea typeface="Meiryo UI"/>
              <a:cs typeface="Meiryo UI"/>
            </a:rPr>
            <a:t>API・キュー</a:t>
          </a:r>
          <a:endParaRPr lang="ja-JP" altLang="en-US" sz="950" dirty="0">
            <a:latin typeface="Meiryo UI"/>
            <a:ea typeface="Meiryo UI"/>
          </a:endParaRPr>
        </a:p>
      </xdr:txBody>
    </xdr:sp>
    <xdr:clientData/>
  </xdr:twoCellAnchor>
  <xdr:twoCellAnchor editAs="oneCell">
    <xdr:from>
      <xdr:col>96</xdr:col>
      <xdr:colOff>0</xdr:colOff>
      <xdr:row>27</xdr:row>
      <xdr:rowOff>0</xdr:rowOff>
    </xdr:from>
    <xdr:to>
      <xdr:col>104</xdr:col>
      <xdr:colOff>0</xdr:colOff>
      <xdr:row>27</xdr:row>
      <xdr:rowOff>0</xdr:rowOff>
    </xdr:to>
    <xdr:cxnSp macro="">
      <xdr:nvCxnSpPr>
        <xdr:cNvPr id="86" name="線: オンライン連携・直線（ルートB）">
          <a:extLst>
            <a:ext uri="{FF2B5EF4-FFF2-40B4-BE49-F238E27FC236}">
              <a16:creationId xmlns:a16="http://schemas.microsoft.com/office/drawing/2014/main" id="{00000000-0008-0000-0200-000056000000}"/>
            </a:ext>
          </a:extLst>
        </xdr:cNvPr>
        <xdr:cNvCxnSpPr/>
      </xdr:nvCxnSpPr>
      <xdr:spPr>
        <a:xfrm>
          <a:off x="18288000" y="5143500"/>
          <a:ext cx="1524000" cy="0"/>
        </a:xfrm>
        <a:prstGeom prst="straightConnector1">
          <a:avLst/>
        </a:prstGeom>
        <a:ln w="19050" cap="flat">
          <a:solidFill>
            <a:srgbClr val="247966"/>
          </a:solidFill>
          <a:round/>
          <a:tailEnd type="triangle" w="med" len="med"/>
        </a:ln>
      </xdr:spPr>
    </xdr:cxnSp>
    <xdr:clientData/>
  </xdr:twoCellAnchor>
  <xdr:twoCellAnchor editAs="oneCell">
    <xdr:from>
      <xdr:col>96</xdr:col>
      <xdr:colOff>0</xdr:colOff>
      <xdr:row>28</xdr:row>
      <xdr:rowOff>0</xdr:rowOff>
    </xdr:from>
    <xdr:to>
      <xdr:col>104</xdr:col>
      <xdr:colOff>0</xdr:colOff>
      <xdr:row>28</xdr:row>
      <xdr:rowOff>0</xdr:rowOff>
    </xdr:to>
    <xdr:cxnSp macro="">
      <xdr:nvCxnSpPr>
        <xdr:cNvPr id="87" name="線: バッチ・ファイル・直線（ルートB）">
          <a:extLst>
            <a:ext uri="{FF2B5EF4-FFF2-40B4-BE49-F238E27FC236}">
              <a16:creationId xmlns:a16="http://schemas.microsoft.com/office/drawing/2014/main" id="{00000000-0008-0000-0200-000057000000}"/>
            </a:ext>
          </a:extLst>
        </xdr:cNvPr>
        <xdr:cNvCxnSpPr/>
      </xdr:nvCxnSpPr>
      <xdr:spPr>
        <a:xfrm>
          <a:off x="18288000" y="5334000"/>
          <a:ext cx="1524000" cy="0"/>
        </a:xfrm>
        <a:prstGeom prst="straightConnector1">
          <a:avLst/>
        </a:prstGeom>
        <a:ln w="19050" cap="flat">
          <a:solidFill>
            <a:srgbClr val="247966"/>
          </a:solidFill>
          <a:prstDash val="dash"/>
          <a:round/>
          <a:tailEnd type="triangle" w="med" len="med"/>
        </a:ln>
      </xdr:spPr>
    </xdr:cxnSp>
    <xdr:clientData/>
  </xdr:twoCellAnchor>
  <xdr:twoCellAnchor editAs="oneCell">
    <xdr:from>
      <xdr:col>96</xdr:col>
      <xdr:colOff>0</xdr:colOff>
      <xdr:row>29</xdr:row>
      <xdr:rowOff>0</xdr:rowOff>
    </xdr:from>
    <xdr:to>
      <xdr:col>104</xdr:col>
      <xdr:colOff>0</xdr:colOff>
      <xdr:row>29</xdr:row>
      <xdr:rowOff>0</xdr:rowOff>
    </xdr:to>
    <xdr:cxnSp macro="">
      <xdr:nvCxnSpPr>
        <xdr:cNvPr id="88" name="線: 監視・運用・直線（ルートB）">
          <a:extLst>
            <a:ext uri="{FF2B5EF4-FFF2-40B4-BE49-F238E27FC236}">
              <a16:creationId xmlns:a16="http://schemas.microsoft.com/office/drawing/2014/main" id="{00000000-0008-0000-0200-000058000000}"/>
            </a:ext>
          </a:extLst>
        </xdr:cNvPr>
        <xdr:cNvCxnSpPr/>
      </xdr:nvCxnSpPr>
      <xdr:spPr>
        <a:xfrm>
          <a:off x="18288000" y="5524500"/>
          <a:ext cx="1524000" cy="0"/>
        </a:xfrm>
        <a:prstGeom prst="straightConnector1">
          <a:avLst/>
        </a:prstGeom>
        <a:ln w="12700" cap="flat">
          <a:solidFill>
            <a:srgbClr val="247966"/>
          </a:solidFill>
          <a:prstDash val="sysDot"/>
          <a:round/>
          <a:tailEnd type="triangle" w="med" len="med"/>
        </a:ln>
      </xdr:spPr>
    </xdr:cxnSp>
    <xdr:clientData/>
  </xdr:twoCellAnchor>
  <xdr:twoCellAnchor editAs="oneCell">
    <xdr:from>
      <xdr:col>96</xdr:col>
      <xdr:colOff>0</xdr:colOff>
      <xdr:row>30</xdr:row>
      <xdr:rowOff>0</xdr:rowOff>
    </xdr:from>
    <xdr:to>
      <xdr:col>104</xdr:col>
      <xdr:colOff>0</xdr:colOff>
      <xdr:row>32</xdr:row>
      <xdr:rowOff>0</xdr:rowOff>
    </xdr:to>
    <xdr:cxnSp macro="">
      <xdr:nvCxnSpPr>
        <xdr:cNvPr id="89" name="線: オンライン連携・カギ線（ルートB）">
          <a:extLst>
            <a:ext uri="{FF2B5EF4-FFF2-40B4-BE49-F238E27FC236}">
              <a16:creationId xmlns:a16="http://schemas.microsoft.com/office/drawing/2014/main" id="{00000000-0008-0000-0200-000059000000}"/>
            </a:ext>
          </a:extLst>
        </xdr:cNvPr>
        <xdr:cNvCxnSpPr/>
      </xdr:nvCxnSpPr>
      <xdr:spPr>
        <a:xfrm>
          <a:off x="18288000" y="5715000"/>
          <a:ext cx="1524000" cy="381000"/>
        </a:xfrm>
        <a:prstGeom prst="bentConnector3">
          <a:avLst/>
        </a:prstGeom>
        <a:ln w="19050" cap="flat">
          <a:solidFill>
            <a:srgbClr val="247966"/>
          </a:solidFill>
          <a:round/>
          <a:tailEnd type="triangle" w="med" len="med"/>
        </a:ln>
      </xdr:spPr>
    </xdr:cxnSp>
    <xdr:clientData/>
  </xdr:twoCellAnchor>
  <xdr:twoCellAnchor editAs="oneCell">
    <xdr:from>
      <xdr:col>96</xdr:col>
      <xdr:colOff>0</xdr:colOff>
      <xdr:row>34</xdr:row>
      <xdr:rowOff>0</xdr:rowOff>
    </xdr:from>
    <xdr:to>
      <xdr:col>104</xdr:col>
      <xdr:colOff>0</xdr:colOff>
      <xdr:row>38</xdr:row>
      <xdr:rowOff>0</xdr:rowOff>
    </xdr:to>
    <xdr:grpSp>
      <xdr:nvGrpSpPr>
        <xdr:cNvPr id="92" name="コメント: ポイント（ルートB）">
          <a:extLst>
            <a:ext uri="{FF2B5EF4-FFF2-40B4-BE49-F238E27FC236}">
              <a16:creationId xmlns:a16="http://schemas.microsoft.com/office/drawing/2014/main" id="{00000000-0008-0000-0200-00005C000000}"/>
            </a:ext>
          </a:extLst>
        </xdr:cNvPr>
        <xdr:cNvGrpSpPr/>
      </xdr:nvGrpSpPr>
      <xdr:grpSpPr>
        <a:xfrm>
          <a:off x="18288000" y="6477000"/>
          <a:ext cx="1524000" cy="762000"/>
          <a:chOff x="18288000" y="6477000"/>
          <a:chExt cx="1524000" cy="762000"/>
        </a:xfrm>
      </xdr:grpSpPr>
      <xdr:sp macro="" textlink="">
        <xdr:nvSpPr>
          <xdr:cNvPr id="90" name="本文">
            <a:extLst>
              <a:ext uri="{FF2B5EF4-FFF2-40B4-BE49-F238E27FC236}">
                <a16:creationId xmlns:a16="http://schemas.microsoft.com/office/drawing/2014/main" id="{00000000-0008-0000-0200-00005A000000}"/>
              </a:ext>
            </a:extLst>
          </xdr:cNvPr>
          <xdr:cNvSpPr/>
        </xdr:nvSpPr>
        <xdr:spPr>
          <a:xfrm>
            <a:off x="18288000" y="6477000"/>
            <a:ext cx="1524000" cy="762000"/>
          </a:xfrm>
          <a:custGeom>
            <a:avLst/>
            <a:gdLst>
              <a:gd name="x1" fmla="*/ w 1 4"/>
              <a:gd name="x2" fmla="*/ w 1 2"/>
              <a:gd name="x3" fmla="*/ w 3 4"/>
              <a:gd name="y1" fmla="*/ h 1 4"/>
              <a:gd name="y2" fmla="*/ h 1 2"/>
              <a:gd name="y3" fmla="*/ h 3 4"/>
              <a:gd name="smin" fmla="min w h"/>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r" y="t"/>
                </a:lnTo>
                <a:lnTo>
                  <a:pt x="r" y="b"/>
                </a:lnTo>
                <a:lnTo>
                  <a:pt x="l" y="b"/>
                </a:lnTo>
                <a:close/>
              </a:path>
            </a:pathLst>
          </a:custGeom>
          <a:solidFill>
            <a:srgbClr val="F1FAF7"/>
          </a:solidFill>
          <a:ln w="9525" cap="flat">
            <a:solidFill>
              <a:srgbClr val="B0DCCF"/>
            </a:solidFill>
            <a:round/>
          </a:ln>
        </xdr:spPr>
        <xdr:txBody>
          <a:bodyPr vertOverflow="overflow" horzOverflow="overflow" wrap="square" lIns="76200" tIns="228600" rIns="76200" bIns="38100" rtlCol="0" anchor="t">
            <a:noAutofit/>
          </a:bodyPr>
          <a:lstStyle/>
          <a:p>
            <a:pPr algn="l">
              <a:lnSpc>
                <a:spcPct val="100000"/>
              </a:lnSpc>
            </a:pPr>
            <a:r>
              <a:rPr lang="ja-JP" altLang="en-US" sz="800" b="0" dirty="0">
                <a:solidFill>
                  <a:srgbClr val="404040"/>
                </a:solidFill>
                <a:latin typeface="Meiryo UI"/>
                <a:ea typeface="Meiryo UI"/>
                <a:cs typeface="Meiryo UI"/>
              </a:rPr>
              <a:t>ポイントを記入</a:t>
            </a:r>
            <a:endParaRPr lang="ja-JP" altLang="en-US" sz="800" dirty="0">
              <a:latin typeface="Meiryo UI"/>
              <a:ea typeface="Meiryo UI"/>
            </a:endParaRPr>
          </a:p>
        </xdr:txBody>
      </xdr:sp>
      <xdr:sp macro="" textlink="">
        <xdr:nvSpPr>
          <xdr:cNvPr id="91" name="見出し">
            <a:extLst>
              <a:ext uri="{FF2B5EF4-FFF2-40B4-BE49-F238E27FC236}">
                <a16:creationId xmlns:a16="http://schemas.microsoft.com/office/drawing/2014/main" id="{00000000-0008-0000-0200-00005B000000}"/>
              </a:ext>
            </a:extLst>
          </xdr:cNvPr>
          <xdr:cNvSpPr/>
        </xdr:nvSpPr>
        <xdr:spPr>
          <a:xfrm>
            <a:off x="18288000" y="6477000"/>
            <a:ext cx="1524000" cy="190500"/>
          </a:xfrm>
          <a:custGeom>
            <a:avLst/>
            <a:gdLst>
              <a:gd name="x1" fmla="*/ w 1 4"/>
              <a:gd name="x2" fmla="*/ w 1 2"/>
              <a:gd name="x3" fmla="*/ w 3 4"/>
              <a:gd name="y1" fmla="*/ h 1 4"/>
              <a:gd name="y2" fmla="*/ h 1 2"/>
              <a:gd name="y3" fmla="*/ h 3 4"/>
              <a:gd name="smin" fmla="min w h"/>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r" y="t"/>
                </a:lnTo>
                <a:lnTo>
                  <a:pt x="r" y="b"/>
                </a:lnTo>
                <a:lnTo>
                  <a:pt x="l" y="b"/>
                </a:lnTo>
                <a:close/>
              </a:path>
            </a:pathLst>
          </a:custGeom>
          <a:solidFill>
            <a:srgbClr val="247966"/>
          </a:solidFill>
          <a:ln w="9525" cap="flat">
            <a:solidFill>
              <a:srgbClr val="247966"/>
            </a:solidFill>
            <a:round/>
          </a:ln>
        </xdr:spPr>
        <xdr:txBody>
          <a:bodyPr vertOverflow="overflow" horzOverflow="overflow" wrap="none" lIns="76200" tIns="0" rIns="76200" bIns="0" rtlCol="0" anchor="ctr">
            <a:noAutofit/>
          </a:bodyPr>
          <a:lstStyle/>
          <a:p>
            <a:pPr algn="l"/>
            <a:r>
              <a:rPr lang="ja-JP" altLang="en-US" sz="750" b="1" dirty="0">
                <a:solidFill>
                  <a:srgbClr val="FFFFFF"/>
                </a:solidFill>
                <a:latin typeface="Meiryo UI"/>
                <a:ea typeface="Meiryo UI"/>
                <a:cs typeface="Meiryo UI"/>
              </a:rPr>
              <a:t>POINT</a:t>
            </a:r>
            <a:endParaRPr lang="ja-JP" altLang="en-US" sz="800" dirty="0">
              <a:latin typeface="Meiryo UI"/>
              <a:ea typeface="Meiryo UI"/>
            </a:endParaRPr>
          </a:p>
        </xdr:txBody>
      </xdr:sp>
    </xdr:grpSp>
    <xdr:clientData/>
  </xdr:twoCellAnchor>
  <xdr:twoCellAnchor editAs="oneCell">
    <xdr:from>
      <xdr:col>96</xdr:col>
      <xdr:colOff>0</xdr:colOff>
      <xdr:row>39</xdr:row>
      <xdr:rowOff>0</xdr:rowOff>
    </xdr:from>
    <xdr:to>
      <xdr:col>104</xdr:col>
      <xdr:colOff>0</xdr:colOff>
      <xdr:row>42</xdr:row>
      <xdr:rowOff>0</xdr:rowOff>
    </xdr:to>
    <xdr:grpSp>
      <xdr:nvGrpSpPr>
        <xdr:cNvPr id="95" name="コメント: 付記（ルートB）">
          <a:extLst>
            <a:ext uri="{FF2B5EF4-FFF2-40B4-BE49-F238E27FC236}">
              <a16:creationId xmlns:a16="http://schemas.microsoft.com/office/drawing/2014/main" id="{00000000-0008-0000-0200-00005F000000}"/>
            </a:ext>
          </a:extLst>
        </xdr:cNvPr>
        <xdr:cNvGrpSpPr/>
      </xdr:nvGrpSpPr>
      <xdr:grpSpPr>
        <a:xfrm>
          <a:off x="18288000" y="7429500"/>
          <a:ext cx="1524000" cy="571500"/>
          <a:chOff x="18288000" y="7429500"/>
          <a:chExt cx="1524000" cy="571500"/>
        </a:xfrm>
      </xdr:grpSpPr>
      <xdr:sp macro="" textlink="">
        <xdr:nvSpPr>
          <xdr:cNvPr id="93" name="本文">
            <a:extLst>
              <a:ext uri="{FF2B5EF4-FFF2-40B4-BE49-F238E27FC236}">
                <a16:creationId xmlns:a16="http://schemas.microsoft.com/office/drawing/2014/main" id="{00000000-0008-0000-0200-00005D000000}"/>
              </a:ext>
            </a:extLst>
          </xdr:cNvPr>
          <xdr:cNvSpPr/>
        </xdr:nvSpPr>
        <xdr:spPr>
          <a:xfrm>
            <a:off x="18288000" y="7429500"/>
            <a:ext cx="1524000" cy="571500"/>
          </a:xfrm>
          <a:custGeom>
            <a:avLst/>
            <a:gdLst>
              <a:gd name="x1" fmla="*/ w 1 4"/>
              <a:gd name="x2" fmla="*/ w 1 2"/>
              <a:gd name="x3" fmla="*/ w 3 4"/>
              <a:gd name="y1" fmla="*/ h 1 4"/>
              <a:gd name="y2" fmla="*/ h 1 2"/>
              <a:gd name="y3" fmla="*/ h 3 4"/>
              <a:gd name="smin" fmla="min w h"/>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r" y="t"/>
                </a:lnTo>
                <a:lnTo>
                  <a:pt x="r" y="b"/>
                </a:lnTo>
                <a:lnTo>
                  <a:pt x="l" y="b"/>
                </a:lnTo>
                <a:close/>
              </a:path>
            </a:pathLst>
          </a:custGeom>
          <a:solidFill>
            <a:srgbClr val="F1FAF7"/>
          </a:solidFill>
          <a:ln>
            <a:noFill/>
          </a:ln>
        </xdr:spPr>
        <xdr:txBody>
          <a:bodyPr vertOverflow="overflow" horzOverflow="overflow" wrap="square" lIns="114300" tIns="50800" rIns="76200" bIns="38100" rtlCol="0" anchor="t">
            <a:noAutofit/>
          </a:bodyPr>
          <a:lstStyle/>
          <a:p>
            <a:pPr algn="l"/>
            <a:r>
              <a:rPr lang="ja-JP" altLang="en-US" sz="800" b="1" dirty="0">
                <a:solidFill>
                  <a:srgbClr val="005243"/>
                </a:solidFill>
                <a:latin typeface="Meiryo UI"/>
                <a:ea typeface="Meiryo UI"/>
                <a:cs typeface="Meiryo UI"/>
              </a:rPr>
              <a:t>付記</a:t>
            </a:r>
            <a:endParaRPr lang="ja-JP" altLang="en-US" sz="800" dirty="0">
              <a:latin typeface="Meiryo UI"/>
              <a:ea typeface="Meiryo UI"/>
            </a:endParaRPr>
          </a:p>
          <a:p>
            <a:pPr algn="l">
              <a:spcBef>
                <a:spcPts val="100"/>
              </a:spcBef>
            </a:pPr>
            <a:r>
              <a:rPr lang="ja-JP" altLang="en-US" sz="800" b="0" dirty="0">
                <a:solidFill>
                  <a:srgbClr val="404040"/>
                </a:solidFill>
                <a:latin typeface="Meiryo UI"/>
                <a:ea typeface="Meiryo UI"/>
                <a:cs typeface="Meiryo UI"/>
              </a:rPr>
              <a:t>補足を記入</a:t>
            </a:r>
            <a:endParaRPr lang="ja-JP" altLang="en-US" sz="800" dirty="0">
              <a:latin typeface="Meiryo UI"/>
              <a:ea typeface="Meiryo UI"/>
            </a:endParaRPr>
          </a:p>
        </xdr:txBody>
      </xdr:sp>
      <xdr:sp macro="" textlink="">
        <xdr:nvSpPr>
          <xdr:cNvPr id="94" name="左ライン">
            <a:extLst>
              <a:ext uri="{FF2B5EF4-FFF2-40B4-BE49-F238E27FC236}">
                <a16:creationId xmlns:a16="http://schemas.microsoft.com/office/drawing/2014/main" id="{00000000-0008-0000-0200-00005E000000}"/>
              </a:ext>
            </a:extLst>
          </xdr:cNvPr>
          <xdr:cNvSpPr/>
        </xdr:nvSpPr>
        <xdr:spPr>
          <a:xfrm>
            <a:off x="18288000" y="7429500"/>
            <a:ext cx="38100" cy="571500"/>
          </a:xfrm>
          <a:prstGeom prst="rect">
            <a:avLst/>
          </a:prstGeom>
          <a:solidFill>
            <a:srgbClr val="247966"/>
          </a:solidFill>
          <a:ln>
            <a:noFill/>
          </a:ln>
        </xdr:spPr>
        <xdr:txBody>
          <a:bodyPr vertOverflow="overflow" horzOverflow="overflow" wrap="square" lIns="38100" tIns="19050" rIns="38100" bIns="19050" rtlCol="0" anchor="ctr">
            <a:noAutofit/>
          </a:bodyPr>
          <a:lstStyle/>
          <a:p>
            <a:pPr algn="l"/>
            <a:endParaRPr lang="ja-JP" altLang="en-US" sz="600" dirty="0">
              <a:latin typeface="Meiryo UI"/>
              <a:ea typeface="Meiryo UI"/>
            </a:endParaRPr>
          </a:p>
        </xdr:txBody>
      </xdr:sp>
    </xdr:grpSp>
    <xdr:clientData/>
  </xdr:twoCellAnchor>
  <xdr:twoCellAnchor editAs="oneCell">
    <xdr:from>
      <xdr:col>96</xdr:col>
      <xdr:colOff>0</xdr:colOff>
      <xdr:row>43</xdr:row>
      <xdr:rowOff>0</xdr:rowOff>
    </xdr:from>
    <xdr:to>
      <xdr:col>104</xdr:col>
      <xdr:colOff>0</xdr:colOff>
      <xdr:row>45</xdr:row>
      <xdr:rowOff>0</xdr:rowOff>
    </xdr:to>
    <xdr:sp macro="" textlink="">
      <xdr:nvSpPr>
        <xdr:cNvPr id="96" name="コメント: 吹き出し（ルートB）">
          <a:extLst>
            <a:ext uri="{FF2B5EF4-FFF2-40B4-BE49-F238E27FC236}">
              <a16:creationId xmlns:a16="http://schemas.microsoft.com/office/drawing/2014/main" id="{00000000-0008-0000-0200-000060000000}"/>
            </a:ext>
          </a:extLst>
        </xdr:cNvPr>
        <xdr:cNvSpPr/>
      </xdr:nvSpPr>
      <xdr:spPr>
        <a:xfrm>
          <a:off x="18288000" y="8191500"/>
          <a:ext cx="1524000" cy="381000"/>
        </a:xfrm>
        <a:prstGeom prst="wedgeRoundRectCallout">
          <a:avLst>
            <a:gd name="adj1" fmla="val -30000"/>
            <a:gd name="adj2" fmla="val 95000"/>
            <a:gd name="adj3" fmla="val 16667"/>
          </a:avLst>
        </a:prstGeom>
        <a:solidFill>
          <a:srgbClr val="FFFFFF"/>
        </a:solidFill>
        <a:ln w="12700" cap="flat">
          <a:solidFill>
            <a:srgbClr val="247966"/>
          </a:solidFill>
          <a:round/>
        </a:ln>
      </xdr:spPr>
      <xdr:txBody>
        <a:bodyPr vertOverflow="overflow" horzOverflow="overflow" wrap="square" lIns="63500" tIns="25400" rIns="63500" bIns="25400" rtlCol="0" anchor="ctr">
          <a:noAutofit/>
        </a:bodyPr>
        <a:lstStyle/>
        <a:p>
          <a:pPr algn="l"/>
          <a:r>
            <a:rPr lang="ja-JP" altLang="en-US" sz="800" b="0" dirty="0">
              <a:solidFill>
                <a:srgbClr val="404040"/>
              </a:solidFill>
              <a:latin typeface="Meiryo UI"/>
              <a:ea typeface="Meiryo UI"/>
              <a:cs typeface="Meiryo UI"/>
            </a:rPr>
            <a:t>指摘・補足</a:t>
          </a:r>
          <a:endParaRPr lang="ja-JP" altLang="en-US" sz="800" dirty="0">
            <a:latin typeface="Meiryo UI"/>
            <a:ea typeface="Meiryo UI"/>
          </a:endParaRPr>
        </a:p>
      </xdr:txBody>
    </xdr:sp>
    <xdr:clientData/>
  </xdr:twoCellAnchor>
  <xdr:twoCellAnchor editAs="oneCell">
    <xdr:from>
      <xdr:col>96</xdr:col>
      <xdr:colOff>0</xdr:colOff>
      <xdr:row>47</xdr:row>
      <xdr:rowOff>0</xdr:rowOff>
    </xdr:from>
    <xdr:to>
      <xdr:col>98</xdr:col>
      <xdr:colOff>0</xdr:colOff>
      <xdr:row>48</xdr:row>
      <xdr:rowOff>0</xdr:rowOff>
    </xdr:to>
    <xdr:sp macro="" textlink="">
      <xdr:nvSpPr>
        <xdr:cNvPr id="97" name="番号: B1（ルートB）">
          <a:extLst>
            <a:ext uri="{FF2B5EF4-FFF2-40B4-BE49-F238E27FC236}">
              <a16:creationId xmlns:a16="http://schemas.microsoft.com/office/drawing/2014/main" id="{00000000-0008-0000-0200-000061000000}"/>
            </a:ext>
          </a:extLst>
        </xdr:cNvPr>
        <xdr:cNvSpPr/>
      </xdr:nvSpPr>
      <xdr:spPr>
        <a:xfrm>
          <a:off x="18288000" y="8953500"/>
          <a:ext cx="381000" cy="190500"/>
        </a:xfrm>
        <a:prstGeom prst="roundRect">
          <a:avLst>
            <a:gd name="adj" fmla="val 50000"/>
          </a:avLst>
        </a:prstGeom>
        <a:solidFill>
          <a:srgbClr val="247966"/>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B1</a:t>
          </a:r>
          <a:endParaRPr lang="ja-JP" altLang="en-US" sz="750" dirty="0">
            <a:latin typeface="Meiryo UI"/>
            <a:ea typeface="Meiryo UI"/>
          </a:endParaRPr>
        </a:p>
      </xdr:txBody>
    </xdr:sp>
    <xdr:clientData/>
  </xdr:twoCellAnchor>
  <xdr:twoCellAnchor editAs="oneCell">
    <xdr:from>
      <xdr:col>99</xdr:col>
      <xdr:colOff>0</xdr:colOff>
      <xdr:row>47</xdr:row>
      <xdr:rowOff>0</xdr:rowOff>
    </xdr:from>
    <xdr:to>
      <xdr:col>101</xdr:col>
      <xdr:colOff>0</xdr:colOff>
      <xdr:row>48</xdr:row>
      <xdr:rowOff>0</xdr:rowOff>
    </xdr:to>
    <xdr:sp macro="" textlink="">
      <xdr:nvSpPr>
        <xdr:cNvPr id="98" name="番号: B2（ルートB）">
          <a:extLst>
            <a:ext uri="{FF2B5EF4-FFF2-40B4-BE49-F238E27FC236}">
              <a16:creationId xmlns:a16="http://schemas.microsoft.com/office/drawing/2014/main" id="{00000000-0008-0000-0200-000062000000}"/>
            </a:ext>
          </a:extLst>
        </xdr:cNvPr>
        <xdr:cNvSpPr/>
      </xdr:nvSpPr>
      <xdr:spPr>
        <a:xfrm>
          <a:off x="18859500" y="8953500"/>
          <a:ext cx="381000" cy="190500"/>
        </a:xfrm>
        <a:prstGeom prst="roundRect">
          <a:avLst>
            <a:gd name="adj" fmla="val 50000"/>
          </a:avLst>
        </a:prstGeom>
        <a:solidFill>
          <a:srgbClr val="247966"/>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B2</a:t>
          </a:r>
          <a:endParaRPr lang="ja-JP" altLang="en-US" sz="750" dirty="0">
            <a:latin typeface="Meiryo UI"/>
            <a:ea typeface="Meiryo UI"/>
          </a:endParaRPr>
        </a:p>
      </xdr:txBody>
    </xdr:sp>
    <xdr:clientData/>
  </xdr:twoCellAnchor>
  <xdr:twoCellAnchor editAs="oneCell">
    <xdr:from>
      <xdr:col>96</xdr:col>
      <xdr:colOff>0</xdr:colOff>
      <xdr:row>49</xdr:row>
      <xdr:rowOff>0</xdr:rowOff>
    </xdr:from>
    <xdr:to>
      <xdr:col>104</xdr:col>
      <xdr:colOff>0</xdr:colOff>
      <xdr:row>50</xdr:row>
      <xdr:rowOff>0</xdr:rowOff>
    </xdr:to>
    <xdr:sp macro="" textlink="">
      <xdr:nvSpPr>
        <xdr:cNvPr id="99" name="線ラベル（ルートB）">
          <a:extLst>
            <a:ext uri="{FF2B5EF4-FFF2-40B4-BE49-F238E27FC236}">
              <a16:creationId xmlns:a16="http://schemas.microsoft.com/office/drawing/2014/main" id="{00000000-0008-0000-0200-000063000000}"/>
            </a:ext>
          </a:extLst>
        </xdr:cNvPr>
        <xdr:cNvSpPr/>
      </xdr:nvSpPr>
      <xdr:spPr>
        <a:xfrm>
          <a:off x="18288000" y="9334500"/>
          <a:ext cx="1524000" cy="190500"/>
        </a:xfrm>
        <a:prstGeom prst="roundRect">
          <a:avLst>
            <a:gd name="adj" fmla="val 50000"/>
          </a:avLst>
        </a:prstGeom>
        <a:solidFill>
          <a:srgbClr val="FFFFFF"/>
        </a:solidFill>
        <a:ln w="9525" cap="flat">
          <a:solidFill>
            <a:srgbClr val="247966"/>
          </a:solidFill>
          <a:round/>
        </a:ln>
      </xdr:spPr>
      <xdr:txBody>
        <a:bodyPr vertOverflow="overflow" horzOverflow="overflow" wrap="none" lIns="25400" tIns="0" rIns="25400" bIns="0" rtlCol="0" anchor="ctr">
          <a:noAutofit/>
        </a:bodyPr>
        <a:lstStyle/>
        <a:p>
          <a:pPr algn="ctr"/>
          <a:r>
            <a:rPr lang="ja-JP" altLang="en-US" sz="750" b="0" dirty="0">
              <a:solidFill>
                <a:srgbClr val="005243"/>
              </a:solidFill>
              <a:latin typeface="Meiryo UI"/>
              <a:ea typeface="Meiryo UI"/>
              <a:cs typeface="Meiryo UI"/>
            </a:rPr>
            <a:t>HTTPS（REST）</a:t>
          </a:r>
          <a:endParaRPr lang="ja-JP" altLang="en-US" sz="750" dirty="0">
            <a:latin typeface="Meiryo UI"/>
            <a:ea typeface="Meiryo UI"/>
          </a:endParaRPr>
        </a:p>
      </xdr:txBody>
    </xdr:sp>
    <xdr:clientData/>
  </xdr:twoCellAnchor>
  <xdr:twoCellAnchor editAs="oneCell">
    <xdr:from>
      <xdr:col>105</xdr:col>
      <xdr:colOff>0</xdr:colOff>
      <xdr:row>6</xdr:row>
      <xdr:rowOff>0</xdr:rowOff>
    </xdr:from>
    <xdr:to>
      <xdr:col>113</xdr:col>
      <xdr:colOff>0</xdr:colOff>
      <xdr:row>10</xdr:row>
      <xdr:rowOff>0</xdr:rowOff>
    </xdr:to>
    <xdr:sp macro="" textlink="">
      <xdr:nvSpPr>
        <xdr:cNvPr id="100" name="ノード: 角丸・標準（ルートC）">
          <a:extLst>
            <a:ext uri="{FF2B5EF4-FFF2-40B4-BE49-F238E27FC236}">
              <a16:creationId xmlns:a16="http://schemas.microsoft.com/office/drawing/2014/main" id="{00000000-0008-0000-0200-000064000000}"/>
            </a:ext>
          </a:extLst>
        </xdr:cNvPr>
        <xdr:cNvSpPr/>
      </xdr:nvSpPr>
      <xdr:spPr>
        <a:xfrm>
          <a:off x="20002500" y="1143000"/>
          <a:ext cx="1524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FDECE4"/>
        </a:solidFill>
        <a:ln w="15875" cap="flat">
          <a:solidFill>
            <a:srgbClr val="C46B39"/>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262626"/>
              </a:solidFill>
              <a:latin typeface="Meiryo UI"/>
              <a:ea typeface="Meiryo UI"/>
              <a:cs typeface="Meiryo UI"/>
            </a:rPr>
            <a:t>ノード名</a:t>
          </a:r>
          <a:endParaRPr lang="ja-JP" altLang="en-US" sz="950" dirty="0">
            <a:latin typeface="Meiryo UI"/>
            <a:ea typeface="Meiryo UI"/>
          </a:endParaRPr>
        </a:p>
        <a:p>
          <a:pPr algn="ctr">
            <a:lnSpc>
              <a:spcPct val="95000"/>
            </a:lnSpc>
            <a:spcBef>
              <a:spcPts val="50"/>
            </a:spcBef>
          </a:pPr>
          <a:r>
            <a:rPr lang="ja-JP" altLang="en-US" sz="750" b="0" dirty="0">
              <a:solidFill>
                <a:srgbClr val="595959"/>
              </a:solidFill>
              <a:latin typeface="Meiryo UI"/>
              <a:ea typeface="Meiryo UI"/>
              <a:cs typeface="Meiryo UI"/>
            </a:rPr>
            <a:t>役割・概要</a:t>
          </a:r>
          <a:endParaRPr lang="ja-JP" altLang="en-US" sz="750" dirty="0">
            <a:latin typeface="Meiryo UI"/>
            <a:ea typeface="Meiryo UI"/>
          </a:endParaRPr>
        </a:p>
      </xdr:txBody>
    </xdr:sp>
    <xdr:clientData/>
  </xdr:twoCellAnchor>
  <xdr:twoCellAnchor editAs="oneCell">
    <xdr:from>
      <xdr:col>105</xdr:col>
      <xdr:colOff>0</xdr:colOff>
      <xdr:row>11</xdr:row>
      <xdr:rowOff>0</xdr:rowOff>
    </xdr:from>
    <xdr:to>
      <xdr:col>113</xdr:col>
      <xdr:colOff>0</xdr:colOff>
      <xdr:row>15</xdr:row>
      <xdr:rowOff>0</xdr:rowOff>
    </xdr:to>
    <xdr:sp macro="" textlink="">
      <xdr:nvSpPr>
        <xdr:cNvPr id="101" name="ノード: 角丸・強調（ルートC）">
          <a:extLst>
            <a:ext uri="{FF2B5EF4-FFF2-40B4-BE49-F238E27FC236}">
              <a16:creationId xmlns:a16="http://schemas.microsoft.com/office/drawing/2014/main" id="{00000000-0008-0000-0200-000065000000}"/>
            </a:ext>
          </a:extLst>
        </xdr:cNvPr>
        <xdr:cNvSpPr/>
      </xdr:nvSpPr>
      <xdr:spPr>
        <a:xfrm>
          <a:off x="20002500" y="2095500"/>
          <a:ext cx="1524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C46B39"/>
        </a:solidFill>
        <a:ln w="15875" cap="flat">
          <a:solidFill>
            <a:srgbClr val="C46B39"/>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FFFFFF"/>
              </a:solidFill>
              <a:latin typeface="Meiryo UI"/>
              <a:ea typeface="Meiryo UI"/>
              <a:cs typeface="Meiryo UI"/>
            </a:rPr>
            <a:t>接続元</a:t>
          </a:r>
          <a:endParaRPr lang="ja-JP" altLang="en-US" sz="950" dirty="0">
            <a:latin typeface="Meiryo UI"/>
            <a:ea typeface="Meiryo UI"/>
          </a:endParaRPr>
        </a:p>
        <a:p>
          <a:pPr algn="ctr">
            <a:lnSpc>
              <a:spcPct val="95000"/>
            </a:lnSpc>
            <a:spcBef>
              <a:spcPts val="50"/>
            </a:spcBef>
          </a:pPr>
          <a:r>
            <a:rPr lang="ja-JP" altLang="en-US" sz="750" b="0" dirty="0">
              <a:solidFill>
                <a:srgbClr val="FAE2D7"/>
              </a:solidFill>
              <a:latin typeface="Meiryo UI"/>
              <a:ea typeface="Meiryo UI"/>
              <a:cs typeface="Meiryo UI"/>
            </a:rPr>
            <a:t>強調ノード</a:t>
          </a:r>
          <a:endParaRPr lang="ja-JP" altLang="en-US" sz="750" dirty="0">
            <a:latin typeface="Meiryo UI"/>
            <a:ea typeface="Meiryo UI"/>
          </a:endParaRPr>
        </a:p>
      </xdr:txBody>
    </xdr:sp>
    <xdr:clientData/>
  </xdr:twoCellAnchor>
  <xdr:twoCellAnchor editAs="oneCell">
    <xdr:from>
      <xdr:col>105</xdr:col>
      <xdr:colOff>0</xdr:colOff>
      <xdr:row>16</xdr:row>
      <xdr:rowOff>0</xdr:rowOff>
    </xdr:from>
    <xdr:to>
      <xdr:col>109</xdr:col>
      <xdr:colOff>0</xdr:colOff>
      <xdr:row>20</xdr:row>
      <xdr:rowOff>0</xdr:rowOff>
    </xdr:to>
    <xdr:sp macro="" textlink="">
      <xdr:nvSpPr>
        <xdr:cNvPr id="102" name="ノード: 円柱・標準（ルートC）">
          <a:extLst>
            <a:ext uri="{FF2B5EF4-FFF2-40B4-BE49-F238E27FC236}">
              <a16:creationId xmlns:a16="http://schemas.microsoft.com/office/drawing/2014/main" id="{00000000-0008-0000-0200-000066000000}"/>
            </a:ext>
          </a:extLst>
        </xdr:cNvPr>
        <xdr:cNvSpPr/>
      </xdr:nvSpPr>
      <xdr:spPr>
        <a:xfrm>
          <a:off x="20002500" y="3048000"/>
          <a:ext cx="762000" cy="762000"/>
        </a:xfrm>
        <a:custGeom>
          <a:avLst/>
          <a:gdLst>
            <a:gd name="x1" fmla="*/ w 1 4"/>
            <a:gd name="x2" fmla="*/ w 1 2"/>
            <a:gd name="x3" fmla="*/ w 3 4"/>
            <a:gd name="y1" fmla="*/ h 1 4"/>
            <a:gd name="y2" fmla="*/ h 1 2"/>
            <a:gd name="y3" fmla="*/ h 3 4"/>
            <a:gd name="smin" fmla="min w h"/>
            <a:gd name="ry" fmla="*/ smin 1 8"/>
            <a:gd name="wr" fmla="*/ w 1 2"/>
            <a:gd name="ty" fmla="*/ ry 13397 100000"/>
            <a:gd name="by" fmla="+- b 0 ty"/>
            <a:gd name="y4" fmla="+- b 0 ry"/>
            <a:gd name="ry2" fmla="*/ ry 2 1"/>
          </a:gdLst>
          <a:ahLst/>
          <a:cxnLst>
            <a:cxn ang="16200000">
              <a:pos x="x2" y="t"/>
            </a:cxn>
            <a:cxn ang="16200000">
              <a:pos x="x3" y="ty"/>
            </a:cxn>
            <a:cxn ang="0">
              <a:pos x="r" y="y1"/>
            </a:cxn>
            <a:cxn ang="0">
              <a:pos x="r" y="y2"/>
            </a:cxn>
            <a:cxn ang="0">
              <a:pos x="r" y="y3"/>
            </a:cxn>
            <a:cxn ang="5400000">
              <a:pos x="x3" y="by"/>
            </a:cxn>
            <a:cxn ang="5400000">
              <a:pos x="x2" y="b"/>
            </a:cxn>
            <a:cxn ang="5400000">
              <a:pos x="x1" y="by"/>
            </a:cxn>
            <a:cxn ang="10800000">
              <a:pos x="l" y="y3"/>
            </a:cxn>
            <a:cxn ang="10800000">
              <a:pos x="l" y="y2"/>
            </a:cxn>
            <a:cxn ang="10800000">
              <a:pos x="l" y="y1"/>
            </a:cxn>
            <a:cxn ang="16200000">
              <a:pos x="x1" y="ty"/>
            </a:cxn>
          </a:cxnLst>
          <a:rect l="l" t="t" r="r" b="b"/>
          <a:pathLst>
            <a:path stroke="0" extrusionOk="0">
              <a:moveTo>
                <a:pt x="l" y="ry"/>
              </a:moveTo>
              <a:arcTo wR="wr" hR="ry" stAng="10800000" swAng="-10800000"/>
              <a:lnTo>
                <a:pt x="r" y="y4"/>
              </a:lnTo>
              <a:arcTo wR="wr" hR="ry" stAng="0" swAng="10800000"/>
              <a:close/>
            </a:path>
            <a:path fill="lighten" stroke="0" extrusionOk="0">
              <a:moveTo>
                <a:pt x="l" y="ry"/>
              </a:moveTo>
              <a:arcTo wR="wr" hR="ry" stAng="10800000" swAng="10800000"/>
              <a:arcTo wR="wr" hR="ry" stAng="0" swAng="10800000"/>
              <a:close/>
            </a:path>
            <a:path fill="none" extrusionOk="0">
              <a:moveTo>
                <a:pt x="r" y="ry"/>
              </a:moveTo>
              <a:arcTo wR="wr" hR="ry" stAng="0" swAng="10800000"/>
              <a:arcTo wR="wr" hR="ry" stAng="10800000" swAng="10800000"/>
              <a:lnTo>
                <a:pt x="r" y="y4"/>
              </a:lnTo>
              <a:arcTo wR="wr" hR="ry" stAng="0" swAng="10800000"/>
              <a:lnTo>
                <a:pt x="l" y="ry"/>
              </a:lnTo>
            </a:path>
          </a:pathLst>
        </a:custGeom>
        <a:solidFill>
          <a:srgbClr val="FDECE4"/>
        </a:solidFill>
        <a:ln w="15875" cap="flat">
          <a:solidFill>
            <a:srgbClr val="C46B39"/>
          </a:solidFill>
          <a:round/>
        </a:ln>
      </xdr:spPr>
      <xdr:txBody>
        <a:bodyPr vertOverflow="overflow" horzOverflow="overflow" wrap="square" lIns="25400" tIns="76200" rIns="25400" bIns="25400" rtlCol="0" anchor="ctr">
          <a:noAutofit/>
        </a:bodyPr>
        <a:lstStyle/>
        <a:p>
          <a:pPr algn="ctr">
            <a:lnSpc>
              <a:spcPct val="95000"/>
            </a:lnSpc>
          </a:pPr>
          <a:r>
            <a:rPr lang="ja-JP" altLang="en-US" sz="850" b="1" dirty="0">
              <a:solidFill>
                <a:srgbClr val="262626"/>
              </a:solidFill>
              <a:latin typeface="Meiryo UI"/>
              <a:ea typeface="Meiryo UI"/>
              <a:cs typeface="Meiryo UI"/>
            </a:rPr>
            <a:t>DB</a:t>
          </a:r>
          <a:endParaRPr lang="ja-JP" altLang="en-US" sz="850" dirty="0">
            <a:latin typeface="Meiryo UI"/>
            <a:ea typeface="Meiryo UI"/>
          </a:endParaRPr>
        </a:p>
        <a:p>
          <a:pPr algn="ctr">
            <a:lnSpc>
              <a:spcPct val="95000"/>
            </a:lnSpc>
            <a:spcBef>
              <a:spcPts val="50"/>
            </a:spcBef>
          </a:pPr>
          <a:r>
            <a:rPr lang="ja-JP" altLang="en-US" sz="700" b="0" dirty="0">
              <a:solidFill>
                <a:srgbClr val="595959"/>
              </a:solidFill>
              <a:latin typeface="Meiryo UI"/>
              <a:ea typeface="Meiryo UI"/>
              <a:cs typeface="Meiryo UI"/>
            </a:rPr>
            <a:t>ストレージ</a:t>
          </a:r>
          <a:endParaRPr lang="ja-JP" altLang="en-US" sz="700" dirty="0">
            <a:latin typeface="Meiryo UI"/>
            <a:ea typeface="Meiryo UI"/>
          </a:endParaRPr>
        </a:p>
      </xdr:txBody>
    </xdr:sp>
    <xdr:clientData/>
  </xdr:twoCellAnchor>
  <xdr:twoCellAnchor editAs="oneCell">
    <xdr:from>
      <xdr:col>109</xdr:col>
      <xdr:colOff>0</xdr:colOff>
      <xdr:row>16</xdr:row>
      <xdr:rowOff>0</xdr:rowOff>
    </xdr:from>
    <xdr:to>
      <xdr:col>113</xdr:col>
      <xdr:colOff>0</xdr:colOff>
      <xdr:row>20</xdr:row>
      <xdr:rowOff>0</xdr:rowOff>
    </xdr:to>
    <xdr:sp macro="" textlink="">
      <xdr:nvSpPr>
        <xdr:cNvPr id="103" name="ノード: 円・標準（ルートC）">
          <a:extLst>
            <a:ext uri="{FF2B5EF4-FFF2-40B4-BE49-F238E27FC236}">
              <a16:creationId xmlns:a16="http://schemas.microsoft.com/office/drawing/2014/main" id="{00000000-0008-0000-0200-000067000000}"/>
            </a:ext>
          </a:extLst>
        </xdr:cNvPr>
        <xdr:cNvSpPr/>
      </xdr:nvSpPr>
      <xdr:spPr>
        <a:xfrm>
          <a:off x="20764500" y="3048000"/>
          <a:ext cx="762000" cy="762000"/>
        </a:xfrm>
        <a:custGeom>
          <a:avLst/>
          <a:gdLst>
            <a:gd name="wr" fmla="*/ w 1 2"/>
            <a:gd name="hr" fmla="*/ h 1 2"/>
            <a:gd name="dx0" fmla="sin wr 0"/>
            <a:gd name="dy0" fmla="cos hr 0"/>
            <a:gd name="px0" fmla="+- hc dx0 0"/>
            <a:gd name="py0" fmla="+- vc 0 dy0"/>
            <a:gd name="dx1" fmla="sin wr 1800000"/>
            <a:gd name="dy1" fmla="cos hr 1800000"/>
            <a:gd name="px1" fmla="+- hc dx1 0"/>
            <a:gd name="py1" fmla="+- vc 0 dy1"/>
            <a:gd name="dx2" fmla="sin wr 3600000"/>
            <a:gd name="dy2" fmla="cos hr 3600000"/>
            <a:gd name="px2" fmla="+- hc dx2 0"/>
            <a:gd name="py2" fmla="+- vc 0 dy2"/>
            <a:gd name="dx3" fmla="sin wr 5400000"/>
            <a:gd name="dy3" fmla="cos hr 5400000"/>
            <a:gd name="px3" fmla="+- hc dx3 0"/>
            <a:gd name="py3" fmla="+- vc 0 dy3"/>
            <a:gd name="dx4" fmla="sin wr 7200000"/>
            <a:gd name="dy4" fmla="cos hr 7200000"/>
            <a:gd name="px4" fmla="+- hc dx4 0"/>
            <a:gd name="py4" fmla="+- vc 0 dy4"/>
            <a:gd name="dx5" fmla="sin wr 9000000"/>
            <a:gd name="dy5" fmla="cos hr 9000000"/>
            <a:gd name="px5" fmla="+- hc dx5 0"/>
            <a:gd name="py5" fmla="+- vc 0 dy5"/>
            <a:gd name="dx6" fmla="sin wr 10800000"/>
            <a:gd name="dy6" fmla="cos hr 10800000"/>
            <a:gd name="px6" fmla="+- hc dx6 0"/>
            <a:gd name="py6" fmla="+- vc 0 dy6"/>
            <a:gd name="dx7" fmla="sin wr 12600000"/>
            <a:gd name="dy7" fmla="cos hr 12600000"/>
            <a:gd name="px7" fmla="+- hc dx7 0"/>
            <a:gd name="py7" fmla="+- vc 0 dy7"/>
            <a:gd name="dx8" fmla="sin wr 14400000"/>
            <a:gd name="dy8" fmla="cos hr 14400000"/>
            <a:gd name="px8" fmla="+- hc dx8 0"/>
            <a:gd name="py8" fmla="+- vc 0 dy8"/>
            <a:gd name="dx9" fmla="sin wr 16200000"/>
            <a:gd name="dy9" fmla="cos hr 16200000"/>
            <a:gd name="px9" fmla="+- hc dx9 0"/>
            <a:gd name="py9" fmla="+- vc 0 dy9"/>
            <a:gd name="dx10" fmla="sin wr 18000000"/>
            <a:gd name="dy10" fmla="cos hr 18000000"/>
            <a:gd name="px10" fmla="+- hc dx10 0"/>
            <a:gd name="py10" fmla="+- vc 0 dy10"/>
            <a:gd name="dx11" fmla="sin wr 19800000"/>
            <a:gd name="dy11" fmla="cos hr 19800000"/>
            <a:gd name="px11" fmla="+- hc dx11 0"/>
            <a:gd name="py11" fmla="+- vc 0 dy11"/>
          </a:gdLst>
          <a:ahLst/>
          <a:cxnLst>
            <a:cxn ang="16200000">
              <a:pos x="px0" y="py0"/>
            </a:cxn>
            <a:cxn ang="16200000">
              <a:pos x="px1" y="py1"/>
            </a:cxn>
            <a:cxn ang="0">
              <a:pos x="px2" y="py2"/>
            </a:cxn>
            <a:cxn ang="0">
              <a:pos x="px3" y="py3"/>
            </a:cxn>
            <a:cxn ang="0">
              <a:pos x="px4" y="py4"/>
            </a:cxn>
            <a:cxn ang="5400000">
              <a:pos x="px5" y="py5"/>
            </a:cxn>
            <a:cxn ang="5400000">
              <a:pos x="px6" y="py6"/>
            </a:cxn>
            <a:cxn ang="5400000">
              <a:pos x="px7" y="py7"/>
            </a:cxn>
            <a:cxn ang="10800000">
              <a:pos x="px8" y="py8"/>
            </a:cxn>
            <a:cxn ang="10800000">
              <a:pos x="px9" y="py9"/>
            </a:cxn>
            <a:cxn ang="10800000">
              <a:pos x="px10" y="py10"/>
            </a:cxn>
            <a:cxn ang="16200000">
              <a:pos x="px11" y="py11"/>
            </a:cxn>
          </a:cxnLst>
          <a:rect l="l" t="t" r="r" b="b"/>
          <a:pathLst>
            <a:path>
              <a:moveTo>
                <a:pt x="l" y="vc"/>
              </a:moveTo>
              <a:arcTo wR="wr" hR="hr" stAng="10800000" swAng="21600000"/>
              <a:close/>
            </a:path>
          </a:pathLst>
        </a:custGeom>
        <a:solidFill>
          <a:srgbClr val="FDECE4"/>
        </a:solidFill>
        <a:ln w="15875" cap="flat">
          <a:solidFill>
            <a:srgbClr val="C46B39"/>
          </a:solidFill>
          <a:round/>
        </a:ln>
      </xdr:spPr>
      <xdr:txBody>
        <a:bodyPr vertOverflow="overflow" horzOverflow="overflow" wrap="square" lIns="38100" tIns="19050" rIns="38100" bIns="19050" rtlCol="0" anchor="ctr">
          <a:noAutofit/>
        </a:bodyPr>
        <a:lstStyle/>
        <a:p>
          <a:pPr algn="ctr">
            <a:lnSpc>
              <a:spcPct val="95000"/>
            </a:lnSpc>
          </a:pPr>
          <a:r>
            <a:rPr lang="ja-JP" altLang="en-US" sz="850" b="1" dirty="0">
              <a:solidFill>
                <a:srgbClr val="262626"/>
              </a:solidFill>
              <a:latin typeface="Meiryo UI"/>
              <a:ea typeface="Meiryo UI"/>
              <a:cs typeface="Meiryo UI"/>
            </a:rPr>
            <a:t>利用者</a:t>
          </a:r>
          <a:endParaRPr lang="ja-JP" altLang="en-US" sz="850" dirty="0">
            <a:latin typeface="Meiryo UI"/>
            <a:ea typeface="Meiryo UI"/>
          </a:endParaRPr>
        </a:p>
      </xdr:txBody>
    </xdr:sp>
    <xdr:clientData/>
  </xdr:twoCellAnchor>
  <xdr:twoCellAnchor editAs="oneCell">
    <xdr:from>
      <xdr:col>105</xdr:col>
      <xdr:colOff>0</xdr:colOff>
      <xdr:row>21</xdr:row>
      <xdr:rowOff>0</xdr:rowOff>
    </xdr:from>
    <xdr:to>
      <xdr:col>113</xdr:col>
      <xdr:colOff>0</xdr:colOff>
      <xdr:row>25</xdr:row>
      <xdr:rowOff>0</xdr:rowOff>
    </xdr:to>
    <xdr:sp macro="" textlink="">
      <xdr:nvSpPr>
        <xdr:cNvPr id="104" name="ノード: カプセル・標準（ルートC）">
          <a:extLst>
            <a:ext uri="{FF2B5EF4-FFF2-40B4-BE49-F238E27FC236}">
              <a16:creationId xmlns:a16="http://schemas.microsoft.com/office/drawing/2014/main" id="{00000000-0008-0000-0200-000068000000}"/>
            </a:ext>
          </a:extLst>
        </xdr:cNvPr>
        <xdr:cNvSpPr/>
      </xdr:nvSpPr>
      <xdr:spPr>
        <a:xfrm>
          <a:off x="20002500" y="4000500"/>
          <a:ext cx="1524000" cy="762000"/>
        </a:xfrm>
        <a:custGeom>
          <a:avLst/>
          <a:gdLst>
            <a:gd name="x1" fmla="*/ w 1 4"/>
            <a:gd name="x2" fmla="*/ w 1 2"/>
            <a:gd name="x3" fmla="*/ w 3 4"/>
            <a:gd name="y1" fmla="*/ h 1 4"/>
            <a:gd name="y2" fmla="*/ h 1 2"/>
            <a:gd name="y3" fmla="*/ h 3 4"/>
            <a:gd name="smin" fmla="min w h"/>
            <a:gd name="rr" fmla="*/ smin 1 2"/>
            <a:gd name="rx" fmla="+- r 0 rr"/>
            <a:gd name="k" fmla="*/ rr 13397 100000"/>
            <a:gd name="rk" fmla="+- r 0 k"/>
          </a:gdLst>
          <a:ahLst/>
          <a:cxnLst>
            <a:cxn ang="16200000">
              <a:pos x="x2" y="t"/>
            </a:cxn>
            <a:cxn ang="16200000">
              <a:pos x="x3" y="t"/>
            </a:cxn>
            <a:cxn ang="0">
              <a:pos x="rk" y="y1"/>
            </a:cxn>
            <a:cxn ang="0">
              <a:pos x="r" y="y2"/>
            </a:cxn>
            <a:cxn ang="0">
              <a:pos x="rk" y="y3"/>
            </a:cxn>
            <a:cxn ang="5400000">
              <a:pos x="x3" y="b"/>
            </a:cxn>
            <a:cxn ang="5400000">
              <a:pos x="x2" y="b"/>
            </a:cxn>
            <a:cxn ang="5400000">
              <a:pos x="x1" y="b"/>
            </a:cxn>
            <a:cxn ang="10800000">
              <a:pos x="k" y="y3"/>
            </a:cxn>
            <a:cxn ang="10800000">
              <a:pos x="l" y="y2"/>
            </a:cxn>
            <a:cxn ang="10800000">
              <a:pos x="k" y="y1"/>
            </a:cxn>
            <a:cxn ang="16200000">
              <a:pos x="x1" y="t"/>
            </a:cxn>
          </a:cxnLst>
          <a:rect l="l" t="t" r="r" b="b"/>
          <a:pathLst>
            <a:path>
              <a:moveTo>
                <a:pt x="rr" y="t"/>
              </a:moveTo>
              <a:lnTo>
                <a:pt x="rx" y="t"/>
              </a:lnTo>
              <a:arcTo wR="rr" hR="rr" stAng="16200000" swAng="10800000"/>
              <a:lnTo>
                <a:pt x="rr" y="b"/>
              </a:lnTo>
              <a:arcTo wR="rr" hR="rr" stAng="5400000" swAng="10800000"/>
              <a:close/>
            </a:path>
          </a:pathLst>
        </a:custGeom>
        <a:solidFill>
          <a:srgbClr val="FDECE4"/>
        </a:solidFill>
        <a:ln w="15875" cap="flat">
          <a:solidFill>
            <a:srgbClr val="C46B39"/>
          </a:solidFill>
          <a:round/>
        </a:ln>
      </xdr:spPr>
      <xdr:txBody>
        <a:bodyPr vertOverflow="overflow" horzOverflow="overflow" wrap="square" lIns="101600" tIns="12700" rIns="101600" bIns="12700" rtlCol="0" anchor="ctr">
          <a:noAutofit/>
        </a:bodyPr>
        <a:lstStyle/>
        <a:p>
          <a:pPr algn="ctr">
            <a:lnSpc>
              <a:spcPct val="95000"/>
            </a:lnSpc>
          </a:pPr>
          <a:r>
            <a:rPr lang="ja-JP" altLang="en-US" sz="950" b="1" dirty="0">
              <a:solidFill>
                <a:srgbClr val="262626"/>
              </a:solidFill>
              <a:latin typeface="Meiryo UI"/>
              <a:ea typeface="Meiryo UI"/>
              <a:cs typeface="Meiryo UI"/>
            </a:rPr>
            <a:t>API・キュー</a:t>
          </a:r>
          <a:endParaRPr lang="ja-JP" altLang="en-US" sz="950" dirty="0">
            <a:latin typeface="Meiryo UI"/>
            <a:ea typeface="Meiryo UI"/>
          </a:endParaRPr>
        </a:p>
      </xdr:txBody>
    </xdr:sp>
    <xdr:clientData/>
  </xdr:twoCellAnchor>
  <xdr:twoCellAnchor editAs="oneCell">
    <xdr:from>
      <xdr:col>105</xdr:col>
      <xdr:colOff>0</xdr:colOff>
      <xdr:row>27</xdr:row>
      <xdr:rowOff>0</xdr:rowOff>
    </xdr:from>
    <xdr:to>
      <xdr:col>113</xdr:col>
      <xdr:colOff>0</xdr:colOff>
      <xdr:row>27</xdr:row>
      <xdr:rowOff>0</xdr:rowOff>
    </xdr:to>
    <xdr:cxnSp macro="">
      <xdr:nvCxnSpPr>
        <xdr:cNvPr id="105" name="線: オンライン連携・直線（ルートC）">
          <a:extLst>
            <a:ext uri="{FF2B5EF4-FFF2-40B4-BE49-F238E27FC236}">
              <a16:creationId xmlns:a16="http://schemas.microsoft.com/office/drawing/2014/main" id="{00000000-0008-0000-0200-000069000000}"/>
            </a:ext>
          </a:extLst>
        </xdr:cNvPr>
        <xdr:cNvCxnSpPr/>
      </xdr:nvCxnSpPr>
      <xdr:spPr>
        <a:xfrm>
          <a:off x="20002500" y="5143500"/>
          <a:ext cx="1524000" cy="0"/>
        </a:xfrm>
        <a:prstGeom prst="straightConnector1">
          <a:avLst/>
        </a:prstGeom>
        <a:ln w="19050" cap="flat">
          <a:solidFill>
            <a:srgbClr val="C46B39"/>
          </a:solidFill>
          <a:round/>
          <a:tailEnd type="triangle" w="med" len="med"/>
        </a:ln>
      </xdr:spPr>
    </xdr:cxnSp>
    <xdr:clientData/>
  </xdr:twoCellAnchor>
  <xdr:twoCellAnchor editAs="oneCell">
    <xdr:from>
      <xdr:col>105</xdr:col>
      <xdr:colOff>0</xdr:colOff>
      <xdr:row>28</xdr:row>
      <xdr:rowOff>0</xdr:rowOff>
    </xdr:from>
    <xdr:to>
      <xdr:col>113</xdr:col>
      <xdr:colOff>0</xdr:colOff>
      <xdr:row>28</xdr:row>
      <xdr:rowOff>0</xdr:rowOff>
    </xdr:to>
    <xdr:cxnSp macro="">
      <xdr:nvCxnSpPr>
        <xdr:cNvPr id="106" name="線: バッチ・ファイル・直線（ルートC）">
          <a:extLst>
            <a:ext uri="{FF2B5EF4-FFF2-40B4-BE49-F238E27FC236}">
              <a16:creationId xmlns:a16="http://schemas.microsoft.com/office/drawing/2014/main" id="{00000000-0008-0000-0200-00006A000000}"/>
            </a:ext>
          </a:extLst>
        </xdr:cNvPr>
        <xdr:cNvCxnSpPr/>
      </xdr:nvCxnSpPr>
      <xdr:spPr>
        <a:xfrm>
          <a:off x="20002500" y="5334000"/>
          <a:ext cx="1524000" cy="0"/>
        </a:xfrm>
        <a:prstGeom prst="straightConnector1">
          <a:avLst/>
        </a:prstGeom>
        <a:ln w="19050" cap="flat">
          <a:solidFill>
            <a:srgbClr val="C46B39"/>
          </a:solidFill>
          <a:prstDash val="dash"/>
          <a:round/>
          <a:tailEnd type="triangle" w="med" len="med"/>
        </a:ln>
      </xdr:spPr>
    </xdr:cxnSp>
    <xdr:clientData/>
  </xdr:twoCellAnchor>
  <xdr:twoCellAnchor editAs="oneCell">
    <xdr:from>
      <xdr:col>105</xdr:col>
      <xdr:colOff>0</xdr:colOff>
      <xdr:row>29</xdr:row>
      <xdr:rowOff>0</xdr:rowOff>
    </xdr:from>
    <xdr:to>
      <xdr:col>113</xdr:col>
      <xdr:colOff>0</xdr:colOff>
      <xdr:row>29</xdr:row>
      <xdr:rowOff>0</xdr:rowOff>
    </xdr:to>
    <xdr:cxnSp macro="">
      <xdr:nvCxnSpPr>
        <xdr:cNvPr id="107" name="線: 監視・運用・直線（ルートC）">
          <a:extLst>
            <a:ext uri="{FF2B5EF4-FFF2-40B4-BE49-F238E27FC236}">
              <a16:creationId xmlns:a16="http://schemas.microsoft.com/office/drawing/2014/main" id="{00000000-0008-0000-0200-00006B000000}"/>
            </a:ext>
          </a:extLst>
        </xdr:cNvPr>
        <xdr:cNvCxnSpPr/>
      </xdr:nvCxnSpPr>
      <xdr:spPr>
        <a:xfrm>
          <a:off x="20002500" y="5524500"/>
          <a:ext cx="1524000" cy="0"/>
        </a:xfrm>
        <a:prstGeom prst="straightConnector1">
          <a:avLst/>
        </a:prstGeom>
        <a:ln w="12700" cap="flat">
          <a:solidFill>
            <a:srgbClr val="C46B39"/>
          </a:solidFill>
          <a:prstDash val="sysDot"/>
          <a:round/>
          <a:tailEnd type="triangle" w="med" len="med"/>
        </a:ln>
      </xdr:spPr>
    </xdr:cxnSp>
    <xdr:clientData/>
  </xdr:twoCellAnchor>
  <xdr:twoCellAnchor editAs="oneCell">
    <xdr:from>
      <xdr:col>105</xdr:col>
      <xdr:colOff>0</xdr:colOff>
      <xdr:row>30</xdr:row>
      <xdr:rowOff>0</xdr:rowOff>
    </xdr:from>
    <xdr:to>
      <xdr:col>113</xdr:col>
      <xdr:colOff>0</xdr:colOff>
      <xdr:row>32</xdr:row>
      <xdr:rowOff>0</xdr:rowOff>
    </xdr:to>
    <xdr:cxnSp macro="">
      <xdr:nvCxnSpPr>
        <xdr:cNvPr id="108" name="線: オンライン連携・カギ線（ルートC）">
          <a:extLst>
            <a:ext uri="{FF2B5EF4-FFF2-40B4-BE49-F238E27FC236}">
              <a16:creationId xmlns:a16="http://schemas.microsoft.com/office/drawing/2014/main" id="{00000000-0008-0000-0200-00006C000000}"/>
            </a:ext>
          </a:extLst>
        </xdr:cNvPr>
        <xdr:cNvCxnSpPr/>
      </xdr:nvCxnSpPr>
      <xdr:spPr>
        <a:xfrm>
          <a:off x="20002500" y="5715000"/>
          <a:ext cx="1524000" cy="381000"/>
        </a:xfrm>
        <a:prstGeom prst="bentConnector3">
          <a:avLst/>
        </a:prstGeom>
        <a:ln w="19050" cap="flat">
          <a:solidFill>
            <a:srgbClr val="C46B39"/>
          </a:solidFill>
          <a:round/>
          <a:tailEnd type="triangle" w="med" len="med"/>
        </a:ln>
      </xdr:spPr>
    </xdr:cxnSp>
    <xdr:clientData/>
  </xdr:twoCellAnchor>
  <xdr:twoCellAnchor editAs="oneCell">
    <xdr:from>
      <xdr:col>105</xdr:col>
      <xdr:colOff>0</xdr:colOff>
      <xdr:row>34</xdr:row>
      <xdr:rowOff>0</xdr:rowOff>
    </xdr:from>
    <xdr:to>
      <xdr:col>113</xdr:col>
      <xdr:colOff>0</xdr:colOff>
      <xdr:row>38</xdr:row>
      <xdr:rowOff>0</xdr:rowOff>
    </xdr:to>
    <xdr:grpSp>
      <xdr:nvGrpSpPr>
        <xdr:cNvPr id="111" name="コメント: ポイント（ルートC）">
          <a:extLst>
            <a:ext uri="{FF2B5EF4-FFF2-40B4-BE49-F238E27FC236}">
              <a16:creationId xmlns:a16="http://schemas.microsoft.com/office/drawing/2014/main" id="{00000000-0008-0000-0200-00006F000000}"/>
            </a:ext>
          </a:extLst>
        </xdr:cNvPr>
        <xdr:cNvGrpSpPr/>
      </xdr:nvGrpSpPr>
      <xdr:grpSpPr>
        <a:xfrm>
          <a:off x="20002500" y="6477000"/>
          <a:ext cx="1524000" cy="762000"/>
          <a:chOff x="20002500" y="6477000"/>
          <a:chExt cx="1524000" cy="762000"/>
        </a:xfrm>
      </xdr:grpSpPr>
      <xdr:sp macro="" textlink="">
        <xdr:nvSpPr>
          <xdr:cNvPr id="109" name="本文">
            <a:extLst>
              <a:ext uri="{FF2B5EF4-FFF2-40B4-BE49-F238E27FC236}">
                <a16:creationId xmlns:a16="http://schemas.microsoft.com/office/drawing/2014/main" id="{00000000-0008-0000-0200-00006D000000}"/>
              </a:ext>
            </a:extLst>
          </xdr:cNvPr>
          <xdr:cNvSpPr/>
        </xdr:nvSpPr>
        <xdr:spPr>
          <a:xfrm>
            <a:off x="20002500" y="6477000"/>
            <a:ext cx="1524000" cy="762000"/>
          </a:xfrm>
          <a:custGeom>
            <a:avLst/>
            <a:gdLst>
              <a:gd name="x1" fmla="*/ w 1 4"/>
              <a:gd name="x2" fmla="*/ w 1 2"/>
              <a:gd name="x3" fmla="*/ w 3 4"/>
              <a:gd name="y1" fmla="*/ h 1 4"/>
              <a:gd name="y2" fmla="*/ h 1 2"/>
              <a:gd name="y3" fmla="*/ h 3 4"/>
              <a:gd name="smin" fmla="min w h"/>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r" y="t"/>
                </a:lnTo>
                <a:lnTo>
                  <a:pt x="r" y="b"/>
                </a:lnTo>
                <a:lnTo>
                  <a:pt x="l" y="b"/>
                </a:lnTo>
                <a:close/>
              </a:path>
            </a:pathLst>
          </a:custGeom>
          <a:solidFill>
            <a:srgbClr val="FEF6F2"/>
          </a:solidFill>
          <a:ln w="9525" cap="flat">
            <a:solidFill>
              <a:srgbClr val="EEC8B5"/>
            </a:solidFill>
            <a:round/>
          </a:ln>
        </xdr:spPr>
        <xdr:txBody>
          <a:bodyPr vertOverflow="overflow" horzOverflow="overflow" wrap="square" lIns="76200" tIns="228600" rIns="76200" bIns="38100" rtlCol="0" anchor="t">
            <a:noAutofit/>
          </a:bodyPr>
          <a:lstStyle/>
          <a:p>
            <a:pPr algn="l">
              <a:lnSpc>
                <a:spcPct val="100000"/>
              </a:lnSpc>
            </a:pPr>
            <a:r>
              <a:rPr lang="ja-JP" altLang="en-US" sz="800" b="0" dirty="0">
                <a:solidFill>
                  <a:srgbClr val="404040"/>
                </a:solidFill>
                <a:latin typeface="Meiryo UI"/>
                <a:ea typeface="Meiryo UI"/>
                <a:cs typeface="Meiryo UI"/>
              </a:rPr>
              <a:t>ポイントを記入</a:t>
            </a:r>
            <a:endParaRPr lang="ja-JP" altLang="en-US" sz="800" dirty="0">
              <a:latin typeface="Meiryo UI"/>
              <a:ea typeface="Meiryo UI"/>
            </a:endParaRPr>
          </a:p>
        </xdr:txBody>
      </xdr:sp>
      <xdr:sp macro="" textlink="">
        <xdr:nvSpPr>
          <xdr:cNvPr id="110" name="見出し">
            <a:extLst>
              <a:ext uri="{FF2B5EF4-FFF2-40B4-BE49-F238E27FC236}">
                <a16:creationId xmlns:a16="http://schemas.microsoft.com/office/drawing/2014/main" id="{00000000-0008-0000-0200-00006E000000}"/>
              </a:ext>
            </a:extLst>
          </xdr:cNvPr>
          <xdr:cNvSpPr/>
        </xdr:nvSpPr>
        <xdr:spPr>
          <a:xfrm>
            <a:off x="20002500" y="6477000"/>
            <a:ext cx="1524000" cy="190500"/>
          </a:xfrm>
          <a:custGeom>
            <a:avLst/>
            <a:gdLst>
              <a:gd name="x1" fmla="*/ w 1 4"/>
              <a:gd name="x2" fmla="*/ w 1 2"/>
              <a:gd name="x3" fmla="*/ w 3 4"/>
              <a:gd name="y1" fmla="*/ h 1 4"/>
              <a:gd name="y2" fmla="*/ h 1 2"/>
              <a:gd name="y3" fmla="*/ h 3 4"/>
              <a:gd name="smin" fmla="min w h"/>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r" y="t"/>
                </a:lnTo>
                <a:lnTo>
                  <a:pt x="r" y="b"/>
                </a:lnTo>
                <a:lnTo>
                  <a:pt x="l" y="b"/>
                </a:lnTo>
                <a:close/>
              </a:path>
            </a:pathLst>
          </a:custGeom>
          <a:solidFill>
            <a:srgbClr val="C46B39"/>
          </a:solidFill>
          <a:ln w="9525" cap="flat">
            <a:solidFill>
              <a:srgbClr val="C46B39"/>
            </a:solidFill>
            <a:round/>
          </a:ln>
        </xdr:spPr>
        <xdr:txBody>
          <a:bodyPr vertOverflow="overflow" horzOverflow="overflow" wrap="none" lIns="76200" tIns="0" rIns="76200" bIns="0" rtlCol="0" anchor="ctr">
            <a:noAutofit/>
          </a:bodyPr>
          <a:lstStyle/>
          <a:p>
            <a:pPr algn="l"/>
            <a:r>
              <a:rPr lang="ja-JP" altLang="en-US" sz="750" b="1" dirty="0">
                <a:solidFill>
                  <a:srgbClr val="FFFFFF"/>
                </a:solidFill>
                <a:latin typeface="Meiryo UI"/>
                <a:ea typeface="Meiryo UI"/>
                <a:cs typeface="Meiryo UI"/>
              </a:rPr>
              <a:t>POINT</a:t>
            </a:r>
            <a:endParaRPr lang="ja-JP" altLang="en-US" sz="800" dirty="0">
              <a:latin typeface="Meiryo UI"/>
              <a:ea typeface="Meiryo UI"/>
            </a:endParaRPr>
          </a:p>
        </xdr:txBody>
      </xdr:sp>
    </xdr:grpSp>
    <xdr:clientData/>
  </xdr:twoCellAnchor>
  <xdr:twoCellAnchor editAs="oneCell">
    <xdr:from>
      <xdr:col>105</xdr:col>
      <xdr:colOff>0</xdr:colOff>
      <xdr:row>39</xdr:row>
      <xdr:rowOff>0</xdr:rowOff>
    </xdr:from>
    <xdr:to>
      <xdr:col>113</xdr:col>
      <xdr:colOff>0</xdr:colOff>
      <xdr:row>42</xdr:row>
      <xdr:rowOff>0</xdr:rowOff>
    </xdr:to>
    <xdr:grpSp>
      <xdr:nvGrpSpPr>
        <xdr:cNvPr id="114" name="コメント: 付記（ルートC）">
          <a:extLst>
            <a:ext uri="{FF2B5EF4-FFF2-40B4-BE49-F238E27FC236}">
              <a16:creationId xmlns:a16="http://schemas.microsoft.com/office/drawing/2014/main" id="{00000000-0008-0000-0200-000072000000}"/>
            </a:ext>
          </a:extLst>
        </xdr:cNvPr>
        <xdr:cNvGrpSpPr/>
      </xdr:nvGrpSpPr>
      <xdr:grpSpPr>
        <a:xfrm>
          <a:off x="20002500" y="7429500"/>
          <a:ext cx="1524000" cy="571500"/>
          <a:chOff x="20002500" y="7429500"/>
          <a:chExt cx="1524000" cy="571500"/>
        </a:xfrm>
      </xdr:grpSpPr>
      <xdr:sp macro="" textlink="">
        <xdr:nvSpPr>
          <xdr:cNvPr id="112" name="本文">
            <a:extLst>
              <a:ext uri="{FF2B5EF4-FFF2-40B4-BE49-F238E27FC236}">
                <a16:creationId xmlns:a16="http://schemas.microsoft.com/office/drawing/2014/main" id="{00000000-0008-0000-0200-000070000000}"/>
              </a:ext>
            </a:extLst>
          </xdr:cNvPr>
          <xdr:cNvSpPr/>
        </xdr:nvSpPr>
        <xdr:spPr>
          <a:xfrm>
            <a:off x="20002500" y="7429500"/>
            <a:ext cx="1524000" cy="571500"/>
          </a:xfrm>
          <a:custGeom>
            <a:avLst/>
            <a:gdLst>
              <a:gd name="x1" fmla="*/ w 1 4"/>
              <a:gd name="x2" fmla="*/ w 1 2"/>
              <a:gd name="x3" fmla="*/ w 3 4"/>
              <a:gd name="y1" fmla="*/ h 1 4"/>
              <a:gd name="y2" fmla="*/ h 1 2"/>
              <a:gd name="y3" fmla="*/ h 3 4"/>
              <a:gd name="smin" fmla="min w h"/>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r" y="t"/>
                </a:lnTo>
                <a:lnTo>
                  <a:pt x="r" y="b"/>
                </a:lnTo>
                <a:lnTo>
                  <a:pt x="l" y="b"/>
                </a:lnTo>
                <a:close/>
              </a:path>
            </a:pathLst>
          </a:custGeom>
          <a:solidFill>
            <a:srgbClr val="FEF6F2"/>
          </a:solidFill>
          <a:ln>
            <a:noFill/>
          </a:ln>
        </xdr:spPr>
        <xdr:txBody>
          <a:bodyPr vertOverflow="overflow" horzOverflow="overflow" wrap="square" lIns="114300" tIns="50800" rIns="76200" bIns="38100" rtlCol="0" anchor="t">
            <a:noAutofit/>
          </a:bodyPr>
          <a:lstStyle/>
          <a:p>
            <a:pPr algn="l"/>
            <a:r>
              <a:rPr lang="ja-JP" altLang="en-US" sz="800" b="1" dirty="0">
                <a:solidFill>
                  <a:srgbClr val="954717"/>
                </a:solidFill>
                <a:latin typeface="Meiryo UI"/>
                <a:ea typeface="Meiryo UI"/>
                <a:cs typeface="Meiryo UI"/>
              </a:rPr>
              <a:t>付記</a:t>
            </a:r>
            <a:endParaRPr lang="ja-JP" altLang="en-US" sz="800" dirty="0">
              <a:latin typeface="Meiryo UI"/>
              <a:ea typeface="Meiryo UI"/>
            </a:endParaRPr>
          </a:p>
          <a:p>
            <a:pPr algn="l">
              <a:spcBef>
                <a:spcPts val="100"/>
              </a:spcBef>
            </a:pPr>
            <a:r>
              <a:rPr lang="ja-JP" altLang="en-US" sz="800" b="0" dirty="0">
                <a:solidFill>
                  <a:srgbClr val="404040"/>
                </a:solidFill>
                <a:latin typeface="Meiryo UI"/>
                <a:ea typeface="Meiryo UI"/>
                <a:cs typeface="Meiryo UI"/>
              </a:rPr>
              <a:t>補足を記入</a:t>
            </a:r>
            <a:endParaRPr lang="ja-JP" altLang="en-US" sz="800" dirty="0">
              <a:latin typeface="Meiryo UI"/>
              <a:ea typeface="Meiryo UI"/>
            </a:endParaRPr>
          </a:p>
        </xdr:txBody>
      </xdr:sp>
      <xdr:sp macro="" textlink="">
        <xdr:nvSpPr>
          <xdr:cNvPr id="113" name="左ライン">
            <a:extLst>
              <a:ext uri="{FF2B5EF4-FFF2-40B4-BE49-F238E27FC236}">
                <a16:creationId xmlns:a16="http://schemas.microsoft.com/office/drawing/2014/main" id="{00000000-0008-0000-0200-000071000000}"/>
              </a:ext>
            </a:extLst>
          </xdr:cNvPr>
          <xdr:cNvSpPr/>
        </xdr:nvSpPr>
        <xdr:spPr>
          <a:xfrm>
            <a:off x="20002500" y="7429500"/>
            <a:ext cx="38100" cy="571500"/>
          </a:xfrm>
          <a:prstGeom prst="rect">
            <a:avLst/>
          </a:prstGeom>
          <a:solidFill>
            <a:srgbClr val="C46B39"/>
          </a:solidFill>
          <a:ln>
            <a:noFill/>
          </a:ln>
        </xdr:spPr>
        <xdr:txBody>
          <a:bodyPr vertOverflow="overflow" horzOverflow="overflow" wrap="square" lIns="38100" tIns="19050" rIns="38100" bIns="19050" rtlCol="0" anchor="ctr">
            <a:noAutofit/>
          </a:bodyPr>
          <a:lstStyle/>
          <a:p>
            <a:pPr algn="l"/>
            <a:endParaRPr lang="ja-JP" altLang="en-US" sz="600" dirty="0">
              <a:latin typeface="Meiryo UI"/>
              <a:ea typeface="Meiryo UI"/>
            </a:endParaRPr>
          </a:p>
        </xdr:txBody>
      </xdr:sp>
    </xdr:grpSp>
    <xdr:clientData/>
  </xdr:twoCellAnchor>
  <xdr:twoCellAnchor editAs="oneCell">
    <xdr:from>
      <xdr:col>105</xdr:col>
      <xdr:colOff>0</xdr:colOff>
      <xdr:row>43</xdr:row>
      <xdr:rowOff>0</xdr:rowOff>
    </xdr:from>
    <xdr:to>
      <xdr:col>113</xdr:col>
      <xdr:colOff>0</xdr:colOff>
      <xdr:row>45</xdr:row>
      <xdr:rowOff>0</xdr:rowOff>
    </xdr:to>
    <xdr:sp macro="" textlink="">
      <xdr:nvSpPr>
        <xdr:cNvPr id="115" name="コメント: 吹き出し（ルートC）">
          <a:extLst>
            <a:ext uri="{FF2B5EF4-FFF2-40B4-BE49-F238E27FC236}">
              <a16:creationId xmlns:a16="http://schemas.microsoft.com/office/drawing/2014/main" id="{00000000-0008-0000-0200-000073000000}"/>
            </a:ext>
          </a:extLst>
        </xdr:cNvPr>
        <xdr:cNvSpPr/>
      </xdr:nvSpPr>
      <xdr:spPr>
        <a:xfrm>
          <a:off x="20002500" y="8191500"/>
          <a:ext cx="1524000" cy="381000"/>
        </a:xfrm>
        <a:prstGeom prst="wedgeRoundRectCallout">
          <a:avLst>
            <a:gd name="adj1" fmla="val -30000"/>
            <a:gd name="adj2" fmla="val 95000"/>
            <a:gd name="adj3" fmla="val 16667"/>
          </a:avLst>
        </a:prstGeom>
        <a:solidFill>
          <a:srgbClr val="FFFFFF"/>
        </a:solidFill>
        <a:ln w="12700" cap="flat">
          <a:solidFill>
            <a:srgbClr val="C46B39"/>
          </a:solidFill>
          <a:round/>
        </a:ln>
      </xdr:spPr>
      <xdr:txBody>
        <a:bodyPr vertOverflow="overflow" horzOverflow="overflow" wrap="square" lIns="63500" tIns="25400" rIns="63500" bIns="25400" rtlCol="0" anchor="ctr">
          <a:noAutofit/>
        </a:bodyPr>
        <a:lstStyle/>
        <a:p>
          <a:pPr algn="l"/>
          <a:r>
            <a:rPr lang="ja-JP" altLang="en-US" sz="800" b="0" dirty="0">
              <a:solidFill>
                <a:srgbClr val="404040"/>
              </a:solidFill>
              <a:latin typeface="Meiryo UI"/>
              <a:ea typeface="Meiryo UI"/>
              <a:cs typeface="Meiryo UI"/>
            </a:rPr>
            <a:t>指摘・補足</a:t>
          </a:r>
          <a:endParaRPr lang="ja-JP" altLang="en-US" sz="800" dirty="0">
            <a:latin typeface="Meiryo UI"/>
            <a:ea typeface="Meiryo UI"/>
          </a:endParaRPr>
        </a:p>
      </xdr:txBody>
    </xdr:sp>
    <xdr:clientData/>
  </xdr:twoCellAnchor>
  <xdr:twoCellAnchor editAs="oneCell">
    <xdr:from>
      <xdr:col>105</xdr:col>
      <xdr:colOff>0</xdr:colOff>
      <xdr:row>47</xdr:row>
      <xdr:rowOff>0</xdr:rowOff>
    </xdr:from>
    <xdr:to>
      <xdr:col>107</xdr:col>
      <xdr:colOff>0</xdr:colOff>
      <xdr:row>48</xdr:row>
      <xdr:rowOff>0</xdr:rowOff>
    </xdr:to>
    <xdr:sp macro="" textlink="">
      <xdr:nvSpPr>
        <xdr:cNvPr id="116" name="番号: C1（ルートC）">
          <a:extLst>
            <a:ext uri="{FF2B5EF4-FFF2-40B4-BE49-F238E27FC236}">
              <a16:creationId xmlns:a16="http://schemas.microsoft.com/office/drawing/2014/main" id="{00000000-0008-0000-0200-000074000000}"/>
            </a:ext>
          </a:extLst>
        </xdr:cNvPr>
        <xdr:cNvSpPr/>
      </xdr:nvSpPr>
      <xdr:spPr>
        <a:xfrm>
          <a:off x="20002500" y="8953500"/>
          <a:ext cx="381000" cy="190500"/>
        </a:xfrm>
        <a:prstGeom prst="roundRect">
          <a:avLst>
            <a:gd name="adj" fmla="val 50000"/>
          </a:avLst>
        </a:prstGeom>
        <a:solidFill>
          <a:srgbClr val="C46B39"/>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C1</a:t>
          </a:r>
          <a:endParaRPr lang="ja-JP" altLang="en-US" sz="750" dirty="0">
            <a:latin typeface="Meiryo UI"/>
            <a:ea typeface="Meiryo UI"/>
          </a:endParaRPr>
        </a:p>
      </xdr:txBody>
    </xdr:sp>
    <xdr:clientData/>
  </xdr:twoCellAnchor>
  <xdr:twoCellAnchor editAs="oneCell">
    <xdr:from>
      <xdr:col>108</xdr:col>
      <xdr:colOff>0</xdr:colOff>
      <xdr:row>47</xdr:row>
      <xdr:rowOff>0</xdr:rowOff>
    </xdr:from>
    <xdr:to>
      <xdr:col>110</xdr:col>
      <xdr:colOff>0</xdr:colOff>
      <xdr:row>48</xdr:row>
      <xdr:rowOff>0</xdr:rowOff>
    </xdr:to>
    <xdr:sp macro="" textlink="">
      <xdr:nvSpPr>
        <xdr:cNvPr id="117" name="番号: C2（ルートC）">
          <a:extLst>
            <a:ext uri="{FF2B5EF4-FFF2-40B4-BE49-F238E27FC236}">
              <a16:creationId xmlns:a16="http://schemas.microsoft.com/office/drawing/2014/main" id="{00000000-0008-0000-0200-000075000000}"/>
            </a:ext>
          </a:extLst>
        </xdr:cNvPr>
        <xdr:cNvSpPr/>
      </xdr:nvSpPr>
      <xdr:spPr>
        <a:xfrm>
          <a:off x="20574000" y="8953500"/>
          <a:ext cx="381000" cy="190500"/>
        </a:xfrm>
        <a:prstGeom prst="roundRect">
          <a:avLst>
            <a:gd name="adj" fmla="val 50000"/>
          </a:avLst>
        </a:prstGeom>
        <a:solidFill>
          <a:srgbClr val="C46B39"/>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C2</a:t>
          </a:r>
          <a:endParaRPr lang="ja-JP" altLang="en-US" sz="750" dirty="0">
            <a:latin typeface="Meiryo UI"/>
            <a:ea typeface="Meiryo UI"/>
          </a:endParaRPr>
        </a:p>
      </xdr:txBody>
    </xdr:sp>
    <xdr:clientData/>
  </xdr:twoCellAnchor>
  <xdr:twoCellAnchor editAs="oneCell">
    <xdr:from>
      <xdr:col>105</xdr:col>
      <xdr:colOff>0</xdr:colOff>
      <xdr:row>49</xdr:row>
      <xdr:rowOff>0</xdr:rowOff>
    </xdr:from>
    <xdr:to>
      <xdr:col>113</xdr:col>
      <xdr:colOff>0</xdr:colOff>
      <xdr:row>50</xdr:row>
      <xdr:rowOff>0</xdr:rowOff>
    </xdr:to>
    <xdr:sp macro="" textlink="">
      <xdr:nvSpPr>
        <xdr:cNvPr id="118" name="線ラベル（ルートC）">
          <a:extLst>
            <a:ext uri="{FF2B5EF4-FFF2-40B4-BE49-F238E27FC236}">
              <a16:creationId xmlns:a16="http://schemas.microsoft.com/office/drawing/2014/main" id="{00000000-0008-0000-0200-000076000000}"/>
            </a:ext>
          </a:extLst>
        </xdr:cNvPr>
        <xdr:cNvSpPr/>
      </xdr:nvSpPr>
      <xdr:spPr>
        <a:xfrm>
          <a:off x="20002500" y="9334500"/>
          <a:ext cx="1524000" cy="190500"/>
        </a:xfrm>
        <a:prstGeom prst="roundRect">
          <a:avLst>
            <a:gd name="adj" fmla="val 50000"/>
          </a:avLst>
        </a:prstGeom>
        <a:solidFill>
          <a:srgbClr val="FFFFFF"/>
        </a:solidFill>
        <a:ln w="9525" cap="flat">
          <a:solidFill>
            <a:srgbClr val="C46B39"/>
          </a:solidFill>
          <a:round/>
        </a:ln>
      </xdr:spPr>
      <xdr:txBody>
        <a:bodyPr vertOverflow="overflow" horzOverflow="overflow" wrap="none" lIns="25400" tIns="0" rIns="25400" bIns="0" rtlCol="0" anchor="ctr">
          <a:noAutofit/>
        </a:bodyPr>
        <a:lstStyle/>
        <a:p>
          <a:pPr algn="ctr"/>
          <a:r>
            <a:rPr lang="ja-JP" altLang="en-US" sz="750" b="0" dirty="0">
              <a:solidFill>
                <a:srgbClr val="954717"/>
              </a:solidFill>
              <a:latin typeface="Meiryo UI"/>
              <a:ea typeface="Meiryo UI"/>
              <a:cs typeface="Meiryo UI"/>
            </a:rPr>
            <a:t>HTTPS（REST）</a:t>
          </a:r>
          <a:endParaRPr lang="ja-JP" altLang="en-US" sz="750" dirty="0">
            <a:latin typeface="Meiryo UI"/>
            <a:ea typeface="Meiryo UI"/>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6</xdr:row>
      <xdr:rowOff>0</xdr:rowOff>
    </xdr:from>
    <xdr:to>
      <xdr:col>14</xdr:col>
      <xdr:colOff>0</xdr:colOff>
      <xdr:row>15</xdr:row>
      <xdr:rowOff>0</xdr:rowOff>
    </xdr:to>
    <xdr:sp macro="" textlink="">
      <xdr:nvSpPr>
        <xdr:cNvPr id="2" name="ゾーン: ルートA">
          <a:extLst>
            <a:ext uri="{FF2B5EF4-FFF2-40B4-BE49-F238E27FC236}">
              <a16:creationId xmlns:a16="http://schemas.microsoft.com/office/drawing/2014/main" id="{00000000-0008-0000-0300-000002000000}"/>
            </a:ext>
          </a:extLst>
        </xdr:cNvPr>
        <xdr:cNvSpPr/>
      </xdr:nvSpPr>
      <xdr:spPr>
        <a:xfrm>
          <a:off x="381000" y="1143000"/>
          <a:ext cx="2286000" cy="1714500"/>
        </a:xfrm>
        <a:prstGeom prst="rect">
          <a:avLst/>
        </a:prstGeom>
        <a:solidFill>
          <a:srgbClr val="F3F8FF"/>
        </a:solidFill>
        <a:ln w="9525" cap="flat">
          <a:solidFill>
            <a:srgbClr val="BCD3F2"/>
          </a:solidFill>
          <a:round/>
        </a:ln>
      </xdr:spPr>
      <xdr:txBody>
        <a:bodyPr vertOverflow="overflow" horzOverflow="overflow" wrap="square" lIns="76200" tIns="50800" rIns="76200" bIns="50800" rtlCol="0" anchor="t">
          <a:noAutofit/>
        </a:bodyPr>
        <a:lstStyle/>
        <a:p>
          <a:pPr algn="l"/>
          <a:r>
            <a:rPr lang="ja-JP" altLang="en-US" sz="950" b="1" dirty="0">
              <a:solidFill>
                <a:srgbClr val="113866"/>
              </a:solidFill>
              <a:latin typeface="Meiryo UI"/>
              <a:ea typeface="Meiryo UI"/>
              <a:cs typeface="Meiryo UI"/>
            </a:rPr>
            <a:t>ルートA｜Salesforce（SaaS）</a:t>
          </a:r>
          <a:endParaRPr lang="ja-JP" altLang="en-US" sz="950" dirty="0">
            <a:latin typeface="Meiryo UI"/>
            <a:ea typeface="Meiryo UI"/>
          </a:endParaRPr>
        </a:p>
      </xdr:txBody>
    </xdr:sp>
    <xdr:clientData/>
  </xdr:twoCellAnchor>
  <xdr:twoCellAnchor editAs="oneCell">
    <xdr:from>
      <xdr:col>2</xdr:col>
      <xdr:colOff>0</xdr:colOff>
      <xdr:row>17</xdr:row>
      <xdr:rowOff>0</xdr:rowOff>
    </xdr:from>
    <xdr:to>
      <xdr:col>14</xdr:col>
      <xdr:colOff>0</xdr:colOff>
      <xdr:row>30</xdr:row>
      <xdr:rowOff>0</xdr:rowOff>
    </xdr:to>
    <xdr:sp macro="" textlink="">
      <xdr:nvSpPr>
        <xdr:cNvPr id="3" name="ゾーン: ルートB">
          <a:extLst>
            <a:ext uri="{FF2B5EF4-FFF2-40B4-BE49-F238E27FC236}">
              <a16:creationId xmlns:a16="http://schemas.microsoft.com/office/drawing/2014/main" id="{00000000-0008-0000-0300-000003000000}"/>
            </a:ext>
          </a:extLst>
        </xdr:cNvPr>
        <xdr:cNvSpPr/>
      </xdr:nvSpPr>
      <xdr:spPr>
        <a:xfrm>
          <a:off x="381000" y="3238500"/>
          <a:ext cx="2286000" cy="2476500"/>
        </a:xfrm>
        <a:prstGeom prst="rect">
          <a:avLst/>
        </a:prstGeom>
        <a:solidFill>
          <a:srgbClr val="F1FAF7"/>
        </a:solidFill>
        <a:ln w="9525" cap="flat">
          <a:solidFill>
            <a:srgbClr val="B0DCCF"/>
          </a:solidFill>
          <a:round/>
        </a:ln>
      </xdr:spPr>
      <xdr:txBody>
        <a:bodyPr vertOverflow="overflow" horzOverflow="overflow" wrap="square" lIns="76200" tIns="50800" rIns="76200" bIns="50800" rtlCol="0" anchor="t">
          <a:noAutofit/>
        </a:bodyPr>
        <a:lstStyle/>
        <a:p>
          <a:pPr algn="l"/>
          <a:r>
            <a:rPr lang="ja-JP" altLang="en-US" sz="950" b="1" dirty="0">
              <a:solidFill>
                <a:srgbClr val="005243"/>
              </a:solidFill>
              <a:latin typeface="Meiryo UI"/>
              <a:ea typeface="Meiryo UI"/>
              <a:cs typeface="Meiryo UI"/>
            </a:rPr>
            <a:t>ルートB｜社内（イントラ）</a:t>
          </a:r>
          <a:endParaRPr lang="ja-JP" altLang="en-US" sz="950" dirty="0">
            <a:latin typeface="Meiryo UI"/>
            <a:ea typeface="Meiryo UI"/>
          </a:endParaRPr>
        </a:p>
      </xdr:txBody>
    </xdr:sp>
    <xdr:clientData/>
  </xdr:twoCellAnchor>
  <xdr:twoCellAnchor editAs="oneCell">
    <xdr:from>
      <xdr:col>2</xdr:col>
      <xdr:colOff>0</xdr:colOff>
      <xdr:row>32</xdr:row>
      <xdr:rowOff>0</xdr:rowOff>
    </xdr:from>
    <xdr:to>
      <xdr:col>14</xdr:col>
      <xdr:colOff>0</xdr:colOff>
      <xdr:row>41</xdr:row>
      <xdr:rowOff>0</xdr:rowOff>
    </xdr:to>
    <xdr:sp macro="" textlink="">
      <xdr:nvSpPr>
        <xdr:cNvPr id="4" name="ゾーン: ルートC">
          <a:extLst>
            <a:ext uri="{FF2B5EF4-FFF2-40B4-BE49-F238E27FC236}">
              <a16:creationId xmlns:a16="http://schemas.microsoft.com/office/drawing/2014/main" id="{00000000-0008-0000-0300-000004000000}"/>
            </a:ext>
          </a:extLst>
        </xdr:cNvPr>
        <xdr:cNvSpPr/>
      </xdr:nvSpPr>
      <xdr:spPr>
        <a:xfrm>
          <a:off x="381000" y="6096000"/>
          <a:ext cx="2286000" cy="1714500"/>
        </a:xfrm>
        <a:prstGeom prst="rect">
          <a:avLst/>
        </a:prstGeom>
        <a:solidFill>
          <a:srgbClr val="FEF6F2"/>
        </a:solidFill>
        <a:ln w="9525" cap="flat">
          <a:solidFill>
            <a:srgbClr val="EEC8B5"/>
          </a:solidFill>
          <a:round/>
        </a:ln>
      </xdr:spPr>
      <xdr:txBody>
        <a:bodyPr vertOverflow="overflow" horzOverflow="overflow" wrap="square" lIns="76200" tIns="50800" rIns="76200" bIns="50800" rtlCol="0" anchor="t">
          <a:noAutofit/>
        </a:bodyPr>
        <a:lstStyle/>
        <a:p>
          <a:pPr algn="l"/>
          <a:r>
            <a:rPr lang="ja-JP" altLang="en-US" sz="950" b="1" dirty="0">
              <a:solidFill>
                <a:srgbClr val="954717"/>
              </a:solidFill>
              <a:latin typeface="Meiryo UI"/>
              <a:ea typeface="Meiryo UI"/>
              <a:cs typeface="Meiryo UI"/>
            </a:rPr>
            <a:t>ルートC｜外部（インターネット）</a:t>
          </a:r>
          <a:endParaRPr lang="ja-JP" altLang="en-US" sz="950" dirty="0">
            <a:latin typeface="Meiryo UI"/>
            <a:ea typeface="Meiryo UI"/>
          </a:endParaRPr>
        </a:p>
      </xdr:txBody>
    </xdr:sp>
    <xdr:clientData/>
  </xdr:twoCellAnchor>
  <xdr:twoCellAnchor editAs="oneCell">
    <xdr:from>
      <xdr:col>27</xdr:col>
      <xdr:colOff>0</xdr:colOff>
      <xdr:row>6</xdr:row>
      <xdr:rowOff>0</xdr:rowOff>
    </xdr:from>
    <xdr:to>
      <xdr:col>74</xdr:col>
      <xdr:colOff>0</xdr:colOff>
      <xdr:row>41</xdr:row>
      <xdr:rowOff>0</xdr:rowOff>
    </xdr:to>
    <xdr:grpSp>
      <xdr:nvGrpSpPr>
        <xdr:cNvPr id="7" name="ゾーン: AWS Cloud">
          <a:extLst>
            <a:ext uri="{FF2B5EF4-FFF2-40B4-BE49-F238E27FC236}">
              <a16:creationId xmlns:a16="http://schemas.microsoft.com/office/drawing/2014/main" id="{00000000-0008-0000-0300-000007000000}"/>
            </a:ext>
          </a:extLst>
        </xdr:cNvPr>
        <xdr:cNvGrpSpPr/>
      </xdr:nvGrpSpPr>
      <xdr:grpSpPr>
        <a:xfrm>
          <a:off x="5143500" y="1143000"/>
          <a:ext cx="8953500" cy="6667500"/>
          <a:chOff x="5143500" y="1143000"/>
          <a:chExt cx="8953500" cy="6667500"/>
        </a:xfrm>
      </xdr:grpSpPr>
      <xdr:sp macro="" textlink="">
        <xdr:nvSpPr>
          <xdr:cNvPr id="5" name="枠: AWS Cloud">
            <a:extLst>
              <a:ext uri="{FF2B5EF4-FFF2-40B4-BE49-F238E27FC236}">
                <a16:creationId xmlns:a16="http://schemas.microsoft.com/office/drawing/2014/main" id="{00000000-0008-0000-0300-000005000000}"/>
              </a:ext>
            </a:extLst>
          </xdr:cNvPr>
          <xdr:cNvSpPr/>
        </xdr:nvSpPr>
        <xdr:spPr>
          <a:xfrm>
            <a:off x="5143500" y="1143000"/>
            <a:ext cx="8953500" cy="6667500"/>
          </a:xfrm>
          <a:prstGeom prst="rect">
            <a:avLst/>
          </a:prstGeom>
          <a:solidFill>
            <a:srgbClr val="FFFFFF"/>
          </a:solidFill>
          <a:ln w="15875" cap="flat">
            <a:solidFill>
              <a:srgbClr val="262626"/>
            </a:solidFill>
            <a:round/>
          </a:ln>
        </xdr:spPr>
        <xdr:txBody>
          <a:bodyPr vertOverflow="overflow" horzOverflow="overflow" wrap="square" lIns="330200" tIns="44450" rIns="76200" bIns="38100" rtlCol="0" anchor="t">
            <a:noAutofit/>
          </a:bodyPr>
          <a:lstStyle/>
          <a:p>
            <a:pPr algn="l"/>
            <a:r>
              <a:rPr lang="ja-JP" altLang="en-US" sz="1000" b="1" dirty="0">
                <a:solidFill>
                  <a:srgbClr val="262626"/>
                </a:solidFill>
                <a:latin typeface="Meiryo UI"/>
                <a:ea typeface="Meiryo UI"/>
                <a:cs typeface="Meiryo UI"/>
              </a:rPr>
              <a:t>AWS Cloud</a:t>
            </a:r>
            <a:endParaRPr lang="ja-JP" altLang="en-US" sz="1000" dirty="0">
              <a:latin typeface="Meiryo UI"/>
              <a:ea typeface="Meiryo UI"/>
            </a:endParaRPr>
          </a:p>
        </xdr:txBody>
      </xdr:sp>
      <xdr:pic>
        <xdr:nvPicPr>
          <xdr:cNvPr id="6" name="ロゴ: AWS Cloud" descr="AWS Cloud">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143500" y="1143000"/>
            <a:ext cx="254000" cy="254000"/>
          </a:xfrm>
          <a:prstGeom prst="rect">
            <a:avLst/>
          </a:prstGeom>
        </xdr:spPr>
      </xdr:pic>
    </xdr:grpSp>
    <xdr:clientData/>
  </xdr:twoCellAnchor>
  <xdr:twoCellAnchor editAs="oneCell">
    <xdr:from>
      <xdr:col>2</xdr:col>
      <xdr:colOff>0</xdr:colOff>
      <xdr:row>42</xdr:row>
      <xdr:rowOff>95250</xdr:rowOff>
    </xdr:from>
    <xdr:to>
      <xdr:col>50</xdr:col>
      <xdr:colOff>0</xdr:colOff>
      <xdr:row>48</xdr:row>
      <xdr:rowOff>95250</xdr:rowOff>
    </xdr:to>
    <xdr:grpSp>
      <xdr:nvGrpSpPr>
        <xdr:cNvPr id="40" name="凡例">
          <a:extLst>
            <a:ext uri="{FF2B5EF4-FFF2-40B4-BE49-F238E27FC236}">
              <a16:creationId xmlns:a16="http://schemas.microsoft.com/office/drawing/2014/main" id="{00000000-0008-0000-0300-000028000000}"/>
            </a:ext>
          </a:extLst>
        </xdr:cNvPr>
        <xdr:cNvGrpSpPr/>
      </xdr:nvGrpSpPr>
      <xdr:grpSpPr>
        <a:xfrm>
          <a:off x="381000" y="8092440"/>
          <a:ext cx="9144000" cy="1143000"/>
          <a:chOff x="381000" y="8096250"/>
          <a:chExt cx="9144000" cy="1143000"/>
        </a:xfrm>
      </xdr:grpSpPr>
      <xdr:sp macro="" textlink="">
        <xdr:nvSpPr>
          <xdr:cNvPr id="8" name="凡例: 背景">
            <a:extLst>
              <a:ext uri="{FF2B5EF4-FFF2-40B4-BE49-F238E27FC236}">
                <a16:creationId xmlns:a16="http://schemas.microsoft.com/office/drawing/2014/main" id="{00000000-0008-0000-0300-000008000000}"/>
              </a:ext>
            </a:extLst>
          </xdr:cNvPr>
          <xdr:cNvSpPr/>
        </xdr:nvSpPr>
        <xdr:spPr>
          <a:xfrm>
            <a:off x="381000" y="8096250"/>
            <a:ext cx="9144000" cy="1143000"/>
          </a:xfrm>
          <a:prstGeom prst="rect">
            <a:avLst/>
          </a:prstGeom>
          <a:solidFill>
            <a:srgbClr val="FFFFFF"/>
          </a:solidFill>
          <a:ln w="9525" cap="flat">
            <a:solidFill>
              <a:srgbClr val="A6A6A6"/>
            </a:solidFill>
            <a:round/>
          </a:ln>
        </xdr:spPr>
        <xdr:txBody>
          <a:bodyPr vertOverflow="overflow" horzOverflow="overflow" wrap="square" lIns="63500" tIns="38100" rIns="63500" bIns="38100" rtlCol="0" anchor="t">
            <a:noAutofit/>
          </a:bodyPr>
          <a:lstStyle/>
          <a:p>
            <a:pPr algn="l"/>
            <a:r>
              <a:rPr lang="ja-JP" altLang="en-US" sz="850" b="1" dirty="0">
                <a:solidFill>
                  <a:srgbClr val="262626"/>
                </a:solidFill>
                <a:latin typeface="Meiryo UI"/>
                <a:ea typeface="Meiryo UI"/>
                <a:cs typeface="Meiryo UI"/>
              </a:rPr>
              <a:t>凡例</a:t>
            </a:r>
            <a:endParaRPr lang="ja-JP" altLang="en-US" sz="850" dirty="0">
              <a:latin typeface="Meiryo UI"/>
              <a:ea typeface="Meiryo UI"/>
            </a:endParaRPr>
          </a:p>
        </xdr:txBody>
      </xdr:sp>
      <xdr:sp macro="" textlink="">
        <xdr:nvSpPr>
          <xdr:cNvPr id="9" name="凡例: 見出し">
            <a:extLst>
              <a:ext uri="{FF2B5EF4-FFF2-40B4-BE49-F238E27FC236}">
                <a16:creationId xmlns:a16="http://schemas.microsoft.com/office/drawing/2014/main" id="{00000000-0008-0000-0300-000009000000}"/>
              </a:ext>
            </a:extLst>
          </xdr:cNvPr>
          <xdr:cNvSpPr/>
        </xdr:nvSpPr>
        <xdr:spPr>
          <a:xfrm>
            <a:off x="495300" y="8305800"/>
            <a:ext cx="800100" cy="190500"/>
          </a:xfrm>
          <a:prstGeom prst="rect">
            <a:avLst/>
          </a:prstGeom>
          <a:noFill/>
          <a:ln>
            <a:noFill/>
          </a:ln>
        </xdr:spPr>
        <xdr:txBody>
          <a:bodyPr vertOverflow="overflow" horzOverflow="overflow" wrap="square" lIns="0" tIns="0" rIns="0" bIns="0" rtlCol="0" anchor="ctr">
            <a:noAutofit/>
          </a:bodyPr>
          <a:lstStyle/>
          <a:p>
            <a:pPr algn="l"/>
            <a:r>
              <a:rPr lang="ja-JP" altLang="en-US" sz="750" b="1" dirty="0">
                <a:solidFill>
                  <a:srgbClr val="595959"/>
                </a:solidFill>
                <a:latin typeface="Meiryo UI"/>
                <a:ea typeface="Meiryo UI"/>
                <a:cs typeface="Meiryo UI"/>
              </a:rPr>
              <a:t>ルート（色）</a:t>
            </a:r>
            <a:endParaRPr lang="ja-JP" altLang="en-US" sz="750" dirty="0">
              <a:latin typeface="Meiryo UI"/>
              <a:ea typeface="Meiryo UI"/>
            </a:endParaRPr>
          </a:p>
        </xdr:txBody>
      </xdr:sp>
      <xdr:sp macro="" textlink="">
        <xdr:nvSpPr>
          <xdr:cNvPr id="10" name="凡例: 見出し">
            <a:extLst>
              <a:ext uri="{FF2B5EF4-FFF2-40B4-BE49-F238E27FC236}">
                <a16:creationId xmlns:a16="http://schemas.microsoft.com/office/drawing/2014/main" id="{00000000-0008-0000-0300-00000A000000}"/>
              </a:ext>
            </a:extLst>
          </xdr:cNvPr>
          <xdr:cNvSpPr/>
        </xdr:nvSpPr>
        <xdr:spPr>
          <a:xfrm>
            <a:off x="495300" y="8610600"/>
            <a:ext cx="800100" cy="190500"/>
          </a:xfrm>
          <a:prstGeom prst="rect">
            <a:avLst/>
          </a:prstGeom>
          <a:noFill/>
          <a:ln>
            <a:noFill/>
          </a:ln>
        </xdr:spPr>
        <xdr:txBody>
          <a:bodyPr vertOverflow="overflow" horzOverflow="overflow" wrap="square" lIns="0" tIns="0" rIns="0" bIns="0" rtlCol="0" anchor="ctr">
            <a:noAutofit/>
          </a:bodyPr>
          <a:lstStyle/>
          <a:p>
            <a:pPr algn="l"/>
            <a:r>
              <a:rPr lang="ja-JP" altLang="en-US" sz="750" b="1" dirty="0">
                <a:solidFill>
                  <a:srgbClr val="595959"/>
                </a:solidFill>
                <a:latin typeface="Meiryo UI"/>
                <a:ea typeface="Meiryo UI"/>
                <a:cs typeface="Meiryo UI"/>
              </a:rPr>
              <a:t>線の種類</a:t>
            </a:r>
            <a:endParaRPr lang="ja-JP" altLang="en-US" sz="750" dirty="0">
              <a:latin typeface="Meiryo UI"/>
              <a:ea typeface="Meiryo UI"/>
            </a:endParaRPr>
          </a:p>
        </xdr:txBody>
      </xdr:sp>
      <xdr:sp macro="" textlink="">
        <xdr:nvSpPr>
          <xdr:cNvPr id="11" name="凡例: 見出し">
            <a:extLst>
              <a:ext uri="{FF2B5EF4-FFF2-40B4-BE49-F238E27FC236}">
                <a16:creationId xmlns:a16="http://schemas.microsoft.com/office/drawing/2014/main" id="{00000000-0008-0000-0300-00000B000000}"/>
              </a:ext>
            </a:extLst>
          </xdr:cNvPr>
          <xdr:cNvSpPr/>
        </xdr:nvSpPr>
        <xdr:spPr>
          <a:xfrm>
            <a:off x="495300" y="8915400"/>
            <a:ext cx="800100" cy="190500"/>
          </a:xfrm>
          <a:prstGeom prst="rect">
            <a:avLst/>
          </a:prstGeom>
          <a:noFill/>
          <a:ln>
            <a:noFill/>
          </a:ln>
        </xdr:spPr>
        <xdr:txBody>
          <a:bodyPr vertOverflow="overflow" horzOverflow="overflow" wrap="square" lIns="0" tIns="0" rIns="0" bIns="0" rtlCol="0" anchor="ctr">
            <a:noAutofit/>
          </a:bodyPr>
          <a:lstStyle/>
          <a:p>
            <a:pPr algn="l"/>
            <a:r>
              <a:rPr lang="ja-JP" altLang="en-US" sz="750" b="1" dirty="0">
                <a:solidFill>
                  <a:srgbClr val="595959"/>
                </a:solidFill>
                <a:latin typeface="Meiryo UI"/>
                <a:ea typeface="Meiryo UI"/>
                <a:cs typeface="Meiryo UI"/>
              </a:rPr>
              <a:t>図形・記号</a:t>
            </a:r>
            <a:endParaRPr lang="ja-JP" altLang="en-US" sz="750" dirty="0">
              <a:latin typeface="Meiryo UI"/>
              <a:ea typeface="Meiryo UI"/>
            </a:endParaRPr>
          </a:p>
        </xdr:txBody>
      </xdr:sp>
      <xdr:cxnSp macro="">
        <xdr:nvCxnSpPr>
          <xdr:cNvPr id="12" name="凡例: 線（ルートA）">
            <a:extLst>
              <a:ext uri="{FF2B5EF4-FFF2-40B4-BE49-F238E27FC236}">
                <a16:creationId xmlns:a16="http://schemas.microsoft.com/office/drawing/2014/main" id="{00000000-0008-0000-0300-00000C000000}"/>
              </a:ext>
            </a:extLst>
          </xdr:cNvPr>
          <xdr:cNvCxnSpPr/>
        </xdr:nvCxnSpPr>
        <xdr:spPr>
          <a:xfrm>
            <a:off x="1333500" y="8401050"/>
            <a:ext cx="419100" cy="0"/>
          </a:xfrm>
          <a:prstGeom prst="straightConnector1">
            <a:avLst/>
          </a:prstGeom>
          <a:ln w="19050" cap="flat">
            <a:solidFill>
              <a:srgbClr val="315C92"/>
            </a:solidFill>
            <a:round/>
            <a:tailEnd type="triangle" w="med" len="med"/>
          </a:ln>
        </xdr:spPr>
      </xdr:cxnSp>
      <xdr:sp macro="" textlink="">
        <xdr:nvSpPr>
          <xdr:cNvPr id="13" name="凡例: 記号A">
            <a:extLst>
              <a:ext uri="{FF2B5EF4-FFF2-40B4-BE49-F238E27FC236}">
                <a16:creationId xmlns:a16="http://schemas.microsoft.com/office/drawing/2014/main" id="{00000000-0008-0000-0300-00000D000000}"/>
              </a:ext>
            </a:extLst>
          </xdr:cNvPr>
          <xdr:cNvSpPr/>
        </xdr:nvSpPr>
        <xdr:spPr>
          <a:xfrm>
            <a:off x="1809750" y="8324850"/>
            <a:ext cx="152400" cy="152400"/>
          </a:xfrm>
          <a:prstGeom prst="ellipse">
            <a:avLst/>
          </a:prstGeom>
          <a:solidFill>
            <a:srgbClr val="315C92"/>
          </a:solidFill>
          <a:ln>
            <a:noFill/>
          </a:ln>
        </xdr:spPr>
        <xdr:txBody>
          <a:bodyPr vertOverflow="overflow" horzOverflow="overflow" wrap="none" lIns="0" tIns="0" rIns="0" bIns="0" rtlCol="0" anchor="ctr">
            <a:noAutofit/>
          </a:bodyPr>
          <a:lstStyle/>
          <a:p>
            <a:pPr algn="ctr"/>
            <a:r>
              <a:rPr lang="ja-JP" altLang="en-US" sz="650" b="1" dirty="0">
                <a:solidFill>
                  <a:srgbClr val="FFFFFF"/>
                </a:solidFill>
                <a:latin typeface="Meiryo UI"/>
                <a:ea typeface="Meiryo UI"/>
                <a:cs typeface="Meiryo UI"/>
              </a:rPr>
              <a:t>A</a:t>
            </a:r>
            <a:endParaRPr lang="ja-JP" altLang="en-US" sz="650" dirty="0">
              <a:latin typeface="Meiryo UI"/>
              <a:ea typeface="Meiryo UI"/>
            </a:endParaRPr>
          </a:p>
        </xdr:txBody>
      </xdr:sp>
      <xdr:sp macro="" textlink="表紙!$G$31">
        <xdr:nvSpPr>
          <xdr:cNvPr id="14" name="凡例: ルートA名（表紙と連動）">
            <a:extLst>
              <a:ext uri="{FF2B5EF4-FFF2-40B4-BE49-F238E27FC236}">
                <a16:creationId xmlns:a16="http://schemas.microsoft.com/office/drawing/2014/main" id="{00000000-0008-0000-0300-00000E000000}"/>
              </a:ext>
            </a:extLst>
          </xdr:cNvPr>
          <xdr:cNvSpPr/>
        </xdr:nvSpPr>
        <xdr:spPr>
          <a:xfrm>
            <a:off x="2000250" y="8305800"/>
            <a:ext cx="1338262" cy="190500"/>
          </a:xfrm>
          <a:prstGeom prst="rect">
            <a:avLst/>
          </a:prstGeom>
          <a:noFill/>
          <a:ln>
            <a:noFill/>
          </a:ln>
        </xdr:spPr>
        <xdr:txBody>
          <a:bodyPr vertOverflow="overflow" horzOverflow="overflow" wrap="square" lIns="12700" tIns="0" rIns="12700" bIns="0" rtlCol="0" anchor="ctr">
            <a:noAutofit/>
          </a:bodyPr>
          <a:lstStyle/>
          <a:p>
            <a:pPr algn="l"/>
            <a:fld id="{5A1C0F3E-7B2D-4C8A-9E41-000000000004}" type="TxLink">
              <a:rPr lang="ja-JP" altLang="en-US" sz="750" b="0">
                <a:solidFill>
                  <a:srgbClr val="404040"/>
                </a:solidFill>
                <a:latin typeface="Meiryo UI"/>
                <a:ea typeface="Meiryo UI"/>
                <a:cs typeface="Meiryo UI"/>
              </a:rPr>
              <a:pPr algn="l"/>
              <a:t>Salesforce連携</a:t>
            </a:fld>
            <a:endParaRPr lang="ja-JP" altLang="en-US" sz="750"/>
          </a:p>
        </xdr:txBody>
      </xdr:sp>
      <xdr:cxnSp macro="">
        <xdr:nvCxnSpPr>
          <xdr:cNvPr id="15" name="凡例: 線（ルートB）">
            <a:extLst>
              <a:ext uri="{FF2B5EF4-FFF2-40B4-BE49-F238E27FC236}">
                <a16:creationId xmlns:a16="http://schemas.microsoft.com/office/drawing/2014/main" id="{00000000-0008-0000-0300-00000F000000}"/>
              </a:ext>
            </a:extLst>
          </xdr:cNvPr>
          <xdr:cNvCxnSpPr/>
        </xdr:nvCxnSpPr>
        <xdr:spPr>
          <a:xfrm>
            <a:off x="3357562" y="8401050"/>
            <a:ext cx="419100" cy="0"/>
          </a:xfrm>
          <a:prstGeom prst="straightConnector1">
            <a:avLst/>
          </a:prstGeom>
          <a:ln w="19050" cap="flat">
            <a:solidFill>
              <a:srgbClr val="247966"/>
            </a:solidFill>
            <a:round/>
            <a:tailEnd type="triangle" w="med" len="med"/>
          </a:ln>
        </xdr:spPr>
      </xdr:cxnSp>
      <xdr:sp macro="" textlink="">
        <xdr:nvSpPr>
          <xdr:cNvPr id="16" name="凡例: 記号B">
            <a:extLst>
              <a:ext uri="{FF2B5EF4-FFF2-40B4-BE49-F238E27FC236}">
                <a16:creationId xmlns:a16="http://schemas.microsoft.com/office/drawing/2014/main" id="{00000000-0008-0000-0300-000010000000}"/>
              </a:ext>
            </a:extLst>
          </xdr:cNvPr>
          <xdr:cNvSpPr/>
        </xdr:nvSpPr>
        <xdr:spPr>
          <a:xfrm>
            <a:off x="3833812" y="8324850"/>
            <a:ext cx="152400" cy="152400"/>
          </a:xfrm>
          <a:prstGeom prst="ellipse">
            <a:avLst/>
          </a:prstGeom>
          <a:solidFill>
            <a:srgbClr val="247966"/>
          </a:solidFill>
          <a:ln>
            <a:noFill/>
          </a:ln>
        </xdr:spPr>
        <xdr:txBody>
          <a:bodyPr vertOverflow="overflow" horzOverflow="overflow" wrap="none" lIns="0" tIns="0" rIns="0" bIns="0" rtlCol="0" anchor="ctr">
            <a:noAutofit/>
          </a:bodyPr>
          <a:lstStyle/>
          <a:p>
            <a:pPr algn="ctr"/>
            <a:r>
              <a:rPr lang="ja-JP" altLang="en-US" sz="650" b="1" dirty="0">
                <a:solidFill>
                  <a:srgbClr val="FFFFFF"/>
                </a:solidFill>
                <a:latin typeface="Meiryo UI"/>
                <a:ea typeface="Meiryo UI"/>
                <a:cs typeface="Meiryo UI"/>
              </a:rPr>
              <a:t>B</a:t>
            </a:r>
            <a:endParaRPr lang="ja-JP" altLang="en-US" sz="650" dirty="0">
              <a:latin typeface="Meiryo UI"/>
              <a:ea typeface="Meiryo UI"/>
            </a:endParaRPr>
          </a:p>
        </xdr:txBody>
      </xdr:sp>
      <xdr:sp macro="" textlink="表紙!$G$32">
        <xdr:nvSpPr>
          <xdr:cNvPr id="17" name="凡例: ルートB名（表紙と連動）">
            <a:extLst>
              <a:ext uri="{FF2B5EF4-FFF2-40B4-BE49-F238E27FC236}">
                <a16:creationId xmlns:a16="http://schemas.microsoft.com/office/drawing/2014/main" id="{00000000-0008-0000-0300-000011000000}"/>
              </a:ext>
            </a:extLst>
          </xdr:cNvPr>
          <xdr:cNvSpPr/>
        </xdr:nvSpPr>
        <xdr:spPr>
          <a:xfrm>
            <a:off x="4024312" y="8305800"/>
            <a:ext cx="1338262" cy="190500"/>
          </a:xfrm>
          <a:prstGeom prst="rect">
            <a:avLst/>
          </a:prstGeom>
          <a:noFill/>
          <a:ln>
            <a:noFill/>
          </a:ln>
        </xdr:spPr>
        <xdr:txBody>
          <a:bodyPr vertOverflow="overflow" horzOverflow="overflow" wrap="square" lIns="12700" tIns="0" rIns="12700" bIns="0" rtlCol="0" anchor="ctr">
            <a:noAutofit/>
          </a:bodyPr>
          <a:lstStyle/>
          <a:p>
            <a:pPr algn="l"/>
            <a:fld id="{5A1C0F3E-7B2D-4C8A-9E41-000000000005}" type="TxLink">
              <a:rPr lang="ja-JP" altLang="en-US" sz="750" b="0">
                <a:solidFill>
                  <a:srgbClr val="404040"/>
                </a:solidFill>
                <a:latin typeface="Meiryo UI"/>
                <a:ea typeface="Meiryo UI"/>
                <a:cs typeface="Meiryo UI"/>
              </a:rPr>
              <a:pPr algn="l"/>
              <a:t>社内（イントラ）連携</a:t>
            </a:fld>
            <a:endParaRPr lang="ja-JP" altLang="en-US" sz="750"/>
          </a:p>
        </xdr:txBody>
      </xdr:sp>
      <xdr:cxnSp macro="">
        <xdr:nvCxnSpPr>
          <xdr:cNvPr id="18" name="凡例: 線（ルートC）">
            <a:extLst>
              <a:ext uri="{FF2B5EF4-FFF2-40B4-BE49-F238E27FC236}">
                <a16:creationId xmlns:a16="http://schemas.microsoft.com/office/drawing/2014/main" id="{00000000-0008-0000-0300-000012000000}"/>
              </a:ext>
            </a:extLst>
          </xdr:cNvPr>
          <xdr:cNvCxnSpPr/>
        </xdr:nvCxnSpPr>
        <xdr:spPr>
          <a:xfrm>
            <a:off x="5381625" y="8401050"/>
            <a:ext cx="419100" cy="0"/>
          </a:xfrm>
          <a:prstGeom prst="straightConnector1">
            <a:avLst/>
          </a:prstGeom>
          <a:ln w="19050" cap="flat">
            <a:solidFill>
              <a:srgbClr val="C46B39"/>
            </a:solidFill>
            <a:round/>
            <a:tailEnd type="triangle" w="med" len="med"/>
          </a:ln>
        </xdr:spPr>
      </xdr:cxnSp>
      <xdr:sp macro="" textlink="">
        <xdr:nvSpPr>
          <xdr:cNvPr id="19" name="凡例: 記号C">
            <a:extLst>
              <a:ext uri="{FF2B5EF4-FFF2-40B4-BE49-F238E27FC236}">
                <a16:creationId xmlns:a16="http://schemas.microsoft.com/office/drawing/2014/main" id="{00000000-0008-0000-0300-000013000000}"/>
              </a:ext>
            </a:extLst>
          </xdr:cNvPr>
          <xdr:cNvSpPr/>
        </xdr:nvSpPr>
        <xdr:spPr>
          <a:xfrm>
            <a:off x="5857875" y="8324850"/>
            <a:ext cx="152400" cy="152400"/>
          </a:xfrm>
          <a:prstGeom prst="ellipse">
            <a:avLst/>
          </a:prstGeom>
          <a:solidFill>
            <a:srgbClr val="C46B39"/>
          </a:solidFill>
          <a:ln>
            <a:noFill/>
          </a:ln>
        </xdr:spPr>
        <xdr:txBody>
          <a:bodyPr vertOverflow="overflow" horzOverflow="overflow" wrap="none" lIns="0" tIns="0" rIns="0" bIns="0" rtlCol="0" anchor="ctr">
            <a:noAutofit/>
          </a:bodyPr>
          <a:lstStyle/>
          <a:p>
            <a:pPr algn="ctr"/>
            <a:r>
              <a:rPr lang="ja-JP" altLang="en-US" sz="650" b="1" dirty="0">
                <a:solidFill>
                  <a:srgbClr val="FFFFFF"/>
                </a:solidFill>
                <a:latin typeface="Meiryo UI"/>
                <a:ea typeface="Meiryo UI"/>
                <a:cs typeface="Meiryo UI"/>
              </a:rPr>
              <a:t>C</a:t>
            </a:r>
            <a:endParaRPr lang="ja-JP" altLang="en-US" sz="650" dirty="0">
              <a:latin typeface="Meiryo UI"/>
              <a:ea typeface="Meiryo UI"/>
            </a:endParaRPr>
          </a:p>
        </xdr:txBody>
      </xdr:sp>
      <xdr:sp macro="" textlink="表紙!$G$33">
        <xdr:nvSpPr>
          <xdr:cNvPr id="20" name="凡例: ルートC名（表紙と連動）">
            <a:extLst>
              <a:ext uri="{FF2B5EF4-FFF2-40B4-BE49-F238E27FC236}">
                <a16:creationId xmlns:a16="http://schemas.microsoft.com/office/drawing/2014/main" id="{00000000-0008-0000-0300-000014000000}"/>
              </a:ext>
            </a:extLst>
          </xdr:cNvPr>
          <xdr:cNvSpPr/>
        </xdr:nvSpPr>
        <xdr:spPr>
          <a:xfrm>
            <a:off x="6048375" y="8305800"/>
            <a:ext cx="1338262" cy="190500"/>
          </a:xfrm>
          <a:prstGeom prst="rect">
            <a:avLst/>
          </a:prstGeom>
          <a:noFill/>
          <a:ln>
            <a:noFill/>
          </a:ln>
        </xdr:spPr>
        <xdr:txBody>
          <a:bodyPr vertOverflow="overflow" horzOverflow="overflow" wrap="square" lIns="12700" tIns="0" rIns="12700" bIns="0" rtlCol="0" anchor="ctr">
            <a:noAutofit/>
          </a:bodyPr>
          <a:lstStyle/>
          <a:p>
            <a:pPr algn="l"/>
            <a:fld id="{5A1C0F3E-7B2D-4C8A-9E41-000000000006}" type="TxLink">
              <a:rPr lang="ja-JP" altLang="en-US" sz="750" b="0">
                <a:solidFill>
                  <a:srgbClr val="404040"/>
                </a:solidFill>
                <a:latin typeface="Meiryo UI"/>
                <a:ea typeface="Meiryo UI"/>
                <a:cs typeface="Meiryo UI"/>
              </a:rPr>
              <a:pPr algn="l"/>
              <a:t>外部連携</a:t>
            </a:fld>
            <a:endParaRPr lang="ja-JP" altLang="en-US" sz="750"/>
          </a:p>
        </xdr:txBody>
      </xdr:sp>
      <xdr:cxnSp macro="">
        <xdr:nvCxnSpPr>
          <xdr:cNvPr id="21" name="凡例: 線（共通）">
            <a:extLst>
              <a:ext uri="{FF2B5EF4-FFF2-40B4-BE49-F238E27FC236}">
                <a16:creationId xmlns:a16="http://schemas.microsoft.com/office/drawing/2014/main" id="{00000000-0008-0000-0300-000015000000}"/>
              </a:ext>
            </a:extLst>
          </xdr:cNvPr>
          <xdr:cNvCxnSpPr/>
        </xdr:nvCxnSpPr>
        <xdr:spPr>
          <a:xfrm>
            <a:off x="7405688" y="8401050"/>
            <a:ext cx="419100" cy="0"/>
          </a:xfrm>
          <a:prstGeom prst="straightConnector1">
            <a:avLst/>
          </a:prstGeom>
          <a:ln w="19050" cap="flat">
            <a:solidFill>
              <a:srgbClr val="404040"/>
            </a:solidFill>
            <a:round/>
            <a:tailEnd type="triangle" w="med" len="med"/>
          </a:ln>
        </xdr:spPr>
      </xdr:cxnSp>
      <xdr:sp macro="" textlink="">
        <xdr:nvSpPr>
          <xdr:cNvPr id="22" name="凡例: 共通">
            <a:extLst>
              <a:ext uri="{FF2B5EF4-FFF2-40B4-BE49-F238E27FC236}">
                <a16:creationId xmlns:a16="http://schemas.microsoft.com/office/drawing/2014/main" id="{00000000-0008-0000-0300-000016000000}"/>
              </a:ext>
            </a:extLst>
          </xdr:cNvPr>
          <xdr:cNvSpPr/>
        </xdr:nvSpPr>
        <xdr:spPr>
          <a:xfrm>
            <a:off x="7881938" y="8305800"/>
            <a:ext cx="1528762" cy="190500"/>
          </a:xfrm>
          <a:prstGeom prst="rect">
            <a:avLst/>
          </a:prstGeom>
          <a:noFill/>
          <a:ln>
            <a:noFill/>
          </a:ln>
        </xdr:spPr>
        <xdr:txBody>
          <a:bodyPr vertOverflow="overflow" horzOverflow="overflow" wrap="square" lIns="12700" tIns="0" rIns="12700" bIns="0" rtlCol="0" anchor="ctr">
            <a:noAutofit/>
          </a:bodyPr>
          <a:lstStyle/>
          <a:p>
            <a:pPr algn="l"/>
            <a:r>
              <a:rPr lang="ja-JP" altLang="en-US" sz="750" b="0" dirty="0">
                <a:solidFill>
                  <a:srgbClr val="404040"/>
                </a:solidFill>
                <a:latin typeface="Meiryo UI"/>
                <a:ea typeface="Meiryo UI"/>
                <a:cs typeface="Meiryo UI"/>
              </a:rPr>
              <a:t>共通（複数ルート・基盤）</a:t>
            </a:r>
            <a:endParaRPr lang="ja-JP" altLang="en-US" sz="750" dirty="0">
              <a:latin typeface="Meiryo UI"/>
              <a:ea typeface="Meiryo UI"/>
            </a:endParaRPr>
          </a:p>
        </xdr:txBody>
      </xdr:sp>
      <xdr:cxnSp macro="">
        <xdr:nvCxnSpPr>
          <xdr:cNvPr id="23" name="凡例: オンライン連携">
            <a:extLst>
              <a:ext uri="{FF2B5EF4-FFF2-40B4-BE49-F238E27FC236}">
                <a16:creationId xmlns:a16="http://schemas.microsoft.com/office/drawing/2014/main" id="{00000000-0008-0000-0300-000017000000}"/>
              </a:ext>
            </a:extLst>
          </xdr:cNvPr>
          <xdr:cNvCxnSpPr/>
        </xdr:nvCxnSpPr>
        <xdr:spPr>
          <a:xfrm>
            <a:off x="1333500" y="8705850"/>
            <a:ext cx="419100" cy="0"/>
          </a:xfrm>
          <a:prstGeom prst="straightConnector1">
            <a:avLst/>
          </a:prstGeom>
          <a:ln w="19050" cap="flat">
            <a:solidFill>
              <a:srgbClr val="404040"/>
            </a:solidFill>
            <a:round/>
            <a:tailEnd type="triangle" w="med" len="med"/>
          </a:ln>
        </xdr:spPr>
      </xdr:cxnSp>
      <xdr:sp macro="" textlink="">
        <xdr:nvSpPr>
          <xdr:cNvPr id="24" name="凡例: 実線矢印：オンライン・イベント">
            <a:extLst>
              <a:ext uri="{FF2B5EF4-FFF2-40B4-BE49-F238E27FC236}">
                <a16:creationId xmlns:a16="http://schemas.microsoft.com/office/drawing/2014/main" id="{00000000-0008-0000-0300-000018000000}"/>
              </a:ext>
            </a:extLst>
          </xdr:cNvPr>
          <xdr:cNvSpPr/>
        </xdr:nvSpPr>
        <xdr:spPr>
          <a:xfrm>
            <a:off x="1809750" y="8610600"/>
            <a:ext cx="1528762" cy="190500"/>
          </a:xfrm>
          <a:prstGeom prst="rect">
            <a:avLst/>
          </a:prstGeom>
          <a:noFill/>
          <a:ln>
            <a:noFill/>
          </a:ln>
        </xdr:spPr>
        <xdr:txBody>
          <a:bodyPr vertOverflow="overflow" horzOverflow="overflow" wrap="square" lIns="12700" tIns="0" rIns="12700" bIns="0" rtlCol="0" anchor="ctr">
            <a:noAutofit/>
          </a:bodyPr>
          <a:lstStyle/>
          <a:p>
            <a:pPr algn="l"/>
            <a:r>
              <a:rPr lang="ja-JP" altLang="en-US" sz="750" b="0" dirty="0">
                <a:solidFill>
                  <a:srgbClr val="404040"/>
                </a:solidFill>
                <a:latin typeface="Meiryo UI"/>
                <a:ea typeface="Meiryo UI"/>
                <a:cs typeface="Meiryo UI"/>
              </a:rPr>
              <a:t>実線矢印：オンライン・イベント</a:t>
            </a:r>
            <a:endParaRPr lang="ja-JP" altLang="en-US" sz="750" dirty="0">
              <a:latin typeface="Meiryo UI"/>
              <a:ea typeface="Meiryo UI"/>
            </a:endParaRPr>
          </a:p>
        </xdr:txBody>
      </xdr:sp>
      <xdr:cxnSp macro="">
        <xdr:nvCxnSpPr>
          <xdr:cNvPr id="25" name="凡例: バッチ・ファイル">
            <a:extLst>
              <a:ext uri="{FF2B5EF4-FFF2-40B4-BE49-F238E27FC236}">
                <a16:creationId xmlns:a16="http://schemas.microsoft.com/office/drawing/2014/main" id="{00000000-0008-0000-0300-000019000000}"/>
              </a:ext>
            </a:extLst>
          </xdr:cNvPr>
          <xdr:cNvCxnSpPr/>
        </xdr:nvCxnSpPr>
        <xdr:spPr>
          <a:xfrm>
            <a:off x="3357562" y="8705850"/>
            <a:ext cx="419100" cy="0"/>
          </a:xfrm>
          <a:prstGeom prst="straightConnector1">
            <a:avLst/>
          </a:prstGeom>
          <a:ln w="19050" cap="flat">
            <a:solidFill>
              <a:srgbClr val="404040"/>
            </a:solidFill>
            <a:prstDash val="dash"/>
            <a:round/>
            <a:tailEnd type="triangle" w="med" len="med"/>
          </a:ln>
        </xdr:spPr>
      </xdr:cxnSp>
      <xdr:sp macro="" textlink="">
        <xdr:nvSpPr>
          <xdr:cNvPr id="26" name="凡例: 破線矢印：バッチ・ファイル">
            <a:extLst>
              <a:ext uri="{FF2B5EF4-FFF2-40B4-BE49-F238E27FC236}">
                <a16:creationId xmlns:a16="http://schemas.microsoft.com/office/drawing/2014/main" id="{00000000-0008-0000-0300-00001A000000}"/>
              </a:ext>
            </a:extLst>
          </xdr:cNvPr>
          <xdr:cNvSpPr/>
        </xdr:nvSpPr>
        <xdr:spPr>
          <a:xfrm>
            <a:off x="3833812" y="8610600"/>
            <a:ext cx="1528762" cy="190500"/>
          </a:xfrm>
          <a:prstGeom prst="rect">
            <a:avLst/>
          </a:prstGeom>
          <a:noFill/>
          <a:ln>
            <a:noFill/>
          </a:ln>
        </xdr:spPr>
        <xdr:txBody>
          <a:bodyPr vertOverflow="overflow" horzOverflow="overflow" wrap="square" lIns="12700" tIns="0" rIns="12700" bIns="0" rtlCol="0" anchor="ctr">
            <a:noAutofit/>
          </a:bodyPr>
          <a:lstStyle/>
          <a:p>
            <a:pPr algn="l"/>
            <a:r>
              <a:rPr lang="ja-JP" altLang="en-US" sz="750" b="0" dirty="0">
                <a:solidFill>
                  <a:srgbClr val="404040"/>
                </a:solidFill>
                <a:latin typeface="Meiryo UI"/>
                <a:ea typeface="Meiryo UI"/>
                <a:cs typeface="Meiryo UI"/>
              </a:rPr>
              <a:t>破線矢印：バッチ・ファイル</a:t>
            </a:r>
            <a:endParaRPr lang="ja-JP" altLang="en-US" sz="750" dirty="0">
              <a:latin typeface="Meiryo UI"/>
              <a:ea typeface="Meiryo UI"/>
            </a:endParaRPr>
          </a:p>
        </xdr:txBody>
      </xdr:sp>
      <xdr:cxnSp macro="">
        <xdr:nvCxnSpPr>
          <xdr:cNvPr id="27" name="凡例: 監視・運用">
            <a:extLst>
              <a:ext uri="{FF2B5EF4-FFF2-40B4-BE49-F238E27FC236}">
                <a16:creationId xmlns:a16="http://schemas.microsoft.com/office/drawing/2014/main" id="{00000000-0008-0000-0300-00001B000000}"/>
              </a:ext>
            </a:extLst>
          </xdr:cNvPr>
          <xdr:cNvCxnSpPr/>
        </xdr:nvCxnSpPr>
        <xdr:spPr>
          <a:xfrm>
            <a:off x="5381625" y="8705850"/>
            <a:ext cx="419100" cy="0"/>
          </a:xfrm>
          <a:prstGeom prst="straightConnector1">
            <a:avLst/>
          </a:prstGeom>
          <a:ln w="12700" cap="flat">
            <a:solidFill>
              <a:srgbClr val="404040"/>
            </a:solidFill>
            <a:prstDash val="sysDot"/>
            <a:round/>
            <a:tailEnd type="triangle" w="med" len="med"/>
          </a:ln>
        </xdr:spPr>
      </xdr:cxnSp>
      <xdr:sp macro="" textlink="">
        <xdr:nvSpPr>
          <xdr:cNvPr id="28" name="凡例: 点線矢印：監視・運用">
            <a:extLst>
              <a:ext uri="{FF2B5EF4-FFF2-40B4-BE49-F238E27FC236}">
                <a16:creationId xmlns:a16="http://schemas.microsoft.com/office/drawing/2014/main" id="{00000000-0008-0000-0300-00001C000000}"/>
              </a:ext>
            </a:extLst>
          </xdr:cNvPr>
          <xdr:cNvSpPr/>
        </xdr:nvSpPr>
        <xdr:spPr>
          <a:xfrm>
            <a:off x="5857875" y="8610600"/>
            <a:ext cx="1528762" cy="190500"/>
          </a:xfrm>
          <a:prstGeom prst="rect">
            <a:avLst/>
          </a:prstGeom>
          <a:noFill/>
          <a:ln>
            <a:noFill/>
          </a:ln>
        </xdr:spPr>
        <xdr:txBody>
          <a:bodyPr vertOverflow="overflow" horzOverflow="overflow" wrap="square" lIns="12700" tIns="0" rIns="12700" bIns="0" rtlCol="0" anchor="ctr">
            <a:noAutofit/>
          </a:bodyPr>
          <a:lstStyle/>
          <a:p>
            <a:pPr algn="l"/>
            <a:r>
              <a:rPr lang="ja-JP" altLang="en-US" sz="750" b="0" dirty="0">
                <a:solidFill>
                  <a:srgbClr val="404040"/>
                </a:solidFill>
                <a:latin typeface="Meiryo UI"/>
                <a:ea typeface="Meiryo UI"/>
                <a:cs typeface="Meiryo UI"/>
              </a:rPr>
              <a:t>点線矢印：監視・運用</a:t>
            </a:r>
            <a:endParaRPr lang="ja-JP" altLang="en-US" sz="750" dirty="0">
              <a:latin typeface="Meiryo UI"/>
              <a:ea typeface="Meiryo UI"/>
            </a:endParaRPr>
          </a:p>
        </xdr:txBody>
      </xdr:sp>
      <xdr:cxnSp macro="">
        <xdr:nvCxnSpPr>
          <xdr:cNvPr id="29" name="凡例: 専用線・閉域網">
            <a:extLst>
              <a:ext uri="{FF2B5EF4-FFF2-40B4-BE49-F238E27FC236}">
                <a16:creationId xmlns:a16="http://schemas.microsoft.com/office/drawing/2014/main" id="{00000000-0008-0000-0300-00001D000000}"/>
              </a:ext>
            </a:extLst>
          </xdr:cNvPr>
          <xdr:cNvCxnSpPr/>
        </xdr:nvCxnSpPr>
        <xdr:spPr>
          <a:xfrm>
            <a:off x="7405688" y="8705850"/>
            <a:ext cx="419100" cy="0"/>
          </a:xfrm>
          <a:prstGeom prst="straightConnector1">
            <a:avLst/>
          </a:prstGeom>
          <a:ln w="38100" cap="flat">
            <a:solidFill>
              <a:srgbClr val="404040"/>
            </a:solidFill>
            <a:round/>
          </a:ln>
        </xdr:spPr>
      </xdr:cxnSp>
      <xdr:sp macro="" textlink="">
        <xdr:nvSpPr>
          <xdr:cNvPr id="30" name="凡例: 太線：専用線・閉域網">
            <a:extLst>
              <a:ext uri="{FF2B5EF4-FFF2-40B4-BE49-F238E27FC236}">
                <a16:creationId xmlns:a16="http://schemas.microsoft.com/office/drawing/2014/main" id="{00000000-0008-0000-0300-00001E000000}"/>
              </a:ext>
            </a:extLst>
          </xdr:cNvPr>
          <xdr:cNvSpPr/>
        </xdr:nvSpPr>
        <xdr:spPr>
          <a:xfrm>
            <a:off x="7881938" y="8610600"/>
            <a:ext cx="1528762" cy="190500"/>
          </a:xfrm>
          <a:prstGeom prst="rect">
            <a:avLst/>
          </a:prstGeom>
          <a:noFill/>
          <a:ln>
            <a:noFill/>
          </a:ln>
        </xdr:spPr>
        <xdr:txBody>
          <a:bodyPr vertOverflow="overflow" horzOverflow="overflow" wrap="square" lIns="12700" tIns="0" rIns="12700" bIns="0" rtlCol="0" anchor="ctr">
            <a:noAutofit/>
          </a:bodyPr>
          <a:lstStyle/>
          <a:p>
            <a:pPr algn="l"/>
            <a:r>
              <a:rPr lang="ja-JP" altLang="en-US" sz="750" b="0" dirty="0">
                <a:solidFill>
                  <a:srgbClr val="404040"/>
                </a:solidFill>
                <a:latin typeface="Meiryo UI"/>
                <a:ea typeface="Meiryo UI"/>
                <a:cs typeface="Meiryo UI"/>
              </a:rPr>
              <a:t>太線：専用線・閉域網</a:t>
            </a:r>
            <a:endParaRPr lang="ja-JP" altLang="en-US" sz="750" dirty="0">
              <a:latin typeface="Meiryo UI"/>
              <a:ea typeface="Meiryo UI"/>
            </a:endParaRPr>
          </a:p>
        </xdr:txBody>
      </xdr:sp>
      <xdr:sp macro="" textlink="">
        <xdr:nvSpPr>
          <xdr:cNvPr id="31" name="凡例: 角丸">
            <a:extLst>
              <a:ext uri="{FF2B5EF4-FFF2-40B4-BE49-F238E27FC236}">
                <a16:creationId xmlns:a16="http://schemas.microsoft.com/office/drawing/2014/main" id="{00000000-0008-0000-0300-00001F000000}"/>
              </a:ext>
            </a:extLst>
          </xdr:cNvPr>
          <xdr:cNvSpPr/>
        </xdr:nvSpPr>
        <xdr:spPr>
          <a:xfrm>
            <a:off x="1333500" y="8924925"/>
            <a:ext cx="304800" cy="171450"/>
          </a:xfrm>
          <a:custGeom>
            <a:avLst/>
            <a:gdLst>
              <a:gd name="x1" fmla="*/ w 1 4"/>
              <a:gd name="x2" fmla="*/ w 1 2"/>
              <a:gd name="x3" fmla="*/ w 3 4"/>
              <a:gd name="y1" fmla="*/ h 1 4"/>
              <a:gd name="y2" fmla="*/ h 1 2"/>
              <a:gd name="y3" fmla="*/ h 3 4"/>
              <a:gd name="smin" fmla="min w h"/>
              <a:gd name="hm" fmla="*/ smin 1 2"/>
              <a:gd name="rd" fmla="min 381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FFFFFF"/>
          </a:solidFill>
          <a:ln w="9525" cap="flat">
            <a:solidFill>
              <a:srgbClr val="404040"/>
            </a:solidFill>
            <a:round/>
          </a:ln>
        </xdr:spPr>
        <xdr:txBody>
          <a:bodyPr vertOverflow="overflow" horzOverflow="overflow" wrap="square" lIns="38100" tIns="19050" rIns="38100" bIns="19050" rtlCol="0" anchor="ctr">
            <a:noAutofit/>
          </a:bodyPr>
          <a:lstStyle/>
          <a:p>
            <a:pPr algn="ctr"/>
            <a:endParaRPr lang="ja-JP" altLang="en-US" sz="600" dirty="0">
              <a:latin typeface="Meiryo UI"/>
              <a:ea typeface="Meiryo UI"/>
            </a:endParaRPr>
          </a:p>
        </xdr:txBody>
      </xdr:sp>
      <xdr:sp macro="" textlink="">
        <xdr:nvSpPr>
          <xdr:cNvPr id="32" name="凡例: 円柱">
            <a:extLst>
              <a:ext uri="{FF2B5EF4-FFF2-40B4-BE49-F238E27FC236}">
                <a16:creationId xmlns:a16="http://schemas.microsoft.com/office/drawing/2014/main" id="{00000000-0008-0000-0300-000020000000}"/>
              </a:ext>
            </a:extLst>
          </xdr:cNvPr>
          <xdr:cNvSpPr/>
        </xdr:nvSpPr>
        <xdr:spPr>
          <a:xfrm>
            <a:off x="1676400" y="8905875"/>
            <a:ext cx="171450" cy="209550"/>
          </a:xfrm>
          <a:custGeom>
            <a:avLst/>
            <a:gdLst>
              <a:gd name="x1" fmla="*/ w 1 4"/>
              <a:gd name="x2" fmla="*/ w 1 2"/>
              <a:gd name="x3" fmla="*/ w 3 4"/>
              <a:gd name="y1" fmla="*/ h 1 4"/>
              <a:gd name="y2" fmla="*/ h 1 2"/>
              <a:gd name="y3" fmla="*/ h 3 4"/>
              <a:gd name="smin" fmla="min w h"/>
              <a:gd name="ry" fmla="*/ smin 1 8"/>
              <a:gd name="wr" fmla="*/ w 1 2"/>
              <a:gd name="ty" fmla="*/ ry 13397 100000"/>
              <a:gd name="by" fmla="+- b 0 ty"/>
              <a:gd name="y4" fmla="+- b 0 ry"/>
              <a:gd name="ry2" fmla="*/ ry 2 1"/>
            </a:gdLst>
            <a:ahLst/>
            <a:cxnLst>
              <a:cxn ang="16200000">
                <a:pos x="x2" y="t"/>
              </a:cxn>
              <a:cxn ang="16200000">
                <a:pos x="x3" y="ty"/>
              </a:cxn>
              <a:cxn ang="0">
                <a:pos x="r" y="y1"/>
              </a:cxn>
              <a:cxn ang="0">
                <a:pos x="r" y="y2"/>
              </a:cxn>
              <a:cxn ang="0">
                <a:pos x="r" y="y3"/>
              </a:cxn>
              <a:cxn ang="5400000">
                <a:pos x="x3" y="by"/>
              </a:cxn>
              <a:cxn ang="5400000">
                <a:pos x="x2" y="b"/>
              </a:cxn>
              <a:cxn ang="5400000">
                <a:pos x="x1" y="by"/>
              </a:cxn>
              <a:cxn ang="10800000">
                <a:pos x="l" y="y3"/>
              </a:cxn>
              <a:cxn ang="10800000">
                <a:pos x="l" y="y2"/>
              </a:cxn>
              <a:cxn ang="10800000">
                <a:pos x="l" y="y1"/>
              </a:cxn>
              <a:cxn ang="16200000">
                <a:pos x="x1" y="ty"/>
              </a:cxn>
            </a:cxnLst>
            <a:rect l="l" t="t" r="r" b="b"/>
            <a:pathLst>
              <a:path stroke="0" extrusionOk="0">
                <a:moveTo>
                  <a:pt x="l" y="ry"/>
                </a:moveTo>
                <a:arcTo wR="wr" hR="ry" stAng="10800000" swAng="-10800000"/>
                <a:lnTo>
                  <a:pt x="r" y="y4"/>
                </a:lnTo>
                <a:arcTo wR="wr" hR="ry" stAng="0" swAng="10800000"/>
                <a:close/>
              </a:path>
              <a:path fill="lighten" stroke="0" extrusionOk="0">
                <a:moveTo>
                  <a:pt x="l" y="ry"/>
                </a:moveTo>
                <a:arcTo wR="wr" hR="ry" stAng="10800000" swAng="10800000"/>
                <a:arcTo wR="wr" hR="ry" stAng="0" swAng="10800000"/>
                <a:close/>
              </a:path>
              <a:path fill="none" extrusionOk="0">
                <a:moveTo>
                  <a:pt x="r" y="ry"/>
                </a:moveTo>
                <a:arcTo wR="wr" hR="ry" stAng="0" swAng="10800000"/>
                <a:arcTo wR="wr" hR="ry" stAng="10800000" swAng="10800000"/>
                <a:lnTo>
                  <a:pt x="r" y="y4"/>
                </a:lnTo>
                <a:arcTo wR="wr" hR="ry" stAng="0" swAng="10800000"/>
                <a:lnTo>
                  <a:pt x="l" y="ry"/>
                </a:lnTo>
              </a:path>
            </a:pathLst>
          </a:custGeom>
          <a:solidFill>
            <a:srgbClr val="FFFFFF"/>
          </a:solidFill>
          <a:ln w="9525" cap="flat">
            <a:solidFill>
              <a:srgbClr val="404040"/>
            </a:solidFill>
            <a:round/>
          </a:ln>
        </xdr:spPr>
        <xdr:txBody>
          <a:bodyPr vertOverflow="overflow" horzOverflow="overflow" wrap="square" lIns="38100" tIns="19050" rIns="38100" bIns="19050" rtlCol="0" anchor="ctr">
            <a:noAutofit/>
          </a:bodyPr>
          <a:lstStyle/>
          <a:p>
            <a:pPr algn="ctr"/>
            <a:endParaRPr lang="ja-JP" altLang="en-US" sz="600" dirty="0">
              <a:latin typeface="Meiryo UI"/>
              <a:ea typeface="Meiryo UI"/>
            </a:endParaRPr>
          </a:p>
        </xdr:txBody>
      </xdr:sp>
      <xdr:sp macro="" textlink="">
        <xdr:nvSpPr>
          <xdr:cNvPr id="33" name="凡例: 図形の説明">
            <a:extLst>
              <a:ext uri="{FF2B5EF4-FFF2-40B4-BE49-F238E27FC236}">
                <a16:creationId xmlns:a16="http://schemas.microsoft.com/office/drawing/2014/main" id="{00000000-0008-0000-0300-000021000000}"/>
              </a:ext>
            </a:extLst>
          </xdr:cNvPr>
          <xdr:cNvSpPr/>
        </xdr:nvSpPr>
        <xdr:spPr>
          <a:xfrm>
            <a:off x="1885950" y="8915400"/>
            <a:ext cx="1452562" cy="190500"/>
          </a:xfrm>
          <a:prstGeom prst="rect">
            <a:avLst/>
          </a:prstGeom>
          <a:noFill/>
          <a:ln>
            <a:noFill/>
          </a:ln>
        </xdr:spPr>
        <xdr:txBody>
          <a:bodyPr vertOverflow="overflow" horzOverflow="overflow" wrap="square" lIns="12700" tIns="0" rIns="12700" bIns="0" rtlCol="0" anchor="ctr">
            <a:noAutofit/>
          </a:bodyPr>
          <a:lstStyle/>
          <a:p>
            <a:pPr algn="l"/>
            <a:r>
              <a:rPr lang="ja-JP" altLang="en-US" sz="750" b="0" dirty="0">
                <a:solidFill>
                  <a:srgbClr val="404040"/>
                </a:solidFill>
                <a:latin typeface="Meiryo UI"/>
                <a:ea typeface="Meiryo UI"/>
                <a:cs typeface="Meiryo UI"/>
              </a:rPr>
              <a:t>システム・サービス／DB</a:t>
            </a:r>
            <a:endParaRPr lang="ja-JP" altLang="en-US" sz="750" dirty="0">
              <a:latin typeface="Meiryo UI"/>
              <a:ea typeface="Meiryo UI"/>
            </a:endParaRPr>
          </a:p>
        </xdr:txBody>
      </xdr:sp>
      <xdr:sp macro="" textlink="">
        <xdr:nvSpPr>
          <xdr:cNvPr id="34" name="凡例: 番号">
            <a:extLst>
              <a:ext uri="{FF2B5EF4-FFF2-40B4-BE49-F238E27FC236}">
                <a16:creationId xmlns:a16="http://schemas.microsoft.com/office/drawing/2014/main" id="{00000000-0008-0000-0300-000022000000}"/>
              </a:ext>
            </a:extLst>
          </xdr:cNvPr>
          <xdr:cNvSpPr/>
        </xdr:nvSpPr>
        <xdr:spPr>
          <a:xfrm>
            <a:off x="3357562" y="8924925"/>
            <a:ext cx="304800" cy="171450"/>
          </a:xfrm>
          <a:prstGeom prst="roundRect">
            <a:avLst>
              <a:gd name="adj" fmla="val 50000"/>
            </a:avLst>
          </a:prstGeom>
          <a:solidFill>
            <a:srgbClr val="315C92"/>
          </a:solidFill>
          <a:ln>
            <a:noFill/>
          </a:ln>
        </xdr:spPr>
        <xdr:txBody>
          <a:bodyPr vertOverflow="overflow" horzOverflow="overflow" wrap="none" lIns="0" tIns="0" rIns="0" bIns="0" rtlCol="0" anchor="ctr">
            <a:noAutofit/>
          </a:bodyPr>
          <a:lstStyle/>
          <a:p>
            <a:pPr algn="ctr"/>
            <a:r>
              <a:rPr lang="ja-JP" altLang="en-US" sz="650" b="1" dirty="0">
                <a:solidFill>
                  <a:srgbClr val="FFFFFF"/>
                </a:solidFill>
                <a:latin typeface="Meiryo UI"/>
                <a:ea typeface="Meiryo UI"/>
                <a:cs typeface="Meiryo UI"/>
              </a:rPr>
              <a:t>A1</a:t>
            </a:r>
            <a:endParaRPr lang="ja-JP" altLang="en-US" sz="650" dirty="0">
              <a:latin typeface="Meiryo UI"/>
              <a:ea typeface="Meiryo UI"/>
            </a:endParaRPr>
          </a:p>
        </xdr:txBody>
      </xdr:sp>
      <xdr:sp macro="" textlink="">
        <xdr:nvSpPr>
          <xdr:cNvPr id="35" name="凡例: 番号の説明">
            <a:extLst>
              <a:ext uri="{FF2B5EF4-FFF2-40B4-BE49-F238E27FC236}">
                <a16:creationId xmlns:a16="http://schemas.microsoft.com/office/drawing/2014/main" id="{00000000-0008-0000-0300-000023000000}"/>
              </a:ext>
            </a:extLst>
          </xdr:cNvPr>
          <xdr:cNvSpPr/>
        </xdr:nvSpPr>
        <xdr:spPr>
          <a:xfrm>
            <a:off x="3700462" y="8915400"/>
            <a:ext cx="1662112" cy="190500"/>
          </a:xfrm>
          <a:prstGeom prst="rect">
            <a:avLst/>
          </a:prstGeom>
          <a:noFill/>
          <a:ln>
            <a:noFill/>
          </a:ln>
        </xdr:spPr>
        <xdr:txBody>
          <a:bodyPr vertOverflow="overflow" horzOverflow="overflow" wrap="square" lIns="12700" tIns="0" rIns="12700" bIns="0" rtlCol="0" anchor="ctr">
            <a:noAutofit/>
          </a:bodyPr>
          <a:lstStyle/>
          <a:p>
            <a:pPr algn="l"/>
            <a:r>
              <a:rPr lang="ja-JP" altLang="en-US" sz="750" b="0" dirty="0">
                <a:solidFill>
                  <a:srgbClr val="404040"/>
                </a:solidFill>
                <a:latin typeface="Meiryo UI"/>
                <a:ea typeface="Meiryo UI"/>
                <a:cs typeface="Meiryo UI"/>
              </a:rPr>
              <a:t>連携番号（→連携一覧）</a:t>
            </a:r>
            <a:endParaRPr lang="ja-JP" altLang="en-US" sz="750" dirty="0">
              <a:latin typeface="Meiryo UI"/>
              <a:ea typeface="Meiryo UI"/>
            </a:endParaRPr>
          </a:p>
        </xdr:txBody>
      </xdr:sp>
      <xdr:sp macro="" textlink="">
        <xdr:nvSpPr>
          <xdr:cNvPr id="36" name="凡例: ポイント">
            <a:extLst>
              <a:ext uri="{FF2B5EF4-FFF2-40B4-BE49-F238E27FC236}">
                <a16:creationId xmlns:a16="http://schemas.microsoft.com/office/drawing/2014/main" id="{00000000-0008-0000-0300-000024000000}"/>
              </a:ext>
            </a:extLst>
          </xdr:cNvPr>
          <xdr:cNvSpPr/>
        </xdr:nvSpPr>
        <xdr:spPr>
          <a:xfrm>
            <a:off x="5381625" y="8924925"/>
            <a:ext cx="304800" cy="171450"/>
          </a:xfrm>
          <a:prstGeom prst="rect">
            <a:avLst/>
          </a:prstGeom>
          <a:solidFill>
            <a:srgbClr val="315C92"/>
          </a:solidFill>
          <a:ln>
            <a:noFill/>
          </a:ln>
        </xdr:spPr>
        <xdr:txBody>
          <a:bodyPr vertOverflow="overflow" horzOverflow="overflow" wrap="none" lIns="0" tIns="0" rIns="0" bIns="0" rtlCol="0" anchor="ctr">
            <a:noAutofit/>
          </a:bodyPr>
          <a:lstStyle/>
          <a:p>
            <a:pPr algn="ctr"/>
            <a:r>
              <a:rPr lang="ja-JP" altLang="en-US" sz="500" b="1" dirty="0">
                <a:solidFill>
                  <a:srgbClr val="FFFFFF"/>
                </a:solidFill>
                <a:latin typeface="Meiryo UI"/>
                <a:ea typeface="Meiryo UI"/>
                <a:cs typeface="Meiryo UI"/>
              </a:rPr>
              <a:t>POINT</a:t>
            </a:r>
            <a:endParaRPr lang="ja-JP" altLang="en-US" sz="500" dirty="0">
              <a:latin typeface="Meiryo UI"/>
              <a:ea typeface="Meiryo UI"/>
            </a:endParaRPr>
          </a:p>
        </xdr:txBody>
      </xdr:sp>
      <xdr:sp macro="" textlink="">
        <xdr:nvSpPr>
          <xdr:cNvPr id="37" name="凡例: ポイントの説明">
            <a:extLst>
              <a:ext uri="{FF2B5EF4-FFF2-40B4-BE49-F238E27FC236}">
                <a16:creationId xmlns:a16="http://schemas.microsoft.com/office/drawing/2014/main" id="{00000000-0008-0000-0300-000025000000}"/>
              </a:ext>
            </a:extLst>
          </xdr:cNvPr>
          <xdr:cNvSpPr/>
        </xdr:nvSpPr>
        <xdr:spPr>
          <a:xfrm>
            <a:off x="5724525" y="8915400"/>
            <a:ext cx="1662112" cy="190500"/>
          </a:xfrm>
          <a:prstGeom prst="rect">
            <a:avLst/>
          </a:prstGeom>
          <a:noFill/>
          <a:ln>
            <a:noFill/>
          </a:ln>
        </xdr:spPr>
        <xdr:txBody>
          <a:bodyPr vertOverflow="overflow" horzOverflow="overflow" wrap="square" lIns="12700" tIns="0" rIns="12700" bIns="0" rtlCol="0" anchor="ctr">
            <a:noAutofit/>
          </a:bodyPr>
          <a:lstStyle/>
          <a:p>
            <a:pPr algn="l"/>
            <a:r>
              <a:rPr lang="ja-JP" altLang="en-US" sz="750" b="0" dirty="0">
                <a:solidFill>
                  <a:srgbClr val="404040"/>
                </a:solidFill>
                <a:latin typeface="Meiryo UI"/>
                <a:ea typeface="Meiryo UI"/>
                <a:cs typeface="Meiryo UI"/>
              </a:rPr>
              <a:t>ポイント・付記（ルート色）</a:t>
            </a:r>
            <a:endParaRPr lang="ja-JP" altLang="en-US" sz="750" dirty="0">
              <a:latin typeface="Meiryo UI"/>
              <a:ea typeface="Meiryo UI"/>
            </a:endParaRPr>
          </a:p>
        </xdr:txBody>
      </xdr:sp>
      <xdr:sp macro="" textlink="">
        <xdr:nvSpPr>
          <xdr:cNvPr id="38" name="凡例: 新規">
            <a:extLst>
              <a:ext uri="{FF2B5EF4-FFF2-40B4-BE49-F238E27FC236}">
                <a16:creationId xmlns:a16="http://schemas.microsoft.com/office/drawing/2014/main" id="{00000000-0008-0000-0300-000026000000}"/>
              </a:ext>
            </a:extLst>
          </xdr:cNvPr>
          <xdr:cNvSpPr/>
        </xdr:nvSpPr>
        <xdr:spPr>
          <a:xfrm>
            <a:off x="7405688" y="8924925"/>
            <a:ext cx="304800" cy="171450"/>
          </a:xfrm>
          <a:prstGeom prst="rect">
            <a:avLst/>
          </a:prstGeom>
          <a:noFill/>
          <a:ln w="12700" cap="flat">
            <a:solidFill>
              <a:srgbClr val="C00000"/>
            </a:solidFill>
            <a:prstDash val="dash"/>
            <a:round/>
          </a:ln>
        </xdr:spPr>
        <xdr:txBody>
          <a:bodyPr vertOverflow="overflow" horzOverflow="overflow" wrap="square" lIns="38100" tIns="19050" rIns="38100" bIns="19050" rtlCol="0" anchor="ctr">
            <a:noAutofit/>
          </a:bodyPr>
          <a:lstStyle/>
          <a:p>
            <a:pPr algn="ctr"/>
            <a:endParaRPr lang="ja-JP" altLang="en-US" sz="600" dirty="0">
              <a:latin typeface="Meiryo UI"/>
              <a:ea typeface="Meiryo UI"/>
            </a:endParaRPr>
          </a:p>
        </xdr:txBody>
      </xdr:sp>
      <xdr:sp macro="" textlink="">
        <xdr:nvSpPr>
          <xdr:cNvPr id="39" name="凡例: 新規の説明">
            <a:extLst>
              <a:ext uri="{FF2B5EF4-FFF2-40B4-BE49-F238E27FC236}">
                <a16:creationId xmlns:a16="http://schemas.microsoft.com/office/drawing/2014/main" id="{00000000-0008-0000-0300-000027000000}"/>
              </a:ext>
            </a:extLst>
          </xdr:cNvPr>
          <xdr:cNvSpPr/>
        </xdr:nvSpPr>
        <xdr:spPr>
          <a:xfrm>
            <a:off x="7748587" y="8915400"/>
            <a:ext cx="1662112" cy="190500"/>
          </a:xfrm>
          <a:prstGeom prst="rect">
            <a:avLst/>
          </a:prstGeom>
          <a:noFill/>
          <a:ln>
            <a:noFill/>
          </a:ln>
        </xdr:spPr>
        <xdr:txBody>
          <a:bodyPr vertOverflow="overflow" horzOverflow="overflow" wrap="square" lIns="12700" tIns="0" rIns="12700" bIns="0" rtlCol="0" anchor="ctr">
            <a:noAutofit/>
          </a:bodyPr>
          <a:lstStyle/>
          <a:p>
            <a:pPr algn="l"/>
            <a:r>
              <a:rPr lang="ja-JP" altLang="en-US" sz="750" b="0" dirty="0">
                <a:solidFill>
                  <a:srgbClr val="404040"/>
                </a:solidFill>
                <a:latin typeface="Meiryo UI"/>
                <a:ea typeface="Meiryo UI"/>
                <a:cs typeface="Meiryo UI"/>
              </a:rPr>
              <a:t>新規・変更箇所（赤破線）</a:t>
            </a:r>
            <a:endParaRPr lang="ja-JP" altLang="en-US" sz="750" dirty="0">
              <a:latin typeface="Meiryo UI"/>
              <a:ea typeface="Meiryo UI"/>
            </a:endParaRPr>
          </a:p>
        </xdr:txBody>
      </xdr:sp>
    </xdr:grpSp>
    <xdr:clientData/>
  </xdr:twoCellAnchor>
  <xdr:twoCellAnchor editAs="oneCell">
    <xdr:from>
      <xdr:col>4</xdr:col>
      <xdr:colOff>0</xdr:colOff>
      <xdr:row>8</xdr:row>
      <xdr:rowOff>0</xdr:rowOff>
    </xdr:from>
    <xdr:to>
      <xdr:col>12</xdr:col>
      <xdr:colOff>0</xdr:colOff>
      <xdr:row>12</xdr:row>
      <xdr:rowOff>0</xdr:rowOff>
    </xdr:to>
    <xdr:sp macro="" textlink="">
      <xdr:nvSpPr>
        <xdr:cNvPr id="41" name="ノード: Salesforce">
          <a:extLst>
            <a:ext uri="{FF2B5EF4-FFF2-40B4-BE49-F238E27FC236}">
              <a16:creationId xmlns:a16="http://schemas.microsoft.com/office/drawing/2014/main" id="{00000000-0008-0000-0300-000029000000}"/>
            </a:ext>
          </a:extLst>
        </xdr:cNvPr>
        <xdr:cNvSpPr/>
      </xdr:nvSpPr>
      <xdr:spPr>
        <a:xfrm>
          <a:off x="762000" y="1524000"/>
          <a:ext cx="1524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315C92"/>
        </a:solidFill>
        <a:ln w="15875" cap="flat">
          <a:solidFill>
            <a:srgbClr val="315C92"/>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FFFFFF"/>
              </a:solidFill>
              <a:latin typeface="Meiryo UI"/>
              <a:ea typeface="Meiryo UI"/>
              <a:cs typeface="Meiryo UI"/>
            </a:rPr>
            <a:t>Salesforce</a:t>
          </a:r>
          <a:endParaRPr lang="ja-JP" altLang="en-US" sz="950" dirty="0">
            <a:latin typeface="Meiryo UI"/>
            <a:ea typeface="Meiryo UI"/>
          </a:endParaRPr>
        </a:p>
        <a:p>
          <a:pPr algn="ctr">
            <a:lnSpc>
              <a:spcPct val="95000"/>
            </a:lnSpc>
            <a:spcBef>
              <a:spcPts val="50"/>
            </a:spcBef>
          </a:pPr>
          <a:r>
            <a:rPr lang="ja-JP" altLang="en-US" sz="750" b="0" dirty="0">
              <a:solidFill>
                <a:srgbClr val="DBE9FC"/>
              </a:solidFill>
              <a:latin typeface="Meiryo UI"/>
              <a:ea typeface="Meiryo UI"/>
              <a:cs typeface="Meiryo UI"/>
            </a:rPr>
            <a:t>商談・顧客・受注</a:t>
          </a:r>
          <a:endParaRPr lang="ja-JP" altLang="en-US" sz="750" dirty="0">
            <a:latin typeface="Meiryo UI"/>
            <a:ea typeface="Meiryo UI"/>
          </a:endParaRPr>
        </a:p>
      </xdr:txBody>
    </xdr:sp>
    <xdr:clientData/>
  </xdr:twoCellAnchor>
  <xdr:twoCellAnchor editAs="oneCell">
    <xdr:from>
      <xdr:col>4</xdr:col>
      <xdr:colOff>0</xdr:colOff>
      <xdr:row>19</xdr:row>
      <xdr:rowOff>0</xdr:rowOff>
    </xdr:from>
    <xdr:to>
      <xdr:col>12</xdr:col>
      <xdr:colOff>0</xdr:colOff>
      <xdr:row>23</xdr:row>
      <xdr:rowOff>0</xdr:rowOff>
    </xdr:to>
    <xdr:sp macro="" textlink="">
      <xdr:nvSpPr>
        <xdr:cNvPr id="42" name="ノード: 社内ユーザー">
          <a:extLst>
            <a:ext uri="{FF2B5EF4-FFF2-40B4-BE49-F238E27FC236}">
              <a16:creationId xmlns:a16="http://schemas.microsoft.com/office/drawing/2014/main" id="{00000000-0008-0000-0300-00002A000000}"/>
            </a:ext>
          </a:extLst>
        </xdr:cNvPr>
        <xdr:cNvSpPr/>
      </xdr:nvSpPr>
      <xdr:spPr>
        <a:xfrm>
          <a:off x="762000" y="3619500"/>
          <a:ext cx="1524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247966"/>
        </a:solidFill>
        <a:ln w="15875" cap="flat">
          <a:solidFill>
            <a:srgbClr val="247966"/>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FFFFFF"/>
              </a:solidFill>
              <a:latin typeface="Meiryo UI"/>
              <a:ea typeface="Meiryo UI"/>
              <a:cs typeface="Meiryo UI"/>
            </a:rPr>
            <a:t>社内ユーザー</a:t>
          </a:r>
          <a:endParaRPr lang="ja-JP" altLang="en-US" sz="950" dirty="0">
            <a:latin typeface="Meiryo UI"/>
            <a:ea typeface="Meiryo UI"/>
          </a:endParaRPr>
        </a:p>
        <a:p>
          <a:pPr algn="ctr">
            <a:lnSpc>
              <a:spcPct val="95000"/>
            </a:lnSpc>
            <a:spcBef>
              <a:spcPts val="50"/>
            </a:spcBef>
          </a:pPr>
          <a:r>
            <a:rPr lang="ja-JP" altLang="en-US" sz="750" b="0" dirty="0">
              <a:solidFill>
                <a:srgbClr val="D4EFE7"/>
              </a:solidFill>
              <a:latin typeface="Meiryo UI"/>
              <a:ea typeface="Meiryo UI"/>
              <a:cs typeface="Meiryo UI"/>
            </a:rPr>
            <a:t>本社・支店のPC</a:t>
          </a:r>
          <a:endParaRPr lang="ja-JP" altLang="en-US" sz="750" dirty="0">
            <a:latin typeface="Meiryo UI"/>
            <a:ea typeface="Meiryo UI"/>
          </a:endParaRPr>
        </a:p>
      </xdr:txBody>
    </xdr:sp>
    <xdr:clientData/>
  </xdr:twoCellAnchor>
  <xdr:twoCellAnchor editAs="oneCell">
    <xdr:from>
      <xdr:col>4</xdr:col>
      <xdr:colOff>0</xdr:colOff>
      <xdr:row>25</xdr:row>
      <xdr:rowOff>0</xdr:rowOff>
    </xdr:from>
    <xdr:to>
      <xdr:col>12</xdr:col>
      <xdr:colOff>0</xdr:colOff>
      <xdr:row>29</xdr:row>
      <xdr:rowOff>0</xdr:rowOff>
    </xdr:to>
    <xdr:sp macro="" textlink="">
      <xdr:nvSpPr>
        <xdr:cNvPr id="43" name="ノード: 基幹システム">
          <a:extLst>
            <a:ext uri="{FF2B5EF4-FFF2-40B4-BE49-F238E27FC236}">
              <a16:creationId xmlns:a16="http://schemas.microsoft.com/office/drawing/2014/main" id="{00000000-0008-0000-0300-00002B000000}"/>
            </a:ext>
          </a:extLst>
        </xdr:cNvPr>
        <xdr:cNvSpPr/>
      </xdr:nvSpPr>
      <xdr:spPr>
        <a:xfrm>
          <a:off x="762000" y="4762500"/>
          <a:ext cx="1524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E3F5EF"/>
        </a:solidFill>
        <a:ln w="15875" cap="flat">
          <a:solidFill>
            <a:srgbClr val="247966"/>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262626"/>
              </a:solidFill>
              <a:latin typeface="Meiryo UI"/>
              <a:ea typeface="Meiryo UI"/>
              <a:cs typeface="Meiryo UI"/>
            </a:rPr>
            <a:t>基幹システム</a:t>
          </a:r>
          <a:endParaRPr lang="ja-JP" altLang="en-US" sz="950" dirty="0">
            <a:latin typeface="Meiryo UI"/>
            <a:ea typeface="Meiryo UI"/>
          </a:endParaRPr>
        </a:p>
        <a:p>
          <a:pPr algn="ctr">
            <a:lnSpc>
              <a:spcPct val="95000"/>
            </a:lnSpc>
            <a:spcBef>
              <a:spcPts val="50"/>
            </a:spcBef>
          </a:pPr>
          <a:r>
            <a:rPr lang="ja-JP" altLang="en-US" sz="750" b="0" dirty="0">
              <a:solidFill>
                <a:srgbClr val="595959"/>
              </a:solidFill>
              <a:latin typeface="Meiryo UI"/>
              <a:ea typeface="Meiryo UI"/>
              <a:cs typeface="Meiryo UI"/>
            </a:rPr>
            <a:t>オンプレミス（ERP）</a:t>
          </a:r>
          <a:endParaRPr lang="ja-JP" altLang="en-US" sz="750" dirty="0">
            <a:latin typeface="Meiryo UI"/>
            <a:ea typeface="Meiryo UI"/>
          </a:endParaRPr>
        </a:p>
      </xdr:txBody>
    </xdr:sp>
    <xdr:clientData/>
  </xdr:twoCellAnchor>
  <xdr:twoCellAnchor editAs="oneCell">
    <xdr:from>
      <xdr:col>4</xdr:col>
      <xdr:colOff>0</xdr:colOff>
      <xdr:row>34</xdr:row>
      <xdr:rowOff>0</xdr:rowOff>
    </xdr:from>
    <xdr:to>
      <xdr:col>12</xdr:col>
      <xdr:colOff>0</xdr:colOff>
      <xdr:row>38</xdr:row>
      <xdr:rowOff>0</xdr:rowOff>
    </xdr:to>
    <xdr:sp macro="" textlink="">
      <xdr:nvSpPr>
        <xdr:cNvPr id="44" name="ノード: 外部ユーザー">
          <a:extLst>
            <a:ext uri="{FF2B5EF4-FFF2-40B4-BE49-F238E27FC236}">
              <a16:creationId xmlns:a16="http://schemas.microsoft.com/office/drawing/2014/main" id="{00000000-0008-0000-0300-00002C000000}"/>
            </a:ext>
          </a:extLst>
        </xdr:cNvPr>
        <xdr:cNvSpPr/>
      </xdr:nvSpPr>
      <xdr:spPr>
        <a:xfrm>
          <a:off x="762000" y="6477000"/>
          <a:ext cx="1524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C46B39"/>
        </a:solidFill>
        <a:ln w="15875" cap="flat">
          <a:solidFill>
            <a:srgbClr val="C46B39"/>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FFFFFF"/>
              </a:solidFill>
              <a:latin typeface="Meiryo UI"/>
              <a:ea typeface="Meiryo UI"/>
              <a:cs typeface="Meiryo UI"/>
            </a:rPr>
            <a:t>外部ユーザー</a:t>
          </a:r>
          <a:endParaRPr lang="ja-JP" altLang="en-US" sz="950" dirty="0">
            <a:latin typeface="Meiryo UI"/>
            <a:ea typeface="Meiryo UI"/>
          </a:endParaRPr>
        </a:p>
        <a:p>
          <a:pPr algn="ctr">
            <a:lnSpc>
              <a:spcPct val="95000"/>
            </a:lnSpc>
            <a:spcBef>
              <a:spcPts val="50"/>
            </a:spcBef>
          </a:pPr>
          <a:r>
            <a:rPr lang="ja-JP" altLang="en-US" sz="750" b="0" dirty="0">
              <a:solidFill>
                <a:srgbClr val="FAE2D7"/>
              </a:solidFill>
              <a:latin typeface="Meiryo UI"/>
              <a:ea typeface="Meiryo UI"/>
              <a:cs typeface="Meiryo UI"/>
            </a:rPr>
            <a:t>取引先・顧客（Web）</a:t>
          </a:r>
          <a:endParaRPr lang="ja-JP" altLang="en-US" sz="750" dirty="0">
            <a:latin typeface="Meiryo UI"/>
            <a:ea typeface="Meiryo UI"/>
          </a:endParaRPr>
        </a:p>
      </xdr:txBody>
    </xdr:sp>
    <xdr:clientData/>
  </xdr:twoCellAnchor>
  <xdr:twoCellAnchor editAs="oneCell">
    <xdr:from>
      <xdr:col>17</xdr:col>
      <xdr:colOff>0</xdr:colOff>
      <xdr:row>20</xdr:row>
      <xdr:rowOff>0</xdr:rowOff>
    </xdr:from>
    <xdr:to>
      <xdr:col>25</xdr:col>
      <xdr:colOff>0</xdr:colOff>
      <xdr:row>28</xdr:row>
      <xdr:rowOff>0</xdr:rowOff>
    </xdr:to>
    <xdr:sp macro="" textlink="">
      <xdr:nvSpPr>
        <xdr:cNvPr id="45" name="ノード: Direct Connect">
          <a:extLst>
            <a:ext uri="{FF2B5EF4-FFF2-40B4-BE49-F238E27FC236}">
              <a16:creationId xmlns:a16="http://schemas.microsoft.com/office/drawing/2014/main" id="{00000000-0008-0000-0300-00002D000000}"/>
            </a:ext>
          </a:extLst>
        </xdr:cNvPr>
        <xdr:cNvSpPr/>
      </xdr:nvSpPr>
      <xdr:spPr>
        <a:xfrm>
          <a:off x="3238500" y="3810000"/>
          <a:ext cx="1524000" cy="1524000"/>
        </a:xfrm>
        <a:custGeom>
          <a:avLst/>
          <a:gdLst>
            <a:gd name="x1" fmla="*/ w 1 4"/>
            <a:gd name="x2" fmla="*/ w 1 2"/>
            <a:gd name="x3" fmla="*/ w 3 4"/>
            <a:gd name="y1" fmla="*/ h 1 4"/>
            <a:gd name="y2" fmla="*/ h 1 2"/>
            <a:gd name="y3" fmla="*/ h 3 4"/>
            <a:gd name="smin" fmla="min w h"/>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r" y="t"/>
              </a:lnTo>
              <a:lnTo>
                <a:pt x="r" y="b"/>
              </a:lnTo>
              <a:lnTo>
                <a:pt x="l" y="b"/>
              </a:lnTo>
              <a:close/>
            </a:path>
          </a:pathLst>
        </a:custGeom>
        <a:solidFill>
          <a:srgbClr val="E3F5EF"/>
        </a:solidFill>
        <a:ln w="15875" cap="flat">
          <a:solidFill>
            <a:srgbClr val="247966"/>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262626"/>
              </a:solidFill>
              <a:latin typeface="Meiryo UI"/>
              <a:ea typeface="Meiryo UI"/>
              <a:cs typeface="Meiryo UI"/>
            </a:rPr>
            <a:t>Direct Connect</a:t>
          </a:r>
          <a:endParaRPr lang="ja-JP" altLang="en-US" sz="950" dirty="0">
            <a:latin typeface="Meiryo UI"/>
            <a:ea typeface="Meiryo UI"/>
          </a:endParaRPr>
        </a:p>
        <a:p>
          <a:pPr algn="ctr">
            <a:lnSpc>
              <a:spcPct val="95000"/>
            </a:lnSpc>
            <a:spcBef>
              <a:spcPts val="50"/>
            </a:spcBef>
          </a:pPr>
          <a:r>
            <a:rPr lang="ja-JP" altLang="en-US" sz="750" b="0" dirty="0">
              <a:solidFill>
                <a:srgbClr val="595959"/>
              </a:solidFill>
              <a:latin typeface="Meiryo UI"/>
              <a:ea typeface="Meiryo UI"/>
              <a:cs typeface="Meiryo UI"/>
            </a:rPr>
            <a:t>閉域接続（専用線）</a:t>
          </a:r>
          <a:endParaRPr lang="ja-JP" altLang="en-US" sz="750" dirty="0">
            <a:latin typeface="Meiryo UI"/>
            <a:ea typeface="Meiryo UI"/>
          </a:endParaRPr>
        </a:p>
      </xdr:txBody>
    </xdr:sp>
    <xdr:clientData/>
  </xdr:twoCellAnchor>
  <xdr:twoCellAnchor editAs="oneCell">
    <xdr:from>
      <xdr:col>30</xdr:col>
      <xdr:colOff>0</xdr:colOff>
      <xdr:row>8</xdr:row>
      <xdr:rowOff>0</xdr:rowOff>
    </xdr:from>
    <xdr:to>
      <xdr:col>38</xdr:col>
      <xdr:colOff>0</xdr:colOff>
      <xdr:row>12</xdr:row>
      <xdr:rowOff>0</xdr:rowOff>
    </xdr:to>
    <xdr:sp macro="" textlink="">
      <xdr:nvSpPr>
        <xdr:cNvPr id="46" name="ノード: Amazon AppFlow">
          <a:extLst>
            <a:ext uri="{FF2B5EF4-FFF2-40B4-BE49-F238E27FC236}">
              <a16:creationId xmlns:a16="http://schemas.microsoft.com/office/drawing/2014/main" id="{00000000-0008-0000-0300-00002E000000}"/>
            </a:ext>
          </a:extLst>
        </xdr:cNvPr>
        <xdr:cNvSpPr/>
      </xdr:nvSpPr>
      <xdr:spPr>
        <a:xfrm>
          <a:off x="5715000" y="1524000"/>
          <a:ext cx="1524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E7F1FF"/>
        </a:solidFill>
        <a:ln w="15875" cap="flat">
          <a:solidFill>
            <a:srgbClr val="315C92"/>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262626"/>
              </a:solidFill>
              <a:latin typeface="Meiryo UI"/>
              <a:ea typeface="Meiryo UI"/>
              <a:cs typeface="Meiryo UI"/>
            </a:rPr>
            <a:t>Amazon AppFlow</a:t>
          </a:r>
          <a:endParaRPr lang="ja-JP" altLang="en-US" sz="950" dirty="0">
            <a:latin typeface="Meiryo UI"/>
            <a:ea typeface="Meiryo UI"/>
          </a:endParaRPr>
        </a:p>
        <a:p>
          <a:pPr algn="ctr">
            <a:lnSpc>
              <a:spcPct val="95000"/>
            </a:lnSpc>
            <a:spcBef>
              <a:spcPts val="50"/>
            </a:spcBef>
          </a:pPr>
          <a:r>
            <a:rPr lang="ja-JP" altLang="en-US" sz="750" b="0" dirty="0">
              <a:solidFill>
                <a:srgbClr val="595959"/>
              </a:solidFill>
              <a:latin typeface="Meiryo UI"/>
              <a:ea typeface="Meiryo UI"/>
              <a:cs typeface="Meiryo UI"/>
            </a:rPr>
            <a:t>日次の全件取込</a:t>
          </a:r>
          <a:endParaRPr lang="ja-JP" altLang="en-US" sz="750" dirty="0">
            <a:latin typeface="Meiryo UI"/>
            <a:ea typeface="Meiryo UI"/>
          </a:endParaRPr>
        </a:p>
      </xdr:txBody>
    </xdr:sp>
    <xdr:clientData/>
  </xdr:twoCellAnchor>
  <xdr:twoCellAnchor editAs="oneCell">
    <xdr:from>
      <xdr:col>30</xdr:col>
      <xdr:colOff>0</xdr:colOff>
      <xdr:row>13</xdr:row>
      <xdr:rowOff>0</xdr:rowOff>
    </xdr:from>
    <xdr:to>
      <xdr:col>38</xdr:col>
      <xdr:colOff>0</xdr:colOff>
      <xdr:row>17</xdr:row>
      <xdr:rowOff>0</xdr:rowOff>
    </xdr:to>
    <xdr:sp macro="" textlink="">
      <xdr:nvSpPr>
        <xdr:cNvPr id="47" name="ノード: EventBridge">
          <a:extLst>
            <a:ext uri="{FF2B5EF4-FFF2-40B4-BE49-F238E27FC236}">
              <a16:creationId xmlns:a16="http://schemas.microsoft.com/office/drawing/2014/main" id="{00000000-0008-0000-0300-00002F000000}"/>
            </a:ext>
          </a:extLst>
        </xdr:cNvPr>
        <xdr:cNvSpPr/>
      </xdr:nvSpPr>
      <xdr:spPr>
        <a:xfrm>
          <a:off x="5715000" y="2476500"/>
          <a:ext cx="1524000" cy="762000"/>
        </a:xfrm>
        <a:custGeom>
          <a:avLst/>
          <a:gdLst>
            <a:gd name="x1" fmla="*/ w 1 4"/>
            <a:gd name="x2" fmla="*/ w 1 2"/>
            <a:gd name="x3" fmla="*/ w 3 4"/>
            <a:gd name="y1" fmla="*/ h 1 4"/>
            <a:gd name="y2" fmla="*/ h 1 2"/>
            <a:gd name="y3" fmla="*/ h 3 4"/>
            <a:gd name="smin" fmla="min w h"/>
            <a:gd name="rr" fmla="*/ smin 1 2"/>
            <a:gd name="rx" fmla="+- r 0 rr"/>
            <a:gd name="k" fmla="*/ rr 13397 100000"/>
            <a:gd name="rk" fmla="+- r 0 k"/>
          </a:gdLst>
          <a:ahLst/>
          <a:cxnLst>
            <a:cxn ang="16200000">
              <a:pos x="x2" y="t"/>
            </a:cxn>
            <a:cxn ang="16200000">
              <a:pos x="x3" y="t"/>
            </a:cxn>
            <a:cxn ang="0">
              <a:pos x="rk" y="y1"/>
            </a:cxn>
            <a:cxn ang="0">
              <a:pos x="r" y="y2"/>
            </a:cxn>
            <a:cxn ang="0">
              <a:pos x="rk" y="y3"/>
            </a:cxn>
            <a:cxn ang="5400000">
              <a:pos x="x3" y="b"/>
            </a:cxn>
            <a:cxn ang="5400000">
              <a:pos x="x2" y="b"/>
            </a:cxn>
            <a:cxn ang="5400000">
              <a:pos x="x1" y="b"/>
            </a:cxn>
            <a:cxn ang="10800000">
              <a:pos x="k" y="y3"/>
            </a:cxn>
            <a:cxn ang="10800000">
              <a:pos x="l" y="y2"/>
            </a:cxn>
            <a:cxn ang="10800000">
              <a:pos x="k" y="y1"/>
            </a:cxn>
            <a:cxn ang="16200000">
              <a:pos x="x1" y="t"/>
            </a:cxn>
          </a:cxnLst>
          <a:rect l="l" t="t" r="r" b="b"/>
          <a:pathLst>
            <a:path>
              <a:moveTo>
                <a:pt x="rr" y="t"/>
              </a:moveTo>
              <a:lnTo>
                <a:pt x="rx" y="t"/>
              </a:lnTo>
              <a:arcTo wR="rr" hR="rr" stAng="16200000" swAng="10800000"/>
              <a:lnTo>
                <a:pt x="rr" y="b"/>
              </a:lnTo>
              <a:arcTo wR="rr" hR="rr" stAng="5400000" swAng="10800000"/>
              <a:close/>
            </a:path>
          </a:pathLst>
        </a:custGeom>
        <a:solidFill>
          <a:srgbClr val="E7F1FF"/>
        </a:solidFill>
        <a:ln w="15875" cap="flat">
          <a:solidFill>
            <a:srgbClr val="315C92"/>
          </a:solidFill>
          <a:round/>
        </a:ln>
      </xdr:spPr>
      <xdr:txBody>
        <a:bodyPr vertOverflow="overflow" horzOverflow="overflow" wrap="square" lIns="101600" tIns="12700" rIns="101600" bIns="12700" rtlCol="0" anchor="ctr">
          <a:noAutofit/>
        </a:bodyPr>
        <a:lstStyle/>
        <a:p>
          <a:pPr algn="ctr">
            <a:lnSpc>
              <a:spcPct val="95000"/>
            </a:lnSpc>
          </a:pPr>
          <a:r>
            <a:rPr lang="ja-JP" altLang="en-US" sz="950" b="1" dirty="0">
              <a:solidFill>
                <a:srgbClr val="262626"/>
              </a:solidFill>
              <a:latin typeface="Meiryo UI"/>
              <a:ea typeface="Meiryo UI"/>
              <a:cs typeface="Meiryo UI"/>
            </a:rPr>
            <a:t>EventBridge</a:t>
          </a:r>
          <a:endParaRPr lang="ja-JP" altLang="en-US" sz="950" dirty="0">
            <a:latin typeface="Meiryo UI"/>
            <a:ea typeface="Meiryo UI"/>
          </a:endParaRPr>
        </a:p>
        <a:p>
          <a:pPr algn="ctr">
            <a:lnSpc>
              <a:spcPct val="95000"/>
            </a:lnSpc>
            <a:spcBef>
              <a:spcPts val="50"/>
            </a:spcBef>
          </a:pPr>
          <a:r>
            <a:rPr lang="ja-JP" altLang="en-US" sz="750" b="0" dirty="0">
              <a:solidFill>
                <a:srgbClr val="595959"/>
              </a:solidFill>
              <a:latin typeface="Meiryo UI"/>
              <a:ea typeface="Meiryo UI"/>
              <a:cs typeface="Meiryo UI"/>
            </a:rPr>
            <a:t>変更イベント受信</a:t>
          </a:r>
          <a:endParaRPr lang="ja-JP" altLang="en-US" sz="750" dirty="0">
            <a:latin typeface="Meiryo UI"/>
            <a:ea typeface="Meiryo UI"/>
          </a:endParaRPr>
        </a:p>
      </xdr:txBody>
    </xdr:sp>
    <xdr:clientData/>
  </xdr:twoCellAnchor>
  <xdr:twoCellAnchor editAs="oneCell">
    <xdr:from>
      <xdr:col>44</xdr:col>
      <xdr:colOff>0</xdr:colOff>
      <xdr:row>8</xdr:row>
      <xdr:rowOff>0</xdr:rowOff>
    </xdr:from>
    <xdr:to>
      <xdr:col>48</xdr:col>
      <xdr:colOff>0</xdr:colOff>
      <xdr:row>12</xdr:row>
      <xdr:rowOff>0</xdr:rowOff>
    </xdr:to>
    <xdr:sp macro="" textlink="">
      <xdr:nvSpPr>
        <xdr:cNvPr id="48" name="ノード: S3">
          <a:extLst>
            <a:ext uri="{FF2B5EF4-FFF2-40B4-BE49-F238E27FC236}">
              <a16:creationId xmlns:a16="http://schemas.microsoft.com/office/drawing/2014/main" id="{00000000-0008-0000-0300-000030000000}"/>
            </a:ext>
          </a:extLst>
        </xdr:cNvPr>
        <xdr:cNvSpPr/>
      </xdr:nvSpPr>
      <xdr:spPr>
        <a:xfrm>
          <a:off x="8382000" y="1524000"/>
          <a:ext cx="762000" cy="762000"/>
        </a:xfrm>
        <a:custGeom>
          <a:avLst/>
          <a:gdLst>
            <a:gd name="x1" fmla="*/ w 1 4"/>
            <a:gd name="x2" fmla="*/ w 1 2"/>
            <a:gd name="x3" fmla="*/ w 3 4"/>
            <a:gd name="y1" fmla="*/ h 1 4"/>
            <a:gd name="y2" fmla="*/ h 1 2"/>
            <a:gd name="y3" fmla="*/ h 3 4"/>
            <a:gd name="smin" fmla="min w h"/>
            <a:gd name="ry" fmla="*/ smin 1 8"/>
            <a:gd name="wr" fmla="*/ w 1 2"/>
            <a:gd name="ty" fmla="*/ ry 13397 100000"/>
            <a:gd name="by" fmla="+- b 0 ty"/>
            <a:gd name="y4" fmla="+- b 0 ry"/>
            <a:gd name="ry2" fmla="*/ ry 2 1"/>
          </a:gdLst>
          <a:ahLst/>
          <a:cxnLst>
            <a:cxn ang="16200000">
              <a:pos x="x2" y="t"/>
            </a:cxn>
            <a:cxn ang="16200000">
              <a:pos x="x3" y="ty"/>
            </a:cxn>
            <a:cxn ang="0">
              <a:pos x="r" y="y1"/>
            </a:cxn>
            <a:cxn ang="0">
              <a:pos x="r" y="y2"/>
            </a:cxn>
            <a:cxn ang="0">
              <a:pos x="r" y="y3"/>
            </a:cxn>
            <a:cxn ang="5400000">
              <a:pos x="x3" y="by"/>
            </a:cxn>
            <a:cxn ang="5400000">
              <a:pos x="x2" y="b"/>
            </a:cxn>
            <a:cxn ang="5400000">
              <a:pos x="x1" y="by"/>
            </a:cxn>
            <a:cxn ang="10800000">
              <a:pos x="l" y="y3"/>
            </a:cxn>
            <a:cxn ang="10800000">
              <a:pos x="l" y="y2"/>
            </a:cxn>
            <a:cxn ang="10800000">
              <a:pos x="l" y="y1"/>
            </a:cxn>
            <a:cxn ang="16200000">
              <a:pos x="x1" y="ty"/>
            </a:cxn>
          </a:cxnLst>
          <a:rect l="l" t="t" r="r" b="b"/>
          <a:pathLst>
            <a:path stroke="0" extrusionOk="0">
              <a:moveTo>
                <a:pt x="l" y="ry"/>
              </a:moveTo>
              <a:arcTo wR="wr" hR="ry" stAng="10800000" swAng="-10800000"/>
              <a:lnTo>
                <a:pt x="r" y="y4"/>
              </a:lnTo>
              <a:arcTo wR="wr" hR="ry" stAng="0" swAng="10800000"/>
              <a:close/>
            </a:path>
            <a:path fill="lighten" stroke="0" extrusionOk="0">
              <a:moveTo>
                <a:pt x="l" y="ry"/>
              </a:moveTo>
              <a:arcTo wR="wr" hR="ry" stAng="10800000" swAng="10800000"/>
              <a:arcTo wR="wr" hR="ry" stAng="0" swAng="10800000"/>
              <a:close/>
            </a:path>
            <a:path fill="none" extrusionOk="0">
              <a:moveTo>
                <a:pt x="r" y="ry"/>
              </a:moveTo>
              <a:arcTo wR="wr" hR="ry" stAng="0" swAng="10800000"/>
              <a:arcTo wR="wr" hR="ry" stAng="10800000" swAng="10800000"/>
              <a:lnTo>
                <a:pt x="r" y="y4"/>
              </a:lnTo>
              <a:arcTo wR="wr" hR="ry" stAng="0" swAng="10800000"/>
              <a:lnTo>
                <a:pt x="l" y="ry"/>
              </a:lnTo>
            </a:path>
          </a:pathLst>
        </a:custGeom>
        <a:solidFill>
          <a:srgbClr val="E7F1FF"/>
        </a:solidFill>
        <a:ln w="15875" cap="flat">
          <a:solidFill>
            <a:srgbClr val="315C92"/>
          </a:solidFill>
          <a:round/>
        </a:ln>
      </xdr:spPr>
      <xdr:txBody>
        <a:bodyPr vertOverflow="overflow" horzOverflow="overflow" wrap="square" lIns="25400" tIns="76200" rIns="25400" bIns="25400" rtlCol="0" anchor="ctr">
          <a:noAutofit/>
        </a:bodyPr>
        <a:lstStyle/>
        <a:p>
          <a:pPr algn="ctr">
            <a:lnSpc>
              <a:spcPct val="95000"/>
            </a:lnSpc>
          </a:pPr>
          <a:r>
            <a:rPr lang="ja-JP" altLang="en-US" sz="850" b="1" dirty="0">
              <a:solidFill>
                <a:srgbClr val="262626"/>
              </a:solidFill>
              <a:latin typeface="Meiryo UI"/>
              <a:ea typeface="Meiryo UI"/>
              <a:cs typeface="Meiryo UI"/>
            </a:rPr>
            <a:t>S3</a:t>
          </a:r>
          <a:endParaRPr lang="ja-JP" altLang="en-US" sz="850" dirty="0">
            <a:latin typeface="Meiryo UI"/>
            <a:ea typeface="Meiryo UI"/>
          </a:endParaRPr>
        </a:p>
        <a:p>
          <a:pPr algn="ctr">
            <a:lnSpc>
              <a:spcPct val="95000"/>
            </a:lnSpc>
            <a:spcBef>
              <a:spcPts val="50"/>
            </a:spcBef>
          </a:pPr>
          <a:r>
            <a:rPr lang="ja-JP" altLang="en-US" sz="700" b="0" dirty="0">
              <a:solidFill>
                <a:srgbClr val="595959"/>
              </a:solidFill>
              <a:latin typeface="Meiryo UI"/>
              <a:ea typeface="Meiryo UI"/>
              <a:cs typeface="Meiryo UI"/>
            </a:rPr>
            <a:t>取込データ</a:t>
          </a:r>
          <a:endParaRPr lang="ja-JP" altLang="en-US" sz="700" dirty="0">
            <a:latin typeface="Meiryo UI"/>
            <a:ea typeface="Meiryo UI"/>
          </a:endParaRPr>
        </a:p>
      </xdr:txBody>
    </xdr:sp>
    <xdr:clientData/>
  </xdr:twoCellAnchor>
  <xdr:twoCellAnchor editAs="oneCell">
    <xdr:from>
      <xdr:col>52</xdr:col>
      <xdr:colOff>0</xdr:colOff>
      <xdr:row>13</xdr:row>
      <xdr:rowOff>0</xdr:rowOff>
    </xdr:from>
    <xdr:to>
      <xdr:col>60</xdr:col>
      <xdr:colOff>0</xdr:colOff>
      <xdr:row>17</xdr:row>
      <xdr:rowOff>0</xdr:rowOff>
    </xdr:to>
    <xdr:sp macro="" textlink="">
      <xdr:nvSpPr>
        <xdr:cNvPr id="49" name="ノード: 取込処理">
          <a:extLst>
            <a:ext uri="{FF2B5EF4-FFF2-40B4-BE49-F238E27FC236}">
              <a16:creationId xmlns:a16="http://schemas.microsoft.com/office/drawing/2014/main" id="{00000000-0008-0000-0300-000031000000}"/>
            </a:ext>
          </a:extLst>
        </xdr:cNvPr>
        <xdr:cNvSpPr/>
      </xdr:nvSpPr>
      <xdr:spPr>
        <a:xfrm>
          <a:off x="9906000" y="2476500"/>
          <a:ext cx="1524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E7F1FF"/>
        </a:solidFill>
        <a:ln w="15875" cap="flat">
          <a:solidFill>
            <a:srgbClr val="315C92"/>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262626"/>
              </a:solidFill>
              <a:latin typeface="Meiryo UI"/>
              <a:ea typeface="Meiryo UI"/>
              <a:cs typeface="Meiryo UI"/>
            </a:rPr>
            <a:t>取込処理</a:t>
          </a:r>
          <a:endParaRPr lang="ja-JP" altLang="en-US" sz="950" dirty="0">
            <a:latin typeface="Meiryo UI"/>
            <a:ea typeface="Meiryo UI"/>
          </a:endParaRPr>
        </a:p>
        <a:p>
          <a:pPr algn="ctr">
            <a:lnSpc>
              <a:spcPct val="95000"/>
            </a:lnSpc>
            <a:spcBef>
              <a:spcPts val="50"/>
            </a:spcBef>
          </a:pPr>
          <a:r>
            <a:rPr lang="ja-JP" altLang="en-US" sz="750" b="0" dirty="0">
              <a:solidFill>
                <a:srgbClr val="595959"/>
              </a:solidFill>
              <a:latin typeface="Meiryo UI"/>
              <a:ea typeface="Meiryo UI"/>
              <a:cs typeface="Meiryo UI"/>
            </a:rPr>
            <a:t>AWS Lambda</a:t>
          </a:r>
          <a:endParaRPr lang="ja-JP" altLang="en-US" sz="750" dirty="0">
            <a:latin typeface="Meiryo UI"/>
            <a:ea typeface="Meiryo UI"/>
          </a:endParaRPr>
        </a:p>
      </xdr:txBody>
    </xdr:sp>
    <xdr:clientData/>
  </xdr:twoCellAnchor>
  <xdr:twoCellAnchor editAs="oneCell">
    <xdr:from>
      <xdr:col>30</xdr:col>
      <xdr:colOff>0</xdr:colOff>
      <xdr:row>21</xdr:row>
      <xdr:rowOff>0</xdr:rowOff>
    </xdr:from>
    <xdr:to>
      <xdr:col>38</xdr:col>
      <xdr:colOff>0</xdr:colOff>
      <xdr:row>25</xdr:row>
      <xdr:rowOff>0</xdr:rowOff>
    </xdr:to>
    <xdr:sp macro="" textlink="">
      <xdr:nvSpPr>
        <xdr:cNvPr id="50" name="ノード: ALB（社内向け）">
          <a:extLst>
            <a:ext uri="{FF2B5EF4-FFF2-40B4-BE49-F238E27FC236}">
              <a16:creationId xmlns:a16="http://schemas.microsoft.com/office/drawing/2014/main" id="{00000000-0008-0000-0300-000032000000}"/>
            </a:ext>
          </a:extLst>
        </xdr:cNvPr>
        <xdr:cNvSpPr/>
      </xdr:nvSpPr>
      <xdr:spPr>
        <a:xfrm>
          <a:off x="5715000" y="4000500"/>
          <a:ext cx="1524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E3F5EF"/>
        </a:solidFill>
        <a:ln w="15875" cap="flat">
          <a:solidFill>
            <a:srgbClr val="247966"/>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262626"/>
              </a:solidFill>
              <a:latin typeface="Meiryo UI"/>
              <a:ea typeface="Meiryo UI"/>
              <a:cs typeface="Meiryo UI"/>
            </a:rPr>
            <a:t>ALB（社内向け）</a:t>
          </a:r>
          <a:endParaRPr lang="ja-JP" altLang="en-US" sz="950" dirty="0">
            <a:latin typeface="Meiryo UI"/>
            <a:ea typeface="Meiryo UI"/>
          </a:endParaRPr>
        </a:p>
        <a:p>
          <a:pPr algn="ctr">
            <a:lnSpc>
              <a:spcPct val="95000"/>
            </a:lnSpc>
            <a:spcBef>
              <a:spcPts val="50"/>
            </a:spcBef>
          </a:pPr>
          <a:r>
            <a:rPr lang="ja-JP" altLang="en-US" sz="750" b="0" dirty="0">
              <a:solidFill>
                <a:srgbClr val="595959"/>
              </a:solidFill>
              <a:latin typeface="Meiryo UI"/>
              <a:ea typeface="Meiryo UI"/>
              <a:cs typeface="Meiryo UI"/>
            </a:rPr>
            <a:t>閉域からの受付</a:t>
          </a:r>
          <a:endParaRPr lang="ja-JP" altLang="en-US" sz="750" dirty="0">
            <a:latin typeface="Meiryo UI"/>
            <a:ea typeface="Meiryo UI"/>
          </a:endParaRPr>
        </a:p>
      </xdr:txBody>
    </xdr:sp>
    <xdr:clientData/>
  </xdr:twoCellAnchor>
  <xdr:twoCellAnchor editAs="oneCell">
    <xdr:from>
      <xdr:col>30</xdr:col>
      <xdr:colOff>0</xdr:colOff>
      <xdr:row>34</xdr:row>
      <xdr:rowOff>0</xdr:rowOff>
    </xdr:from>
    <xdr:to>
      <xdr:col>38</xdr:col>
      <xdr:colOff>0</xdr:colOff>
      <xdr:row>38</xdr:row>
      <xdr:rowOff>0</xdr:rowOff>
    </xdr:to>
    <xdr:sp macro="" textlink="">
      <xdr:nvSpPr>
        <xdr:cNvPr id="51" name="ノード: CloudFront＋WAF">
          <a:extLst>
            <a:ext uri="{FF2B5EF4-FFF2-40B4-BE49-F238E27FC236}">
              <a16:creationId xmlns:a16="http://schemas.microsoft.com/office/drawing/2014/main" id="{00000000-0008-0000-0300-000033000000}"/>
            </a:ext>
          </a:extLst>
        </xdr:cNvPr>
        <xdr:cNvSpPr/>
      </xdr:nvSpPr>
      <xdr:spPr>
        <a:xfrm>
          <a:off x="5715000" y="6477000"/>
          <a:ext cx="1524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FDECE4"/>
        </a:solidFill>
        <a:ln w="15875" cap="flat">
          <a:solidFill>
            <a:srgbClr val="C46B39"/>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262626"/>
              </a:solidFill>
              <a:latin typeface="Meiryo UI"/>
              <a:ea typeface="Meiryo UI"/>
              <a:cs typeface="Meiryo UI"/>
            </a:rPr>
            <a:t>CloudFront＋WAF</a:t>
          </a:r>
          <a:endParaRPr lang="ja-JP" altLang="en-US" sz="950" dirty="0">
            <a:latin typeface="Meiryo UI"/>
            <a:ea typeface="Meiryo UI"/>
          </a:endParaRPr>
        </a:p>
        <a:p>
          <a:pPr algn="ctr">
            <a:lnSpc>
              <a:spcPct val="95000"/>
            </a:lnSpc>
            <a:spcBef>
              <a:spcPts val="50"/>
            </a:spcBef>
          </a:pPr>
          <a:r>
            <a:rPr lang="ja-JP" altLang="en-US" sz="750" b="0" dirty="0">
              <a:solidFill>
                <a:srgbClr val="595959"/>
              </a:solidFill>
              <a:latin typeface="Meiryo UI"/>
              <a:ea typeface="Meiryo UI"/>
              <a:cs typeface="Meiryo UI"/>
            </a:rPr>
            <a:t>公開入口・攻撃防御</a:t>
          </a:r>
          <a:endParaRPr lang="ja-JP" altLang="en-US" sz="750" dirty="0">
            <a:latin typeface="Meiryo UI"/>
            <a:ea typeface="Meiryo UI"/>
          </a:endParaRPr>
        </a:p>
      </xdr:txBody>
    </xdr:sp>
    <xdr:clientData/>
  </xdr:twoCellAnchor>
  <xdr:twoCellAnchor editAs="oneCell">
    <xdr:from>
      <xdr:col>44</xdr:col>
      <xdr:colOff>0</xdr:colOff>
      <xdr:row>21</xdr:row>
      <xdr:rowOff>0</xdr:rowOff>
    </xdr:from>
    <xdr:to>
      <xdr:col>52</xdr:col>
      <xdr:colOff>0</xdr:colOff>
      <xdr:row>29</xdr:row>
      <xdr:rowOff>0</xdr:rowOff>
    </xdr:to>
    <xdr:sp macro="" textlink="">
      <xdr:nvSpPr>
        <xdr:cNvPr id="52" name="ノード: 業務アプリ">
          <a:extLst>
            <a:ext uri="{FF2B5EF4-FFF2-40B4-BE49-F238E27FC236}">
              <a16:creationId xmlns:a16="http://schemas.microsoft.com/office/drawing/2014/main" id="{00000000-0008-0000-0300-000034000000}"/>
            </a:ext>
          </a:extLst>
        </xdr:cNvPr>
        <xdr:cNvSpPr/>
      </xdr:nvSpPr>
      <xdr:spPr>
        <a:xfrm>
          <a:off x="8382000" y="4000500"/>
          <a:ext cx="1524000" cy="1524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FFFFFF"/>
        </a:solidFill>
        <a:ln w="12700" cap="flat">
          <a:solidFill>
            <a:srgbClr val="404040"/>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262626"/>
              </a:solidFill>
              <a:latin typeface="Meiryo UI"/>
              <a:ea typeface="Meiryo UI"/>
              <a:cs typeface="Meiryo UI"/>
            </a:rPr>
            <a:t>業務アプリ</a:t>
          </a:r>
          <a:endParaRPr lang="ja-JP" altLang="en-US" sz="950" dirty="0">
            <a:latin typeface="Meiryo UI"/>
            <a:ea typeface="Meiryo UI"/>
          </a:endParaRPr>
        </a:p>
        <a:p>
          <a:pPr algn="ctr">
            <a:lnSpc>
              <a:spcPct val="95000"/>
            </a:lnSpc>
            <a:spcBef>
              <a:spcPts val="50"/>
            </a:spcBef>
          </a:pPr>
          <a:r>
            <a:rPr lang="ja-JP" altLang="en-US" sz="750" b="0" dirty="0">
              <a:solidFill>
                <a:srgbClr val="595959"/>
              </a:solidFill>
              <a:latin typeface="Meiryo UI"/>
              <a:ea typeface="Meiryo UI"/>
              <a:cs typeface="Meiryo UI"/>
            </a:rPr>
            <a:t>Amazon ECS（Fargate）</a:t>
          </a:r>
          <a:endParaRPr lang="ja-JP" altLang="en-US" sz="750" dirty="0">
            <a:latin typeface="Meiryo UI"/>
            <a:ea typeface="Meiryo UI"/>
          </a:endParaRPr>
        </a:p>
      </xdr:txBody>
    </xdr:sp>
    <xdr:clientData/>
  </xdr:twoCellAnchor>
  <xdr:twoCellAnchor editAs="oneCell">
    <xdr:from>
      <xdr:col>60</xdr:col>
      <xdr:colOff>0</xdr:colOff>
      <xdr:row>23</xdr:row>
      <xdr:rowOff>0</xdr:rowOff>
    </xdr:from>
    <xdr:to>
      <xdr:col>64</xdr:col>
      <xdr:colOff>0</xdr:colOff>
      <xdr:row>27</xdr:row>
      <xdr:rowOff>0</xdr:rowOff>
    </xdr:to>
    <xdr:sp macro="" textlink="">
      <xdr:nvSpPr>
        <xdr:cNvPr id="53" name="ノード: 業務DB">
          <a:extLst>
            <a:ext uri="{FF2B5EF4-FFF2-40B4-BE49-F238E27FC236}">
              <a16:creationId xmlns:a16="http://schemas.microsoft.com/office/drawing/2014/main" id="{00000000-0008-0000-0300-000035000000}"/>
            </a:ext>
          </a:extLst>
        </xdr:cNvPr>
        <xdr:cNvSpPr/>
      </xdr:nvSpPr>
      <xdr:spPr>
        <a:xfrm>
          <a:off x="11430000" y="4381500"/>
          <a:ext cx="762000" cy="762000"/>
        </a:xfrm>
        <a:custGeom>
          <a:avLst/>
          <a:gdLst>
            <a:gd name="x1" fmla="*/ w 1 4"/>
            <a:gd name="x2" fmla="*/ w 1 2"/>
            <a:gd name="x3" fmla="*/ w 3 4"/>
            <a:gd name="y1" fmla="*/ h 1 4"/>
            <a:gd name="y2" fmla="*/ h 1 2"/>
            <a:gd name="y3" fmla="*/ h 3 4"/>
            <a:gd name="smin" fmla="min w h"/>
            <a:gd name="ry" fmla="*/ smin 1 8"/>
            <a:gd name="wr" fmla="*/ w 1 2"/>
            <a:gd name="ty" fmla="*/ ry 13397 100000"/>
            <a:gd name="by" fmla="+- b 0 ty"/>
            <a:gd name="y4" fmla="+- b 0 ry"/>
            <a:gd name="ry2" fmla="*/ ry 2 1"/>
          </a:gdLst>
          <a:ahLst/>
          <a:cxnLst>
            <a:cxn ang="16200000">
              <a:pos x="x2" y="t"/>
            </a:cxn>
            <a:cxn ang="16200000">
              <a:pos x="x3" y="ty"/>
            </a:cxn>
            <a:cxn ang="0">
              <a:pos x="r" y="y1"/>
            </a:cxn>
            <a:cxn ang="0">
              <a:pos x="r" y="y2"/>
            </a:cxn>
            <a:cxn ang="0">
              <a:pos x="r" y="y3"/>
            </a:cxn>
            <a:cxn ang="5400000">
              <a:pos x="x3" y="by"/>
            </a:cxn>
            <a:cxn ang="5400000">
              <a:pos x="x2" y="b"/>
            </a:cxn>
            <a:cxn ang="5400000">
              <a:pos x="x1" y="by"/>
            </a:cxn>
            <a:cxn ang="10800000">
              <a:pos x="l" y="y3"/>
            </a:cxn>
            <a:cxn ang="10800000">
              <a:pos x="l" y="y2"/>
            </a:cxn>
            <a:cxn ang="10800000">
              <a:pos x="l" y="y1"/>
            </a:cxn>
            <a:cxn ang="16200000">
              <a:pos x="x1" y="ty"/>
            </a:cxn>
          </a:cxnLst>
          <a:rect l="l" t="t" r="r" b="b"/>
          <a:pathLst>
            <a:path stroke="0" extrusionOk="0">
              <a:moveTo>
                <a:pt x="l" y="ry"/>
              </a:moveTo>
              <a:arcTo wR="wr" hR="ry" stAng="10800000" swAng="-10800000"/>
              <a:lnTo>
                <a:pt x="r" y="y4"/>
              </a:lnTo>
              <a:arcTo wR="wr" hR="ry" stAng="0" swAng="10800000"/>
              <a:close/>
            </a:path>
            <a:path fill="lighten" stroke="0" extrusionOk="0">
              <a:moveTo>
                <a:pt x="l" y="ry"/>
              </a:moveTo>
              <a:arcTo wR="wr" hR="ry" stAng="10800000" swAng="10800000"/>
              <a:arcTo wR="wr" hR="ry" stAng="0" swAng="10800000"/>
              <a:close/>
            </a:path>
            <a:path fill="none" extrusionOk="0">
              <a:moveTo>
                <a:pt x="r" y="ry"/>
              </a:moveTo>
              <a:arcTo wR="wr" hR="ry" stAng="0" swAng="10800000"/>
              <a:arcTo wR="wr" hR="ry" stAng="10800000" swAng="10800000"/>
              <a:lnTo>
                <a:pt x="r" y="y4"/>
              </a:lnTo>
              <a:arcTo wR="wr" hR="ry" stAng="0" swAng="10800000"/>
              <a:lnTo>
                <a:pt x="l" y="ry"/>
              </a:lnTo>
            </a:path>
          </a:pathLst>
        </a:custGeom>
        <a:solidFill>
          <a:srgbClr val="FFFFFF"/>
        </a:solidFill>
        <a:ln w="12700" cap="flat">
          <a:solidFill>
            <a:srgbClr val="404040"/>
          </a:solidFill>
          <a:round/>
        </a:ln>
      </xdr:spPr>
      <xdr:txBody>
        <a:bodyPr vertOverflow="overflow" horzOverflow="overflow" wrap="square" lIns="25400" tIns="76200" rIns="25400" bIns="25400" rtlCol="0" anchor="ctr">
          <a:noAutofit/>
        </a:bodyPr>
        <a:lstStyle/>
        <a:p>
          <a:pPr algn="ctr">
            <a:lnSpc>
              <a:spcPct val="95000"/>
            </a:lnSpc>
          </a:pPr>
          <a:r>
            <a:rPr lang="ja-JP" altLang="en-US" sz="850" b="1" dirty="0">
              <a:solidFill>
                <a:srgbClr val="262626"/>
              </a:solidFill>
              <a:latin typeface="Meiryo UI"/>
              <a:ea typeface="Meiryo UI"/>
              <a:cs typeface="Meiryo UI"/>
            </a:rPr>
            <a:t>業務DB</a:t>
          </a:r>
          <a:endParaRPr lang="ja-JP" altLang="en-US" sz="850" dirty="0">
            <a:latin typeface="Meiryo UI"/>
            <a:ea typeface="Meiryo UI"/>
          </a:endParaRPr>
        </a:p>
        <a:p>
          <a:pPr algn="ctr">
            <a:lnSpc>
              <a:spcPct val="95000"/>
            </a:lnSpc>
            <a:spcBef>
              <a:spcPts val="50"/>
            </a:spcBef>
          </a:pPr>
          <a:r>
            <a:rPr lang="ja-JP" altLang="en-US" sz="700" b="0" dirty="0">
              <a:solidFill>
                <a:srgbClr val="595959"/>
              </a:solidFill>
              <a:latin typeface="Meiryo UI"/>
              <a:ea typeface="Meiryo UI"/>
              <a:cs typeface="Meiryo UI"/>
            </a:rPr>
            <a:t>Aurora</a:t>
          </a:r>
          <a:endParaRPr lang="ja-JP" altLang="en-US" sz="700" dirty="0">
            <a:latin typeface="Meiryo UI"/>
            <a:ea typeface="Meiryo UI"/>
          </a:endParaRPr>
        </a:p>
      </xdr:txBody>
    </xdr:sp>
    <xdr:clientData/>
  </xdr:twoCellAnchor>
  <xdr:twoCellAnchor editAs="oneCell">
    <xdr:from>
      <xdr:col>44</xdr:col>
      <xdr:colOff>0</xdr:colOff>
      <xdr:row>34</xdr:row>
      <xdr:rowOff>0</xdr:rowOff>
    </xdr:from>
    <xdr:to>
      <xdr:col>52</xdr:col>
      <xdr:colOff>0</xdr:colOff>
      <xdr:row>38</xdr:row>
      <xdr:rowOff>0</xdr:rowOff>
    </xdr:to>
    <xdr:sp macro="" textlink="">
      <xdr:nvSpPr>
        <xdr:cNvPr id="54" name="ノード: 監視">
          <a:extLst>
            <a:ext uri="{FF2B5EF4-FFF2-40B4-BE49-F238E27FC236}">
              <a16:creationId xmlns:a16="http://schemas.microsoft.com/office/drawing/2014/main" id="{00000000-0008-0000-0300-000036000000}"/>
            </a:ext>
          </a:extLst>
        </xdr:cNvPr>
        <xdr:cNvSpPr/>
      </xdr:nvSpPr>
      <xdr:spPr>
        <a:xfrm>
          <a:off x="8382000" y="6477000"/>
          <a:ext cx="1524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FFFFFF"/>
        </a:solidFill>
        <a:ln w="12700" cap="flat">
          <a:solidFill>
            <a:srgbClr val="404040"/>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262626"/>
              </a:solidFill>
              <a:latin typeface="Meiryo UI"/>
              <a:ea typeface="Meiryo UI"/>
              <a:cs typeface="Meiryo UI"/>
            </a:rPr>
            <a:t>監視</a:t>
          </a:r>
          <a:endParaRPr lang="ja-JP" altLang="en-US" sz="950" dirty="0">
            <a:latin typeface="Meiryo UI"/>
            <a:ea typeface="Meiryo UI"/>
          </a:endParaRPr>
        </a:p>
        <a:p>
          <a:pPr algn="ctr">
            <a:lnSpc>
              <a:spcPct val="95000"/>
            </a:lnSpc>
            <a:spcBef>
              <a:spcPts val="50"/>
            </a:spcBef>
          </a:pPr>
          <a:r>
            <a:rPr lang="ja-JP" altLang="en-US" sz="750" b="0" dirty="0">
              <a:solidFill>
                <a:srgbClr val="595959"/>
              </a:solidFill>
              <a:latin typeface="Meiryo UI"/>
              <a:ea typeface="Meiryo UI"/>
              <a:cs typeface="Meiryo UI"/>
            </a:rPr>
            <a:t>CloudWatch</a:t>
          </a:r>
          <a:endParaRPr lang="ja-JP" altLang="en-US" sz="750" dirty="0">
            <a:latin typeface="Meiryo UI"/>
            <a:ea typeface="Meiryo UI"/>
          </a:endParaRPr>
        </a:p>
      </xdr:txBody>
    </xdr:sp>
    <xdr:clientData/>
  </xdr:twoCellAnchor>
  <xdr:twoCellAnchor editAs="oneCell">
    <xdr:from>
      <xdr:col>12</xdr:col>
      <xdr:colOff>0</xdr:colOff>
      <xdr:row>9</xdr:row>
      <xdr:rowOff>0</xdr:rowOff>
    </xdr:from>
    <xdr:to>
      <xdr:col>30</xdr:col>
      <xdr:colOff>0</xdr:colOff>
      <xdr:row>9</xdr:row>
      <xdr:rowOff>0</xdr:rowOff>
    </xdr:to>
    <xdr:cxnSp macro="">
      <xdr:nvCxnSpPr>
        <xdr:cNvPr id="55" name="線: A1 Salesforce→AppFlow">
          <a:extLst>
            <a:ext uri="{FF2B5EF4-FFF2-40B4-BE49-F238E27FC236}">
              <a16:creationId xmlns:a16="http://schemas.microsoft.com/office/drawing/2014/main" id="{00000000-0008-0000-0300-000037000000}"/>
            </a:ext>
          </a:extLst>
        </xdr:cNvPr>
        <xdr:cNvCxnSpPr>
          <a:stCxn id="41" idx="2"/>
          <a:endCxn id="46" idx="10"/>
        </xdr:cNvCxnSpPr>
      </xdr:nvCxnSpPr>
      <xdr:spPr>
        <a:xfrm>
          <a:off x="2286000" y="1714500"/>
          <a:ext cx="3429000" cy="0"/>
        </a:xfrm>
        <a:prstGeom prst="straightConnector1">
          <a:avLst/>
        </a:prstGeom>
        <a:ln w="19050" cap="flat">
          <a:solidFill>
            <a:srgbClr val="315C92"/>
          </a:solidFill>
          <a:prstDash val="dash"/>
          <a:round/>
          <a:tailEnd type="triangle" w="med" len="med"/>
        </a:ln>
      </xdr:spPr>
    </xdr:cxnSp>
    <xdr:clientData/>
  </xdr:twoCellAnchor>
  <xdr:twoCellAnchor editAs="oneCell">
    <xdr:from>
      <xdr:col>12</xdr:col>
      <xdr:colOff>0</xdr:colOff>
      <xdr:row>11</xdr:row>
      <xdr:rowOff>0</xdr:rowOff>
    </xdr:from>
    <xdr:to>
      <xdr:col>30</xdr:col>
      <xdr:colOff>0</xdr:colOff>
      <xdr:row>15</xdr:row>
      <xdr:rowOff>0</xdr:rowOff>
    </xdr:to>
    <xdr:cxnSp macro="">
      <xdr:nvCxnSpPr>
        <xdr:cNvPr id="56" name="線: A2 Salesforce→EventBridge">
          <a:extLst>
            <a:ext uri="{FF2B5EF4-FFF2-40B4-BE49-F238E27FC236}">
              <a16:creationId xmlns:a16="http://schemas.microsoft.com/office/drawing/2014/main" id="{00000000-0008-0000-0300-000038000000}"/>
            </a:ext>
          </a:extLst>
        </xdr:cNvPr>
        <xdr:cNvCxnSpPr>
          <a:stCxn id="41" idx="4"/>
          <a:endCxn id="47" idx="9"/>
        </xdr:cNvCxnSpPr>
      </xdr:nvCxnSpPr>
      <xdr:spPr>
        <a:xfrm>
          <a:off x="2286000" y="2095500"/>
          <a:ext cx="3429000" cy="762000"/>
        </a:xfrm>
        <a:prstGeom prst="bentConnector3">
          <a:avLst/>
        </a:prstGeom>
        <a:ln w="19050" cap="flat">
          <a:solidFill>
            <a:srgbClr val="315C92"/>
          </a:solidFill>
          <a:round/>
          <a:tailEnd type="triangle" w="med" len="med"/>
        </a:ln>
      </xdr:spPr>
    </xdr:cxnSp>
    <xdr:clientData/>
  </xdr:twoCellAnchor>
  <xdr:twoCellAnchor editAs="oneCell">
    <xdr:from>
      <xdr:col>38</xdr:col>
      <xdr:colOff>0</xdr:colOff>
      <xdr:row>10</xdr:row>
      <xdr:rowOff>0</xdr:rowOff>
    </xdr:from>
    <xdr:to>
      <xdr:col>44</xdr:col>
      <xdr:colOff>0</xdr:colOff>
      <xdr:row>10</xdr:row>
      <xdr:rowOff>0</xdr:rowOff>
    </xdr:to>
    <xdr:cxnSp macro="">
      <xdr:nvCxnSpPr>
        <xdr:cNvPr id="57" name="線: A1 AppFlow→S3">
          <a:extLst>
            <a:ext uri="{FF2B5EF4-FFF2-40B4-BE49-F238E27FC236}">
              <a16:creationId xmlns:a16="http://schemas.microsoft.com/office/drawing/2014/main" id="{00000000-0008-0000-0300-000039000000}"/>
            </a:ext>
          </a:extLst>
        </xdr:cNvPr>
        <xdr:cNvCxnSpPr>
          <a:stCxn id="46" idx="3"/>
          <a:endCxn id="48" idx="9"/>
        </xdr:cNvCxnSpPr>
      </xdr:nvCxnSpPr>
      <xdr:spPr>
        <a:xfrm>
          <a:off x="7239000" y="1905000"/>
          <a:ext cx="1143000" cy="0"/>
        </a:xfrm>
        <a:prstGeom prst="straightConnector1">
          <a:avLst/>
        </a:prstGeom>
        <a:ln w="19050" cap="flat">
          <a:solidFill>
            <a:srgbClr val="315C92"/>
          </a:solidFill>
          <a:prstDash val="dash"/>
          <a:round/>
          <a:tailEnd type="triangle" w="med" len="med"/>
        </a:ln>
      </xdr:spPr>
    </xdr:cxnSp>
    <xdr:clientData/>
  </xdr:twoCellAnchor>
  <xdr:twoCellAnchor editAs="oneCell">
    <xdr:from>
      <xdr:col>48</xdr:col>
      <xdr:colOff>0</xdr:colOff>
      <xdr:row>10</xdr:row>
      <xdr:rowOff>0</xdr:rowOff>
    </xdr:from>
    <xdr:to>
      <xdr:col>54</xdr:col>
      <xdr:colOff>0</xdr:colOff>
      <xdr:row>13</xdr:row>
      <xdr:rowOff>0</xdr:rowOff>
    </xdr:to>
    <xdr:cxnSp macro="">
      <xdr:nvCxnSpPr>
        <xdr:cNvPr id="58" name="線: A1 S3→取込処理">
          <a:extLst>
            <a:ext uri="{FF2B5EF4-FFF2-40B4-BE49-F238E27FC236}">
              <a16:creationId xmlns:a16="http://schemas.microsoft.com/office/drawing/2014/main" id="{00000000-0008-0000-0300-00003A000000}"/>
            </a:ext>
          </a:extLst>
        </xdr:cNvPr>
        <xdr:cNvCxnSpPr>
          <a:stCxn id="48" idx="3"/>
          <a:endCxn id="49" idx="11"/>
        </xdr:cNvCxnSpPr>
      </xdr:nvCxnSpPr>
      <xdr:spPr>
        <a:xfrm>
          <a:off x="9144000" y="1905000"/>
          <a:ext cx="1143000" cy="571500"/>
        </a:xfrm>
        <a:prstGeom prst="bentConnector2">
          <a:avLst/>
        </a:prstGeom>
        <a:ln w="19050" cap="flat">
          <a:solidFill>
            <a:srgbClr val="315C92"/>
          </a:solidFill>
          <a:round/>
          <a:tailEnd type="triangle" w="med" len="med"/>
        </a:ln>
      </xdr:spPr>
    </xdr:cxnSp>
    <xdr:clientData/>
  </xdr:twoCellAnchor>
  <xdr:twoCellAnchor editAs="oneCell">
    <xdr:from>
      <xdr:col>38</xdr:col>
      <xdr:colOff>0</xdr:colOff>
      <xdr:row>15</xdr:row>
      <xdr:rowOff>0</xdr:rowOff>
    </xdr:from>
    <xdr:to>
      <xdr:col>52</xdr:col>
      <xdr:colOff>0</xdr:colOff>
      <xdr:row>15</xdr:row>
      <xdr:rowOff>0</xdr:rowOff>
    </xdr:to>
    <xdr:cxnSp macro="">
      <xdr:nvCxnSpPr>
        <xdr:cNvPr id="59" name="線: A2 EventBridge→取込処理">
          <a:extLst>
            <a:ext uri="{FF2B5EF4-FFF2-40B4-BE49-F238E27FC236}">
              <a16:creationId xmlns:a16="http://schemas.microsoft.com/office/drawing/2014/main" id="{00000000-0008-0000-0300-00003B000000}"/>
            </a:ext>
          </a:extLst>
        </xdr:cNvPr>
        <xdr:cNvCxnSpPr>
          <a:stCxn id="47" idx="3"/>
          <a:endCxn id="49" idx="9"/>
        </xdr:cNvCxnSpPr>
      </xdr:nvCxnSpPr>
      <xdr:spPr>
        <a:xfrm>
          <a:off x="7239000" y="2857500"/>
          <a:ext cx="2667000" cy="0"/>
        </a:xfrm>
        <a:prstGeom prst="straightConnector1">
          <a:avLst/>
        </a:prstGeom>
        <a:ln w="19050" cap="flat">
          <a:solidFill>
            <a:srgbClr val="315C92"/>
          </a:solidFill>
          <a:round/>
          <a:tailEnd type="triangle" w="med" len="med"/>
        </a:ln>
      </xdr:spPr>
    </xdr:cxnSp>
    <xdr:clientData/>
  </xdr:twoCellAnchor>
  <xdr:twoCellAnchor editAs="oneCell">
    <xdr:from>
      <xdr:col>60</xdr:col>
      <xdr:colOff>0</xdr:colOff>
      <xdr:row>15</xdr:row>
      <xdr:rowOff>0</xdr:rowOff>
    </xdr:from>
    <xdr:to>
      <xdr:col>62</xdr:col>
      <xdr:colOff>0</xdr:colOff>
      <xdr:row>23</xdr:row>
      <xdr:rowOff>0</xdr:rowOff>
    </xdr:to>
    <xdr:cxnSp macro="">
      <xdr:nvCxnSpPr>
        <xdr:cNvPr id="60" name="線: A3 取込処理→業務DB">
          <a:extLst>
            <a:ext uri="{FF2B5EF4-FFF2-40B4-BE49-F238E27FC236}">
              <a16:creationId xmlns:a16="http://schemas.microsoft.com/office/drawing/2014/main" id="{00000000-0008-0000-0300-00003C000000}"/>
            </a:ext>
          </a:extLst>
        </xdr:cNvPr>
        <xdr:cNvCxnSpPr>
          <a:stCxn id="49" idx="3"/>
          <a:endCxn id="53" idx="0"/>
        </xdr:cNvCxnSpPr>
      </xdr:nvCxnSpPr>
      <xdr:spPr>
        <a:xfrm>
          <a:off x="11430000" y="2857500"/>
          <a:ext cx="381000" cy="1524000"/>
        </a:xfrm>
        <a:prstGeom prst="bentConnector2">
          <a:avLst/>
        </a:prstGeom>
        <a:ln w="19050" cap="flat">
          <a:solidFill>
            <a:srgbClr val="315C92"/>
          </a:solidFill>
          <a:round/>
          <a:tailEnd type="triangle" w="med" len="med"/>
        </a:ln>
      </xdr:spPr>
    </xdr:cxnSp>
    <xdr:clientData/>
  </xdr:twoCellAnchor>
  <xdr:twoCellAnchor editAs="oneCell">
    <xdr:from>
      <xdr:col>12</xdr:col>
      <xdr:colOff>0</xdr:colOff>
      <xdr:row>22</xdr:row>
      <xdr:rowOff>0</xdr:rowOff>
    </xdr:from>
    <xdr:to>
      <xdr:col>17</xdr:col>
      <xdr:colOff>0</xdr:colOff>
      <xdr:row>22</xdr:row>
      <xdr:rowOff>0</xdr:rowOff>
    </xdr:to>
    <xdr:cxnSp macro="">
      <xdr:nvCxnSpPr>
        <xdr:cNvPr id="61" name="線: B1 社内ユーザー→DX">
          <a:extLst>
            <a:ext uri="{FF2B5EF4-FFF2-40B4-BE49-F238E27FC236}">
              <a16:creationId xmlns:a16="http://schemas.microsoft.com/office/drawing/2014/main" id="{00000000-0008-0000-0300-00003D000000}"/>
            </a:ext>
          </a:extLst>
        </xdr:cNvPr>
        <xdr:cNvCxnSpPr>
          <a:stCxn id="42" idx="4"/>
          <a:endCxn id="45" idx="10"/>
        </xdr:cNvCxnSpPr>
      </xdr:nvCxnSpPr>
      <xdr:spPr>
        <a:xfrm>
          <a:off x="2286000" y="4191000"/>
          <a:ext cx="952500" cy="0"/>
        </a:xfrm>
        <a:prstGeom prst="straightConnector1">
          <a:avLst/>
        </a:prstGeom>
        <a:ln w="19050" cap="flat">
          <a:solidFill>
            <a:srgbClr val="247966"/>
          </a:solidFill>
          <a:round/>
          <a:tailEnd type="triangle" w="med" len="med"/>
        </a:ln>
      </xdr:spPr>
    </xdr:cxnSp>
    <xdr:clientData/>
  </xdr:twoCellAnchor>
  <xdr:twoCellAnchor editAs="oneCell">
    <xdr:from>
      <xdr:col>12</xdr:col>
      <xdr:colOff>0</xdr:colOff>
      <xdr:row>26</xdr:row>
      <xdr:rowOff>0</xdr:rowOff>
    </xdr:from>
    <xdr:to>
      <xdr:col>17</xdr:col>
      <xdr:colOff>0</xdr:colOff>
      <xdr:row>26</xdr:row>
      <xdr:rowOff>0</xdr:rowOff>
    </xdr:to>
    <xdr:cxnSp macro="">
      <xdr:nvCxnSpPr>
        <xdr:cNvPr id="62" name="線: B2 基幹システム→DX">
          <a:extLst>
            <a:ext uri="{FF2B5EF4-FFF2-40B4-BE49-F238E27FC236}">
              <a16:creationId xmlns:a16="http://schemas.microsoft.com/office/drawing/2014/main" id="{00000000-0008-0000-0300-00003E000000}"/>
            </a:ext>
          </a:extLst>
        </xdr:cNvPr>
        <xdr:cNvCxnSpPr>
          <a:stCxn id="43" idx="2"/>
          <a:endCxn id="45" idx="8"/>
        </xdr:cNvCxnSpPr>
      </xdr:nvCxnSpPr>
      <xdr:spPr>
        <a:xfrm>
          <a:off x="2286000" y="4953000"/>
          <a:ext cx="952500" cy="0"/>
        </a:xfrm>
        <a:prstGeom prst="straightConnector1">
          <a:avLst/>
        </a:prstGeom>
        <a:ln w="19050" cap="flat">
          <a:solidFill>
            <a:srgbClr val="247966"/>
          </a:solidFill>
          <a:round/>
          <a:tailEnd type="triangle" w="med" len="med"/>
        </a:ln>
      </xdr:spPr>
    </xdr:cxnSp>
    <xdr:clientData/>
  </xdr:twoCellAnchor>
  <xdr:twoCellAnchor editAs="oneCell">
    <xdr:from>
      <xdr:col>25</xdr:col>
      <xdr:colOff>0</xdr:colOff>
      <xdr:row>24</xdr:row>
      <xdr:rowOff>0</xdr:rowOff>
    </xdr:from>
    <xdr:to>
      <xdr:col>30</xdr:col>
      <xdr:colOff>0</xdr:colOff>
      <xdr:row>24</xdr:row>
      <xdr:rowOff>0</xdr:rowOff>
    </xdr:to>
    <xdr:cxnSp macro="">
      <xdr:nvCxnSpPr>
        <xdr:cNvPr id="63" name="線: B1・B2 DX→ALB">
          <a:extLst>
            <a:ext uri="{FF2B5EF4-FFF2-40B4-BE49-F238E27FC236}">
              <a16:creationId xmlns:a16="http://schemas.microsoft.com/office/drawing/2014/main" id="{00000000-0008-0000-0300-00003F000000}"/>
            </a:ext>
          </a:extLst>
        </xdr:cNvPr>
        <xdr:cNvCxnSpPr>
          <a:stCxn id="45" idx="3"/>
          <a:endCxn id="50" idx="8"/>
        </xdr:cNvCxnSpPr>
      </xdr:nvCxnSpPr>
      <xdr:spPr>
        <a:xfrm>
          <a:off x="4762500" y="4572000"/>
          <a:ext cx="952500" cy="0"/>
        </a:xfrm>
        <a:prstGeom prst="straightConnector1">
          <a:avLst/>
        </a:prstGeom>
        <a:ln w="19050" cap="flat">
          <a:solidFill>
            <a:srgbClr val="247966"/>
          </a:solidFill>
          <a:round/>
          <a:tailEnd type="triangle" w="med" len="med"/>
        </a:ln>
      </xdr:spPr>
    </xdr:cxnSp>
    <xdr:clientData/>
  </xdr:twoCellAnchor>
  <xdr:twoCellAnchor editAs="oneCell">
    <xdr:from>
      <xdr:col>38</xdr:col>
      <xdr:colOff>0</xdr:colOff>
      <xdr:row>23</xdr:row>
      <xdr:rowOff>0</xdr:rowOff>
    </xdr:from>
    <xdr:to>
      <xdr:col>44</xdr:col>
      <xdr:colOff>0</xdr:colOff>
      <xdr:row>23</xdr:row>
      <xdr:rowOff>0</xdr:rowOff>
    </xdr:to>
    <xdr:cxnSp macro="">
      <xdr:nvCxnSpPr>
        <xdr:cNvPr id="64" name="線: B1・B2 ALB→業務アプリ">
          <a:extLst>
            <a:ext uri="{FF2B5EF4-FFF2-40B4-BE49-F238E27FC236}">
              <a16:creationId xmlns:a16="http://schemas.microsoft.com/office/drawing/2014/main" id="{00000000-0008-0000-0300-000040000000}"/>
            </a:ext>
          </a:extLst>
        </xdr:cNvPr>
        <xdr:cNvCxnSpPr>
          <a:stCxn id="50" idx="3"/>
          <a:endCxn id="52" idx="10"/>
        </xdr:cNvCxnSpPr>
      </xdr:nvCxnSpPr>
      <xdr:spPr>
        <a:xfrm>
          <a:off x="7239000" y="4381500"/>
          <a:ext cx="1143000" cy="0"/>
        </a:xfrm>
        <a:prstGeom prst="straightConnector1">
          <a:avLst/>
        </a:prstGeom>
        <a:ln w="19050" cap="flat">
          <a:solidFill>
            <a:srgbClr val="247966"/>
          </a:solidFill>
          <a:round/>
          <a:tailEnd type="triangle" w="med" len="med"/>
        </a:ln>
      </xdr:spPr>
    </xdr:cxnSp>
    <xdr:clientData/>
  </xdr:twoCellAnchor>
  <xdr:twoCellAnchor editAs="oneCell">
    <xdr:from>
      <xdr:col>12</xdr:col>
      <xdr:colOff>0</xdr:colOff>
      <xdr:row>36</xdr:row>
      <xdr:rowOff>0</xdr:rowOff>
    </xdr:from>
    <xdr:to>
      <xdr:col>30</xdr:col>
      <xdr:colOff>0</xdr:colOff>
      <xdr:row>36</xdr:row>
      <xdr:rowOff>0</xdr:rowOff>
    </xdr:to>
    <xdr:cxnSp macro="">
      <xdr:nvCxnSpPr>
        <xdr:cNvPr id="65" name="線: C1 外部ユーザー→CloudFront">
          <a:extLst>
            <a:ext uri="{FF2B5EF4-FFF2-40B4-BE49-F238E27FC236}">
              <a16:creationId xmlns:a16="http://schemas.microsoft.com/office/drawing/2014/main" id="{00000000-0008-0000-0300-000041000000}"/>
            </a:ext>
          </a:extLst>
        </xdr:cNvPr>
        <xdr:cNvCxnSpPr>
          <a:stCxn id="44" idx="3"/>
          <a:endCxn id="51" idx="9"/>
        </xdr:cNvCxnSpPr>
      </xdr:nvCxnSpPr>
      <xdr:spPr>
        <a:xfrm>
          <a:off x="2286000" y="6858000"/>
          <a:ext cx="3429000" cy="0"/>
        </a:xfrm>
        <a:prstGeom prst="straightConnector1">
          <a:avLst/>
        </a:prstGeom>
        <a:ln w="19050" cap="flat">
          <a:solidFill>
            <a:srgbClr val="C46B39"/>
          </a:solidFill>
          <a:round/>
          <a:tailEnd type="triangle" w="med" len="med"/>
        </a:ln>
      </xdr:spPr>
    </xdr:cxnSp>
    <xdr:clientData/>
  </xdr:twoCellAnchor>
  <xdr:twoCellAnchor editAs="oneCell">
    <xdr:from>
      <xdr:col>38</xdr:col>
      <xdr:colOff>0</xdr:colOff>
      <xdr:row>27</xdr:row>
      <xdr:rowOff>0</xdr:rowOff>
    </xdr:from>
    <xdr:to>
      <xdr:col>44</xdr:col>
      <xdr:colOff>0</xdr:colOff>
      <xdr:row>35</xdr:row>
      <xdr:rowOff>0</xdr:rowOff>
    </xdr:to>
    <xdr:cxnSp macro="">
      <xdr:nvCxnSpPr>
        <xdr:cNvPr id="66" name="線: C1 CloudFront→業務アプリ">
          <a:extLst>
            <a:ext uri="{FF2B5EF4-FFF2-40B4-BE49-F238E27FC236}">
              <a16:creationId xmlns:a16="http://schemas.microsoft.com/office/drawing/2014/main" id="{00000000-0008-0000-0300-000042000000}"/>
            </a:ext>
          </a:extLst>
        </xdr:cNvPr>
        <xdr:cNvCxnSpPr>
          <a:stCxn id="51" idx="2"/>
          <a:endCxn id="52" idx="8"/>
        </xdr:cNvCxnSpPr>
      </xdr:nvCxnSpPr>
      <xdr:spPr>
        <a:xfrm flipV="1">
          <a:off x="7239000" y="5143500"/>
          <a:ext cx="1143000" cy="1524000"/>
        </a:xfrm>
        <a:prstGeom prst="bentConnector3">
          <a:avLst/>
        </a:prstGeom>
        <a:ln w="19050" cap="flat">
          <a:solidFill>
            <a:srgbClr val="C46B39"/>
          </a:solidFill>
          <a:round/>
          <a:tailEnd type="triangle" w="med" len="med"/>
        </a:ln>
      </xdr:spPr>
    </xdr:cxnSp>
    <xdr:clientData/>
  </xdr:twoCellAnchor>
  <xdr:twoCellAnchor editAs="oneCell">
    <xdr:from>
      <xdr:col>52</xdr:col>
      <xdr:colOff>0</xdr:colOff>
      <xdr:row>25</xdr:row>
      <xdr:rowOff>0</xdr:rowOff>
    </xdr:from>
    <xdr:to>
      <xdr:col>60</xdr:col>
      <xdr:colOff>0</xdr:colOff>
      <xdr:row>25</xdr:row>
      <xdr:rowOff>0</xdr:rowOff>
    </xdr:to>
    <xdr:cxnSp macro="">
      <xdr:nvCxnSpPr>
        <xdr:cNvPr id="67" name="線: 1 業務アプリ⇔業務DB">
          <a:extLst>
            <a:ext uri="{FF2B5EF4-FFF2-40B4-BE49-F238E27FC236}">
              <a16:creationId xmlns:a16="http://schemas.microsoft.com/office/drawing/2014/main" id="{00000000-0008-0000-0300-000043000000}"/>
            </a:ext>
          </a:extLst>
        </xdr:cNvPr>
        <xdr:cNvCxnSpPr>
          <a:stCxn id="52" idx="3"/>
          <a:endCxn id="53" idx="9"/>
        </xdr:cNvCxnSpPr>
      </xdr:nvCxnSpPr>
      <xdr:spPr>
        <a:xfrm>
          <a:off x="9906000" y="4762500"/>
          <a:ext cx="1524000" cy="0"/>
        </a:xfrm>
        <a:prstGeom prst="straightConnector1">
          <a:avLst/>
        </a:prstGeom>
        <a:ln w="19050" cap="flat">
          <a:solidFill>
            <a:srgbClr val="404040"/>
          </a:solidFill>
          <a:round/>
          <a:headEnd type="triangle" w="med" len="med"/>
          <a:tailEnd type="triangle" w="med" len="med"/>
        </a:ln>
      </xdr:spPr>
    </xdr:cxnSp>
    <xdr:clientData/>
  </xdr:twoCellAnchor>
  <xdr:twoCellAnchor editAs="oneCell">
    <xdr:from>
      <xdr:col>48</xdr:col>
      <xdr:colOff>0</xdr:colOff>
      <xdr:row>29</xdr:row>
      <xdr:rowOff>0</xdr:rowOff>
    </xdr:from>
    <xdr:to>
      <xdr:col>48</xdr:col>
      <xdr:colOff>0</xdr:colOff>
      <xdr:row>34</xdr:row>
      <xdr:rowOff>0</xdr:rowOff>
    </xdr:to>
    <xdr:cxnSp macro="">
      <xdr:nvCxnSpPr>
        <xdr:cNvPr id="68" name="線: 2 業務アプリ→監視">
          <a:extLst>
            <a:ext uri="{FF2B5EF4-FFF2-40B4-BE49-F238E27FC236}">
              <a16:creationId xmlns:a16="http://schemas.microsoft.com/office/drawing/2014/main" id="{00000000-0008-0000-0300-000044000000}"/>
            </a:ext>
          </a:extLst>
        </xdr:cNvPr>
        <xdr:cNvCxnSpPr>
          <a:stCxn id="52" idx="6"/>
          <a:endCxn id="54" idx="0"/>
        </xdr:cNvCxnSpPr>
      </xdr:nvCxnSpPr>
      <xdr:spPr>
        <a:xfrm>
          <a:off x="9144000" y="5524500"/>
          <a:ext cx="0" cy="952500"/>
        </a:xfrm>
        <a:prstGeom prst="straightConnector1">
          <a:avLst/>
        </a:prstGeom>
        <a:ln w="12700" cap="flat">
          <a:solidFill>
            <a:srgbClr val="404040"/>
          </a:solidFill>
          <a:prstDash val="sysDot"/>
          <a:round/>
          <a:tailEnd type="triangle" w="med" len="med"/>
        </a:ln>
      </xdr:spPr>
    </xdr:cxnSp>
    <xdr:clientData/>
  </xdr:twoCellAnchor>
  <xdr:twoCellAnchor editAs="oneCell">
    <xdr:from>
      <xdr:col>19</xdr:col>
      <xdr:colOff>0</xdr:colOff>
      <xdr:row>8</xdr:row>
      <xdr:rowOff>95250</xdr:rowOff>
    </xdr:from>
    <xdr:to>
      <xdr:col>21</xdr:col>
      <xdr:colOff>0</xdr:colOff>
      <xdr:row>9</xdr:row>
      <xdr:rowOff>95250</xdr:rowOff>
    </xdr:to>
    <xdr:sp macro="" textlink="">
      <xdr:nvSpPr>
        <xdr:cNvPr id="69" name="番号: A1">
          <a:extLst>
            <a:ext uri="{FF2B5EF4-FFF2-40B4-BE49-F238E27FC236}">
              <a16:creationId xmlns:a16="http://schemas.microsoft.com/office/drawing/2014/main" id="{00000000-0008-0000-0300-000045000000}"/>
            </a:ext>
          </a:extLst>
        </xdr:cNvPr>
        <xdr:cNvSpPr/>
      </xdr:nvSpPr>
      <xdr:spPr>
        <a:xfrm>
          <a:off x="3619500" y="1619250"/>
          <a:ext cx="381000" cy="190500"/>
        </a:xfrm>
        <a:prstGeom prst="roundRect">
          <a:avLst>
            <a:gd name="adj" fmla="val 50000"/>
          </a:avLst>
        </a:prstGeom>
        <a:solidFill>
          <a:srgbClr val="315C92"/>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A1</a:t>
          </a:r>
          <a:endParaRPr lang="ja-JP" altLang="en-US" sz="750" dirty="0">
            <a:latin typeface="Meiryo UI"/>
            <a:ea typeface="Meiryo UI"/>
          </a:endParaRPr>
        </a:p>
      </xdr:txBody>
    </xdr:sp>
    <xdr:clientData/>
  </xdr:twoCellAnchor>
  <xdr:twoCellAnchor editAs="oneCell">
    <xdr:from>
      <xdr:col>15</xdr:col>
      <xdr:colOff>95250</xdr:colOff>
      <xdr:row>9</xdr:row>
      <xdr:rowOff>114300</xdr:rowOff>
    </xdr:from>
    <xdr:to>
      <xdr:col>24</xdr:col>
      <xdr:colOff>95250</xdr:colOff>
      <xdr:row>10</xdr:row>
      <xdr:rowOff>114300</xdr:rowOff>
    </xdr:to>
    <xdr:sp macro="" textlink="">
      <xdr:nvSpPr>
        <xdr:cNvPr id="70" name="線ラベル: A1">
          <a:extLst>
            <a:ext uri="{FF2B5EF4-FFF2-40B4-BE49-F238E27FC236}">
              <a16:creationId xmlns:a16="http://schemas.microsoft.com/office/drawing/2014/main" id="{00000000-0008-0000-0300-000046000000}"/>
            </a:ext>
          </a:extLst>
        </xdr:cNvPr>
        <xdr:cNvSpPr/>
      </xdr:nvSpPr>
      <xdr:spPr>
        <a:xfrm>
          <a:off x="2952750" y="1828800"/>
          <a:ext cx="1714500" cy="190500"/>
        </a:xfrm>
        <a:prstGeom prst="rect">
          <a:avLst/>
        </a:prstGeom>
        <a:noFill/>
        <a:ln>
          <a:noFill/>
        </a:ln>
      </xdr:spPr>
      <xdr:txBody>
        <a:bodyPr vertOverflow="overflow" horzOverflow="overflow" wrap="square" lIns="12700" tIns="0" rIns="12700" bIns="0" rtlCol="0" anchor="ctr">
          <a:noAutofit/>
        </a:bodyPr>
        <a:lstStyle/>
        <a:p>
          <a:pPr algn="ctr"/>
          <a:r>
            <a:rPr lang="ja-JP" altLang="en-US" sz="700" b="0" dirty="0">
              <a:solidFill>
                <a:srgbClr val="595959"/>
              </a:solidFill>
              <a:latin typeface="Meiryo UI"/>
              <a:ea typeface="Meiryo UI"/>
              <a:cs typeface="Meiryo UI"/>
            </a:rPr>
            <a:t>日次・全件（HTTPS）</a:t>
          </a:r>
          <a:endParaRPr lang="ja-JP" altLang="en-US" sz="700" dirty="0">
            <a:latin typeface="Meiryo UI"/>
            <a:ea typeface="Meiryo UI"/>
          </a:endParaRPr>
        </a:p>
      </xdr:txBody>
    </xdr:sp>
    <xdr:clientData/>
  </xdr:twoCellAnchor>
  <xdr:twoCellAnchor editAs="oneCell">
    <xdr:from>
      <xdr:col>23</xdr:col>
      <xdr:colOff>0</xdr:colOff>
      <xdr:row>14</xdr:row>
      <xdr:rowOff>95250</xdr:rowOff>
    </xdr:from>
    <xdr:to>
      <xdr:col>25</xdr:col>
      <xdr:colOff>0</xdr:colOff>
      <xdr:row>15</xdr:row>
      <xdr:rowOff>95250</xdr:rowOff>
    </xdr:to>
    <xdr:sp macro="" textlink="">
      <xdr:nvSpPr>
        <xdr:cNvPr id="71" name="番号: A2">
          <a:extLst>
            <a:ext uri="{FF2B5EF4-FFF2-40B4-BE49-F238E27FC236}">
              <a16:creationId xmlns:a16="http://schemas.microsoft.com/office/drawing/2014/main" id="{00000000-0008-0000-0300-000047000000}"/>
            </a:ext>
          </a:extLst>
        </xdr:cNvPr>
        <xdr:cNvSpPr/>
      </xdr:nvSpPr>
      <xdr:spPr>
        <a:xfrm>
          <a:off x="4381500" y="2762250"/>
          <a:ext cx="381000" cy="190500"/>
        </a:xfrm>
        <a:prstGeom prst="roundRect">
          <a:avLst>
            <a:gd name="adj" fmla="val 50000"/>
          </a:avLst>
        </a:prstGeom>
        <a:solidFill>
          <a:srgbClr val="315C92"/>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A2</a:t>
          </a:r>
          <a:endParaRPr lang="ja-JP" altLang="en-US" sz="750" dirty="0">
            <a:latin typeface="Meiryo UI"/>
            <a:ea typeface="Meiryo UI"/>
          </a:endParaRPr>
        </a:p>
      </xdr:txBody>
    </xdr:sp>
    <xdr:clientData/>
  </xdr:twoCellAnchor>
  <xdr:twoCellAnchor editAs="oneCell">
    <xdr:from>
      <xdr:col>20</xdr:col>
      <xdr:colOff>95250</xdr:colOff>
      <xdr:row>15</xdr:row>
      <xdr:rowOff>114300</xdr:rowOff>
    </xdr:from>
    <xdr:to>
      <xdr:col>27</xdr:col>
      <xdr:colOff>95250</xdr:colOff>
      <xdr:row>16</xdr:row>
      <xdr:rowOff>114300</xdr:rowOff>
    </xdr:to>
    <xdr:sp macro="" textlink="">
      <xdr:nvSpPr>
        <xdr:cNvPr id="72" name="線ラベル: A2">
          <a:extLst>
            <a:ext uri="{FF2B5EF4-FFF2-40B4-BE49-F238E27FC236}">
              <a16:creationId xmlns:a16="http://schemas.microsoft.com/office/drawing/2014/main" id="{00000000-0008-0000-0300-000048000000}"/>
            </a:ext>
          </a:extLst>
        </xdr:cNvPr>
        <xdr:cNvSpPr/>
      </xdr:nvSpPr>
      <xdr:spPr>
        <a:xfrm>
          <a:off x="3905250" y="2971800"/>
          <a:ext cx="1333500" cy="190500"/>
        </a:xfrm>
        <a:prstGeom prst="rect">
          <a:avLst/>
        </a:prstGeom>
        <a:noFill/>
        <a:ln>
          <a:noFill/>
        </a:ln>
      </xdr:spPr>
      <xdr:txBody>
        <a:bodyPr vertOverflow="overflow" horzOverflow="overflow" wrap="square" lIns="12700" tIns="0" rIns="12700" bIns="0" rtlCol="0" anchor="ctr">
          <a:noAutofit/>
        </a:bodyPr>
        <a:lstStyle/>
        <a:p>
          <a:pPr algn="ctr"/>
          <a:r>
            <a:rPr lang="ja-JP" altLang="en-US" sz="700" b="0" dirty="0">
              <a:solidFill>
                <a:srgbClr val="595959"/>
              </a:solidFill>
              <a:latin typeface="Meiryo UI"/>
              <a:ea typeface="Meiryo UI"/>
              <a:cs typeface="Meiryo UI"/>
            </a:rPr>
            <a:t>変更イベント・即時</a:t>
          </a:r>
          <a:endParaRPr lang="ja-JP" altLang="en-US" sz="700" dirty="0">
            <a:latin typeface="Meiryo UI"/>
            <a:ea typeface="Meiryo UI"/>
          </a:endParaRPr>
        </a:p>
      </xdr:txBody>
    </xdr:sp>
    <xdr:clientData/>
  </xdr:twoCellAnchor>
  <xdr:twoCellAnchor editAs="oneCell">
    <xdr:from>
      <xdr:col>61</xdr:col>
      <xdr:colOff>0</xdr:colOff>
      <xdr:row>18</xdr:row>
      <xdr:rowOff>0</xdr:rowOff>
    </xdr:from>
    <xdr:to>
      <xdr:col>63</xdr:col>
      <xdr:colOff>0</xdr:colOff>
      <xdr:row>19</xdr:row>
      <xdr:rowOff>0</xdr:rowOff>
    </xdr:to>
    <xdr:sp macro="" textlink="">
      <xdr:nvSpPr>
        <xdr:cNvPr id="73" name="番号: A3">
          <a:extLst>
            <a:ext uri="{FF2B5EF4-FFF2-40B4-BE49-F238E27FC236}">
              <a16:creationId xmlns:a16="http://schemas.microsoft.com/office/drawing/2014/main" id="{00000000-0008-0000-0300-000049000000}"/>
            </a:ext>
          </a:extLst>
        </xdr:cNvPr>
        <xdr:cNvSpPr/>
      </xdr:nvSpPr>
      <xdr:spPr>
        <a:xfrm>
          <a:off x="11620500" y="3429000"/>
          <a:ext cx="381000" cy="190500"/>
        </a:xfrm>
        <a:prstGeom prst="roundRect">
          <a:avLst>
            <a:gd name="adj" fmla="val 50000"/>
          </a:avLst>
        </a:prstGeom>
        <a:solidFill>
          <a:srgbClr val="315C92"/>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A3</a:t>
          </a:r>
          <a:endParaRPr lang="ja-JP" altLang="en-US" sz="750" dirty="0">
            <a:latin typeface="Meiryo UI"/>
            <a:ea typeface="Meiryo UI"/>
          </a:endParaRPr>
        </a:p>
      </xdr:txBody>
    </xdr:sp>
    <xdr:clientData/>
  </xdr:twoCellAnchor>
  <xdr:twoCellAnchor editAs="oneCell">
    <xdr:from>
      <xdr:col>13</xdr:col>
      <xdr:colOff>95250</xdr:colOff>
      <xdr:row>21</xdr:row>
      <xdr:rowOff>95250</xdr:rowOff>
    </xdr:from>
    <xdr:to>
      <xdr:col>15</xdr:col>
      <xdr:colOff>95250</xdr:colOff>
      <xdr:row>22</xdr:row>
      <xdr:rowOff>95250</xdr:rowOff>
    </xdr:to>
    <xdr:sp macro="" textlink="">
      <xdr:nvSpPr>
        <xdr:cNvPr id="74" name="番号: B1">
          <a:extLst>
            <a:ext uri="{FF2B5EF4-FFF2-40B4-BE49-F238E27FC236}">
              <a16:creationId xmlns:a16="http://schemas.microsoft.com/office/drawing/2014/main" id="{00000000-0008-0000-0300-00004A000000}"/>
            </a:ext>
          </a:extLst>
        </xdr:cNvPr>
        <xdr:cNvSpPr/>
      </xdr:nvSpPr>
      <xdr:spPr>
        <a:xfrm>
          <a:off x="2571750" y="4095750"/>
          <a:ext cx="381000" cy="190500"/>
        </a:xfrm>
        <a:prstGeom prst="roundRect">
          <a:avLst>
            <a:gd name="adj" fmla="val 50000"/>
          </a:avLst>
        </a:prstGeom>
        <a:solidFill>
          <a:srgbClr val="247966"/>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B1</a:t>
          </a:r>
          <a:endParaRPr lang="ja-JP" altLang="en-US" sz="750" dirty="0">
            <a:latin typeface="Meiryo UI"/>
            <a:ea typeface="Meiryo UI"/>
          </a:endParaRPr>
        </a:p>
      </xdr:txBody>
    </xdr:sp>
    <xdr:clientData/>
  </xdr:twoCellAnchor>
  <xdr:twoCellAnchor editAs="oneCell">
    <xdr:from>
      <xdr:col>12</xdr:col>
      <xdr:colOff>95250</xdr:colOff>
      <xdr:row>22</xdr:row>
      <xdr:rowOff>114300</xdr:rowOff>
    </xdr:from>
    <xdr:to>
      <xdr:col>17</xdr:col>
      <xdr:colOff>95250</xdr:colOff>
      <xdr:row>23</xdr:row>
      <xdr:rowOff>114300</xdr:rowOff>
    </xdr:to>
    <xdr:sp macro="" textlink="">
      <xdr:nvSpPr>
        <xdr:cNvPr id="75" name="線ラベル: B1">
          <a:extLst>
            <a:ext uri="{FF2B5EF4-FFF2-40B4-BE49-F238E27FC236}">
              <a16:creationId xmlns:a16="http://schemas.microsoft.com/office/drawing/2014/main" id="{00000000-0008-0000-0300-00004B000000}"/>
            </a:ext>
          </a:extLst>
        </xdr:cNvPr>
        <xdr:cNvSpPr/>
      </xdr:nvSpPr>
      <xdr:spPr>
        <a:xfrm>
          <a:off x="2381250" y="4305300"/>
          <a:ext cx="952500" cy="190500"/>
        </a:xfrm>
        <a:prstGeom prst="rect">
          <a:avLst/>
        </a:prstGeom>
        <a:noFill/>
        <a:ln>
          <a:noFill/>
        </a:ln>
      </xdr:spPr>
      <xdr:txBody>
        <a:bodyPr vertOverflow="overflow" horzOverflow="overflow" wrap="square" lIns="12700" tIns="0" rIns="12700" bIns="0" rtlCol="0" anchor="ctr">
          <a:noAutofit/>
        </a:bodyPr>
        <a:lstStyle/>
        <a:p>
          <a:pPr algn="ctr"/>
          <a:r>
            <a:rPr lang="ja-JP" altLang="en-US" sz="700" b="0" dirty="0">
              <a:solidFill>
                <a:srgbClr val="595959"/>
              </a:solidFill>
              <a:latin typeface="Meiryo UI"/>
              <a:ea typeface="Meiryo UI"/>
              <a:cs typeface="Meiryo UI"/>
            </a:rPr>
            <a:t>画面</a:t>
          </a:r>
          <a:endParaRPr lang="ja-JP" altLang="en-US" sz="700" dirty="0">
            <a:latin typeface="Meiryo UI"/>
            <a:ea typeface="Meiryo UI"/>
          </a:endParaRPr>
        </a:p>
      </xdr:txBody>
    </xdr:sp>
    <xdr:clientData/>
  </xdr:twoCellAnchor>
  <xdr:twoCellAnchor editAs="oneCell">
    <xdr:from>
      <xdr:col>13</xdr:col>
      <xdr:colOff>95250</xdr:colOff>
      <xdr:row>25</xdr:row>
      <xdr:rowOff>95250</xdr:rowOff>
    </xdr:from>
    <xdr:to>
      <xdr:col>15</xdr:col>
      <xdr:colOff>95250</xdr:colOff>
      <xdr:row>26</xdr:row>
      <xdr:rowOff>95250</xdr:rowOff>
    </xdr:to>
    <xdr:sp macro="" textlink="">
      <xdr:nvSpPr>
        <xdr:cNvPr id="76" name="番号: B2">
          <a:extLst>
            <a:ext uri="{FF2B5EF4-FFF2-40B4-BE49-F238E27FC236}">
              <a16:creationId xmlns:a16="http://schemas.microsoft.com/office/drawing/2014/main" id="{00000000-0008-0000-0300-00004C000000}"/>
            </a:ext>
          </a:extLst>
        </xdr:cNvPr>
        <xdr:cNvSpPr/>
      </xdr:nvSpPr>
      <xdr:spPr>
        <a:xfrm>
          <a:off x="2571750" y="4857750"/>
          <a:ext cx="381000" cy="190500"/>
        </a:xfrm>
        <a:prstGeom prst="roundRect">
          <a:avLst>
            <a:gd name="adj" fmla="val 50000"/>
          </a:avLst>
        </a:prstGeom>
        <a:solidFill>
          <a:srgbClr val="247966"/>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B2</a:t>
          </a:r>
          <a:endParaRPr lang="ja-JP" altLang="en-US" sz="750" dirty="0">
            <a:latin typeface="Meiryo UI"/>
            <a:ea typeface="Meiryo UI"/>
          </a:endParaRPr>
        </a:p>
      </xdr:txBody>
    </xdr:sp>
    <xdr:clientData/>
  </xdr:twoCellAnchor>
  <xdr:twoCellAnchor editAs="oneCell">
    <xdr:from>
      <xdr:col>12</xdr:col>
      <xdr:colOff>95250</xdr:colOff>
      <xdr:row>26</xdr:row>
      <xdr:rowOff>114300</xdr:rowOff>
    </xdr:from>
    <xdr:to>
      <xdr:col>17</xdr:col>
      <xdr:colOff>95250</xdr:colOff>
      <xdr:row>27</xdr:row>
      <xdr:rowOff>114300</xdr:rowOff>
    </xdr:to>
    <xdr:sp macro="" textlink="">
      <xdr:nvSpPr>
        <xdr:cNvPr id="77" name="線ラベル: B2">
          <a:extLst>
            <a:ext uri="{FF2B5EF4-FFF2-40B4-BE49-F238E27FC236}">
              <a16:creationId xmlns:a16="http://schemas.microsoft.com/office/drawing/2014/main" id="{00000000-0008-0000-0300-00004D000000}"/>
            </a:ext>
          </a:extLst>
        </xdr:cNvPr>
        <xdr:cNvSpPr/>
      </xdr:nvSpPr>
      <xdr:spPr>
        <a:xfrm>
          <a:off x="2381250" y="5067300"/>
          <a:ext cx="952500" cy="190500"/>
        </a:xfrm>
        <a:prstGeom prst="rect">
          <a:avLst/>
        </a:prstGeom>
        <a:noFill/>
        <a:ln>
          <a:noFill/>
        </a:ln>
      </xdr:spPr>
      <xdr:txBody>
        <a:bodyPr vertOverflow="overflow" horzOverflow="overflow" wrap="square" lIns="12700" tIns="0" rIns="12700" bIns="0" rtlCol="0" anchor="ctr">
          <a:noAutofit/>
        </a:bodyPr>
        <a:lstStyle/>
        <a:p>
          <a:pPr algn="ctr"/>
          <a:r>
            <a:rPr lang="ja-JP" altLang="en-US" sz="700" b="0" dirty="0">
              <a:solidFill>
                <a:srgbClr val="595959"/>
              </a:solidFill>
              <a:latin typeface="Meiryo UI"/>
              <a:ea typeface="Meiryo UI"/>
              <a:cs typeface="Meiryo UI"/>
            </a:rPr>
            <a:t>API</a:t>
          </a:r>
          <a:endParaRPr lang="ja-JP" altLang="en-US" sz="700" dirty="0">
            <a:latin typeface="Meiryo UI"/>
            <a:ea typeface="Meiryo UI"/>
          </a:endParaRPr>
        </a:p>
      </xdr:txBody>
    </xdr:sp>
    <xdr:clientData/>
  </xdr:twoCellAnchor>
  <xdr:twoCellAnchor editAs="oneCell">
    <xdr:from>
      <xdr:col>19</xdr:col>
      <xdr:colOff>0</xdr:colOff>
      <xdr:row>35</xdr:row>
      <xdr:rowOff>95250</xdr:rowOff>
    </xdr:from>
    <xdr:to>
      <xdr:col>21</xdr:col>
      <xdr:colOff>0</xdr:colOff>
      <xdr:row>36</xdr:row>
      <xdr:rowOff>95250</xdr:rowOff>
    </xdr:to>
    <xdr:sp macro="" textlink="">
      <xdr:nvSpPr>
        <xdr:cNvPr id="78" name="番号: C1">
          <a:extLst>
            <a:ext uri="{FF2B5EF4-FFF2-40B4-BE49-F238E27FC236}">
              <a16:creationId xmlns:a16="http://schemas.microsoft.com/office/drawing/2014/main" id="{00000000-0008-0000-0300-00004E000000}"/>
            </a:ext>
          </a:extLst>
        </xdr:cNvPr>
        <xdr:cNvSpPr/>
      </xdr:nvSpPr>
      <xdr:spPr>
        <a:xfrm>
          <a:off x="3619500" y="6762750"/>
          <a:ext cx="381000" cy="190500"/>
        </a:xfrm>
        <a:prstGeom prst="roundRect">
          <a:avLst>
            <a:gd name="adj" fmla="val 50000"/>
          </a:avLst>
        </a:prstGeom>
        <a:solidFill>
          <a:srgbClr val="C46B39"/>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C1</a:t>
          </a:r>
          <a:endParaRPr lang="ja-JP" altLang="en-US" sz="750" dirty="0">
            <a:latin typeface="Meiryo UI"/>
            <a:ea typeface="Meiryo UI"/>
          </a:endParaRPr>
        </a:p>
      </xdr:txBody>
    </xdr:sp>
    <xdr:clientData/>
  </xdr:twoCellAnchor>
  <xdr:twoCellAnchor editAs="oneCell">
    <xdr:from>
      <xdr:col>15</xdr:col>
      <xdr:colOff>95250</xdr:colOff>
      <xdr:row>36</xdr:row>
      <xdr:rowOff>114300</xdr:rowOff>
    </xdr:from>
    <xdr:to>
      <xdr:col>24</xdr:col>
      <xdr:colOff>95250</xdr:colOff>
      <xdr:row>37</xdr:row>
      <xdr:rowOff>114300</xdr:rowOff>
    </xdr:to>
    <xdr:sp macro="" textlink="">
      <xdr:nvSpPr>
        <xdr:cNvPr id="79" name="線ラベル: C1">
          <a:extLst>
            <a:ext uri="{FF2B5EF4-FFF2-40B4-BE49-F238E27FC236}">
              <a16:creationId xmlns:a16="http://schemas.microsoft.com/office/drawing/2014/main" id="{00000000-0008-0000-0300-00004F000000}"/>
            </a:ext>
          </a:extLst>
        </xdr:cNvPr>
        <xdr:cNvSpPr/>
      </xdr:nvSpPr>
      <xdr:spPr>
        <a:xfrm>
          <a:off x="2952750" y="6972300"/>
          <a:ext cx="1714500" cy="190500"/>
        </a:xfrm>
        <a:prstGeom prst="rect">
          <a:avLst/>
        </a:prstGeom>
        <a:noFill/>
        <a:ln>
          <a:noFill/>
        </a:ln>
      </xdr:spPr>
      <xdr:txBody>
        <a:bodyPr vertOverflow="overflow" horzOverflow="overflow" wrap="square" lIns="12700" tIns="0" rIns="12700" bIns="0" rtlCol="0" anchor="ctr">
          <a:noAutofit/>
        </a:bodyPr>
        <a:lstStyle/>
        <a:p>
          <a:pPr algn="ctr"/>
          <a:r>
            <a:rPr lang="ja-JP" altLang="en-US" sz="700" b="0" dirty="0">
              <a:solidFill>
                <a:srgbClr val="595959"/>
              </a:solidFill>
              <a:latin typeface="Meiryo UI"/>
              <a:ea typeface="Meiryo UI"/>
              <a:cs typeface="Meiryo UI"/>
            </a:rPr>
            <a:t>Web（HTTPS）</a:t>
          </a:r>
          <a:endParaRPr lang="ja-JP" altLang="en-US" sz="700" dirty="0">
            <a:latin typeface="Meiryo UI"/>
            <a:ea typeface="Meiryo UI"/>
          </a:endParaRPr>
        </a:p>
      </xdr:txBody>
    </xdr:sp>
    <xdr:clientData/>
  </xdr:twoCellAnchor>
  <xdr:twoCellAnchor editAs="oneCell">
    <xdr:from>
      <xdr:col>55</xdr:col>
      <xdr:colOff>0</xdr:colOff>
      <xdr:row>24</xdr:row>
      <xdr:rowOff>95250</xdr:rowOff>
    </xdr:from>
    <xdr:to>
      <xdr:col>56</xdr:col>
      <xdr:colOff>76200</xdr:colOff>
      <xdr:row>25</xdr:row>
      <xdr:rowOff>95250</xdr:rowOff>
    </xdr:to>
    <xdr:sp macro="" textlink="">
      <xdr:nvSpPr>
        <xdr:cNvPr id="80" name="番号: 1">
          <a:extLst>
            <a:ext uri="{FF2B5EF4-FFF2-40B4-BE49-F238E27FC236}">
              <a16:creationId xmlns:a16="http://schemas.microsoft.com/office/drawing/2014/main" id="{00000000-0008-0000-0300-000050000000}"/>
            </a:ext>
          </a:extLst>
        </xdr:cNvPr>
        <xdr:cNvSpPr/>
      </xdr:nvSpPr>
      <xdr:spPr>
        <a:xfrm>
          <a:off x="10477500" y="4667250"/>
          <a:ext cx="266700" cy="190500"/>
        </a:xfrm>
        <a:prstGeom prst="roundRect">
          <a:avLst>
            <a:gd name="adj" fmla="val 50000"/>
          </a:avLst>
        </a:prstGeom>
        <a:solidFill>
          <a:srgbClr val="404040"/>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1</a:t>
          </a:r>
          <a:endParaRPr lang="ja-JP" altLang="en-US" sz="750" dirty="0">
            <a:latin typeface="Meiryo UI"/>
            <a:ea typeface="Meiryo UI"/>
          </a:endParaRPr>
        </a:p>
      </xdr:txBody>
    </xdr:sp>
    <xdr:clientData/>
  </xdr:twoCellAnchor>
  <xdr:twoCellAnchor editAs="oneCell">
    <xdr:from>
      <xdr:col>48</xdr:col>
      <xdr:colOff>95250</xdr:colOff>
      <xdr:row>30</xdr:row>
      <xdr:rowOff>152400</xdr:rowOff>
    </xdr:from>
    <xdr:to>
      <xdr:col>49</xdr:col>
      <xdr:colOff>171450</xdr:colOff>
      <xdr:row>31</xdr:row>
      <xdr:rowOff>152400</xdr:rowOff>
    </xdr:to>
    <xdr:sp macro="" textlink="">
      <xdr:nvSpPr>
        <xdr:cNvPr id="81" name="番号: 2">
          <a:extLst>
            <a:ext uri="{FF2B5EF4-FFF2-40B4-BE49-F238E27FC236}">
              <a16:creationId xmlns:a16="http://schemas.microsoft.com/office/drawing/2014/main" id="{00000000-0008-0000-0300-000051000000}"/>
            </a:ext>
          </a:extLst>
        </xdr:cNvPr>
        <xdr:cNvSpPr/>
      </xdr:nvSpPr>
      <xdr:spPr>
        <a:xfrm>
          <a:off x="9239250" y="5867400"/>
          <a:ext cx="266700" cy="190500"/>
        </a:xfrm>
        <a:prstGeom prst="roundRect">
          <a:avLst>
            <a:gd name="adj" fmla="val 50000"/>
          </a:avLst>
        </a:prstGeom>
        <a:solidFill>
          <a:srgbClr val="404040"/>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2</a:t>
          </a:r>
          <a:endParaRPr lang="ja-JP" altLang="en-US" sz="750" dirty="0">
            <a:latin typeface="Meiryo UI"/>
            <a:ea typeface="Meiryo UI"/>
          </a:endParaRPr>
        </a:p>
      </xdr:txBody>
    </xdr:sp>
    <xdr:clientData/>
  </xdr:twoCellAnchor>
  <xdr:twoCellAnchor editAs="oneCell">
    <xdr:from>
      <xdr:col>54</xdr:col>
      <xdr:colOff>0</xdr:colOff>
      <xdr:row>25</xdr:row>
      <xdr:rowOff>114300</xdr:rowOff>
    </xdr:from>
    <xdr:to>
      <xdr:col>60</xdr:col>
      <xdr:colOff>0</xdr:colOff>
      <xdr:row>26</xdr:row>
      <xdr:rowOff>114300</xdr:rowOff>
    </xdr:to>
    <xdr:sp macro="" textlink="">
      <xdr:nvSpPr>
        <xdr:cNvPr id="82" name="線ラベル: 1">
          <a:extLst>
            <a:ext uri="{FF2B5EF4-FFF2-40B4-BE49-F238E27FC236}">
              <a16:creationId xmlns:a16="http://schemas.microsoft.com/office/drawing/2014/main" id="{00000000-0008-0000-0300-000052000000}"/>
            </a:ext>
          </a:extLst>
        </xdr:cNvPr>
        <xdr:cNvSpPr/>
      </xdr:nvSpPr>
      <xdr:spPr>
        <a:xfrm>
          <a:off x="10287000" y="4876800"/>
          <a:ext cx="1143000" cy="190500"/>
        </a:xfrm>
        <a:prstGeom prst="rect">
          <a:avLst/>
        </a:prstGeom>
        <a:noFill/>
        <a:ln>
          <a:noFill/>
        </a:ln>
      </xdr:spPr>
      <xdr:txBody>
        <a:bodyPr vertOverflow="overflow" horzOverflow="overflow" wrap="square" lIns="12700" tIns="0" rIns="12700" bIns="0" rtlCol="0" anchor="ctr">
          <a:noAutofit/>
        </a:bodyPr>
        <a:lstStyle/>
        <a:p>
          <a:pPr algn="ctr"/>
          <a:r>
            <a:rPr lang="ja-JP" altLang="en-US" sz="700" b="0" dirty="0">
              <a:solidFill>
                <a:srgbClr val="595959"/>
              </a:solidFill>
              <a:latin typeface="Meiryo UI"/>
              <a:ea typeface="Meiryo UI"/>
              <a:cs typeface="Meiryo UI"/>
            </a:rPr>
            <a:t>参照・更新</a:t>
          </a:r>
          <a:endParaRPr lang="ja-JP" altLang="en-US" sz="700" dirty="0">
            <a:latin typeface="Meiryo UI"/>
            <a:ea typeface="Meiryo UI"/>
          </a:endParaRPr>
        </a:p>
      </xdr:txBody>
    </xdr:sp>
    <xdr:clientData/>
  </xdr:twoCellAnchor>
  <xdr:twoCellAnchor editAs="oneCell">
    <xdr:from>
      <xdr:col>60</xdr:col>
      <xdr:colOff>0</xdr:colOff>
      <xdr:row>7</xdr:row>
      <xdr:rowOff>0</xdr:rowOff>
    </xdr:from>
    <xdr:to>
      <xdr:col>73</xdr:col>
      <xdr:colOff>0</xdr:colOff>
      <xdr:row>11</xdr:row>
      <xdr:rowOff>0</xdr:rowOff>
    </xdr:to>
    <xdr:grpSp>
      <xdr:nvGrpSpPr>
        <xdr:cNvPr id="85" name="コメント: ポイントA">
          <a:extLst>
            <a:ext uri="{FF2B5EF4-FFF2-40B4-BE49-F238E27FC236}">
              <a16:creationId xmlns:a16="http://schemas.microsoft.com/office/drawing/2014/main" id="{00000000-0008-0000-0300-000055000000}"/>
            </a:ext>
          </a:extLst>
        </xdr:cNvPr>
        <xdr:cNvGrpSpPr/>
      </xdr:nvGrpSpPr>
      <xdr:grpSpPr>
        <a:xfrm>
          <a:off x="11430000" y="1333500"/>
          <a:ext cx="2476500" cy="762000"/>
          <a:chOff x="11430000" y="1333500"/>
          <a:chExt cx="2476500" cy="762000"/>
        </a:xfrm>
      </xdr:grpSpPr>
      <xdr:sp macro="" textlink="">
        <xdr:nvSpPr>
          <xdr:cNvPr id="83" name="本文">
            <a:extLst>
              <a:ext uri="{FF2B5EF4-FFF2-40B4-BE49-F238E27FC236}">
                <a16:creationId xmlns:a16="http://schemas.microsoft.com/office/drawing/2014/main" id="{00000000-0008-0000-0300-000053000000}"/>
              </a:ext>
            </a:extLst>
          </xdr:cNvPr>
          <xdr:cNvSpPr/>
        </xdr:nvSpPr>
        <xdr:spPr>
          <a:xfrm>
            <a:off x="11430000" y="1333500"/>
            <a:ext cx="2476500" cy="762000"/>
          </a:xfrm>
          <a:custGeom>
            <a:avLst/>
            <a:gdLst>
              <a:gd name="x1" fmla="*/ w 1 4"/>
              <a:gd name="x2" fmla="*/ w 1 2"/>
              <a:gd name="x3" fmla="*/ w 3 4"/>
              <a:gd name="y1" fmla="*/ h 1 4"/>
              <a:gd name="y2" fmla="*/ h 1 2"/>
              <a:gd name="y3" fmla="*/ h 3 4"/>
              <a:gd name="smin" fmla="min w h"/>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r" y="t"/>
                </a:lnTo>
                <a:lnTo>
                  <a:pt x="r" y="b"/>
                </a:lnTo>
                <a:lnTo>
                  <a:pt x="l" y="b"/>
                </a:lnTo>
                <a:close/>
              </a:path>
            </a:pathLst>
          </a:custGeom>
          <a:solidFill>
            <a:srgbClr val="F3F8FF"/>
          </a:solidFill>
          <a:ln w="9525" cap="flat">
            <a:solidFill>
              <a:srgbClr val="BCD3F2"/>
            </a:solidFill>
            <a:round/>
          </a:ln>
        </xdr:spPr>
        <xdr:txBody>
          <a:bodyPr vertOverflow="overflow" horzOverflow="overflow" wrap="square" lIns="76200" tIns="228600" rIns="76200" bIns="38100" rtlCol="0" anchor="t">
            <a:noAutofit/>
          </a:bodyPr>
          <a:lstStyle/>
          <a:p>
            <a:pPr algn="l">
              <a:lnSpc>
                <a:spcPct val="100000"/>
              </a:lnSpc>
            </a:pPr>
            <a:r>
              <a:rPr lang="ja-JP" altLang="en-US" sz="800" b="0" dirty="0">
                <a:solidFill>
                  <a:srgbClr val="404040"/>
                </a:solidFill>
                <a:latin typeface="Meiryo UI"/>
                <a:ea typeface="Meiryo UI"/>
                <a:cs typeface="Meiryo UI"/>
              </a:rPr>
              <a:t>変更はイベントで即時反映（A2）</a:t>
            </a:r>
            <a:endParaRPr lang="ja-JP" altLang="en-US" sz="800" dirty="0">
              <a:latin typeface="Meiryo UI"/>
              <a:ea typeface="Meiryo UI"/>
            </a:endParaRPr>
          </a:p>
          <a:p>
            <a:pPr algn="l">
              <a:lnSpc>
                <a:spcPct val="100000"/>
              </a:lnSpc>
              <a:spcBef>
                <a:spcPts val="100"/>
              </a:spcBef>
            </a:pPr>
            <a:r>
              <a:rPr lang="ja-JP" altLang="en-US" sz="800" b="0" dirty="0">
                <a:solidFill>
                  <a:srgbClr val="404040"/>
                </a:solidFill>
                <a:latin typeface="Meiryo UI"/>
                <a:ea typeface="Meiryo UI"/>
                <a:cs typeface="Meiryo UI"/>
              </a:rPr>
              <a:t>全件は日次で取り込み、差分を補正（A1）</a:t>
            </a:r>
            <a:endParaRPr lang="ja-JP" altLang="en-US" sz="800" dirty="0">
              <a:latin typeface="Meiryo UI"/>
              <a:ea typeface="Meiryo UI"/>
            </a:endParaRPr>
          </a:p>
        </xdr:txBody>
      </xdr:sp>
      <xdr:sp macro="" textlink="">
        <xdr:nvSpPr>
          <xdr:cNvPr id="84" name="見出し">
            <a:extLst>
              <a:ext uri="{FF2B5EF4-FFF2-40B4-BE49-F238E27FC236}">
                <a16:creationId xmlns:a16="http://schemas.microsoft.com/office/drawing/2014/main" id="{00000000-0008-0000-0300-000054000000}"/>
              </a:ext>
            </a:extLst>
          </xdr:cNvPr>
          <xdr:cNvSpPr/>
        </xdr:nvSpPr>
        <xdr:spPr>
          <a:xfrm>
            <a:off x="11430000" y="1333500"/>
            <a:ext cx="2476500" cy="190500"/>
          </a:xfrm>
          <a:custGeom>
            <a:avLst/>
            <a:gdLst>
              <a:gd name="x1" fmla="*/ w 1 4"/>
              <a:gd name="x2" fmla="*/ w 1 2"/>
              <a:gd name="x3" fmla="*/ w 3 4"/>
              <a:gd name="y1" fmla="*/ h 1 4"/>
              <a:gd name="y2" fmla="*/ h 1 2"/>
              <a:gd name="y3" fmla="*/ h 3 4"/>
              <a:gd name="smin" fmla="min w h"/>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r" y="t"/>
                </a:lnTo>
                <a:lnTo>
                  <a:pt x="r" y="b"/>
                </a:lnTo>
                <a:lnTo>
                  <a:pt x="l" y="b"/>
                </a:lnTo>
                <a:close/>
              </a:path>
            </a:pathLst>
          </a:custGeom>
          <a:solidFill>
            <a:srgbClr val="315C92"/>
          </a:solidFill>
          <a:ln w="9525" cap="flat">
            <a:solidFill>
              <a:srgbClr val="315C92"/>
            </a:solidFill>
            <a:round/>
          </a:ln>
        </xdr:spPr>
        <xdr:txBody>
          <a:bodyPr vertOverflow="overflow" horzOverflow="overflow" wrap="none" lIns="76200" tIns="0" rIns="76200" bIns="0" rtlCol="0" anchor="ctr">
            <a:noAutofit/>
          </a:bodyPr>
          <a:lstStyle/>
          <a:p>
            <a:pPr algn="l"/>
            <a:r>
              <a:rPr lang="ja-JP" altLang="en-US" sz="750" b="1" dirty="0">
                <a:solidFill>
                  <a:srgbClr val="FFFFFF"/>
                </a:solidFill>
                <a:latin typeface="Meiryo UI"/>
                <a:ea typeface="Meiryo UI"/>
                <a:cs typeface="Meiryo UI"/>
              </a:rPr>
              <a:t>POINT</a:t>
            </a:r>
            <a:r>
              <a:rPr lang="ja-JP" altLang="en-US" sz="800" b="1" dirty="0">
                <a:solidFill>
                  <a:srgbClr val="FFFFFF"/>
                </a:solidFill>
                <a:latin typeface="Meiryo UI"/>
                <a:ea typeface="Meiryo UI"/>
                <a:cs typeface="Meiryo UI"/>
              </a:rPr>
              <a:t>　Salesforce連携</a:t>
            </a:r>
            <a:endParaRPr lang="ja-JP" altLang="en-US" sz="800" dirty="0">
              <a:latin typeface="Meiryo UI"/>
              <a:ea typeface="Meiryo UI"/>
            </a:endParaRPr>
          </a:p>
        </xdr:txBody>
      </xdr:sp>
    </xdr:grpSp>
    <xdr:clientData/>
  </xdr:twoCellAnchor>
  <xdr:twoCellAnchor editAs="oneCell">
    <xdr:from>
      <xdr:col>60</xdr:col>
      <xdr:colOff>0</xdr:colOff>
      <xdr:row>29</xdr:row>
      <xdr:rowOff>0</xdr:rowOff>
    </xdr:from>
    <xdr:to>
      <xdr:col>73</xdr:col>
      <xdr:colOff>0</xdr:colOff>
      <xdr:row>33</xdr:row>
      <xdr:rowOff>0</xdr:rowOff>
    </xdr:to>
    <xdr:grpSp>
      <xdr:nvGrpSpPr>
        <xdr:cNvPr id="88" name="コメント: ポイントB">
          <a:extLst>
            <a:ext uri="{FF2B5EF4-FFF2-40B4-BE49-F238E27FC236}">
              <a16:creationId xmlns:a16="http://schemas.microsoft.com/office/drawing/2014/main" id="{00000000-0008-0000-0300-000058000000}"/>
            </a:ext>
          </a:extLst>
        </xdr:cNvPr>
        <xdr:cNvGrpSpPr/>
      </xdr:nvGrpSpPr>
      <xdr:grpSpPr>
        <a:xfrm>
          <a:off x="11430000" y="5524500"/>
          <a:ext cx="2476500" cy="762000"/>
          <a:chOff x="11430000" y="5524500"/>
          <a:chExt cx="2476500" cy="762000"/>
        </a:xfrm>
      </xdr:grpSpPr>
      <xdr:sp macro="" textlink="">
        <xdr:nvSpPr>
          <xdr:cNvPr id="86" name="本文">
            <a:extLst>
              <a:ext uri="{FF2B5EF4-FFF2-40B4-BE49-F238E27FC236}">
                <a16:creationId xmlns:a16="http://schemas.microsoft.com/office/drawing/2014/main" id="{00000000-0008-0000-0300-000056000000}"/>
              </a:ext>
            </a:extLst>
          </xdr:cNvPr>
          <xdr:cNvSpPr/>
        </xdr:nvSpPr>
        <xdr:spPr>
          <a:xfrm>
            <a:off x="11430000" y="5524500"/>
            <a:ext cx="2476500" cy="762000"/>
          </a:xfrm>
          <a:custGeom>
            <a:avLst/>
            <a:gdLst>
              <a:gd name="x1" fmla="*/ w 1 4"/>
              <a:gd name="x2" fmla="*/ w 1 2"/>
              <a:gd name="x3" fmla="*/ w 3 4"/>
              <a:gd name="y1" fmla="*/ h 1 4"/>
              <a:gd name="y2" fmla="*/ h 1 2"/>
              <a:gd name="y3" fmla="*/ h 3 4"/>
              <a:gd name="smin" fmla="min w h"/>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r" y="t"/>
                </a:lnTo>
                <a:lnTo>
                  <a:pt x="r" y="b"/>
                </a:lnTo>
                <a:lnTo>
                  <a:pt x="l" y="b"/>
                </a:lnTo>
                <a:close/>
              </a:path>
            </a:pathLst>
          </a:custGeom>
          <a:solidFill>
            <a:srgbClr val="F1FAF7"/>
          </a:solidFill>
          <a:ln w="9525" cap="flat">
            <a:solidFill>
              <a:srgbClr val="B0DCCF"/>
            </a:solidFill>
            <a:round/>
          </a:ln>
        </xdr:spPr>
        <xdr:txBody>
          <a:bodyPr vertOverflow="overflow" horzOverflow="overflow" wrap="square" lIns="76200" tIns="228600" rIns="76200" bIns="38100" rtlCol="0" anchor="t">
            <a:noAutofit/>
          </a:bodyPr>
          <a:lstStyle/>
          <a:p>
            <a:pPr algn="l">
              <a:lnSpc>
                <a:spcPct val="100000"/>
              </a:lnSpc>
            </a:pPr>
            <a:r>
              <a:rPr lang="ja-JP" altLang="en-US" sz="800" b="0" dirty="0">
                <a:solidFill>
                  <a:srgbClr val="404040"/>
                </a:solidFill>
                <a:latin typeface="Meiryo UI"/>
                <a:ea typeface="Meiryo UI"/>
                <a:cs typeface="Meiryo UI"/>
              </a:rPr>
              <a:t>社内からは閉域（Direct Connect）経由のみ</a:t>
            </a:r>
            <a:endParaRPr lang="ja-JP" altLang="en-US" sz="800" dirty="0">
              <a:latin typeface="Meiryo UI"/>
              <a:ea typeface="Meiryo UI"/>
            </a:endParaRPr>
          </a:p>
          <a:p>
            <a:pPr algn="l">
              <a:lnSpc>
                <a:spcPct val="100000"/>
              </a:lnSpc>
              <a:spcBef>
                <a:spcPts val="100"/>
              </a:spcBef>
            </a:pPr>
            <a:r>
              <a:rPr lang="ja-JP" altLang="en-US" sz="800" b="0" dirty="0">
                <a:solidFill>
                  <a:srgbClr val="404040"/>
                </a:solidFill>
                <a:latin typeface="Meiryo UI"/>
                <a:ea typeface="Meiryo UI"/>
                <a:cs typeface="Meiryo UI"/>
              </a:rPr>
              <a:t>社内向け画面はインターネットに公開しない</a:t>
            </a:r>
            <a:endParaRPr lang="ja-JP" altLang="en-US" sz="800" dirty="0">
              <a:latin typeface="Meiryo UI"/>
              <a:ea typeface="Meiryo UI"/>
            </a:endParaRPr>
          </a:p>
        </xdr:txBody>
      </xdr:sp>
      <xdr:sp macro="" textlink="">
        <xdr:nvSpPr>
          <xdr:cNvPr id="87" name="見出し">
            <a:extLst>
              <a:ext uri="{FF2B5EF4-FFF2-40B4-BE49-F238E27FC236}">
                <a16:creationId xmlns:a16="http://schemas.microsoft.com/office/drawing/2014/main" id="{00000000-0008-0000-0300-000057000000}"/>
              </a:ext>
            </a:extLst>
          </xdr:cNvPr>
          <xdr:cNvSpPr/>
        </xdr:nvSpPr>
        <xdr:spPr>
          <a:xfrm>
            <a:off x="11430000" y="5524500"/>
            <a:ext cx="2476500" cy="190500"/>
          </a:xfrm>
          <a:custGeom>
            <a:avLst/>
            <a:gdLst>
              <a:gd name="x1" fmla="*/ w 1 4"/>
              <a:gd name="x2" fmla="*/ w 1 2"/>
              <a:gd name="x3" fmla="*/ w 3 4"/>
              <a:gd name="y1" fmla="*/ h 1 4"/>
              <a:gd name="y2" fmla="*/ h 1 2"/>
              <a:gd name="y3" fmla="*/ h 3 4"/>
              <a:gd name="smin" fmla="min w h"/>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r" y="t"/>
                </a:lnTo>
                <a:lnTo>
                  <a:pt x="r" y="b"/>
                </a:lnTo>
                <a:lnTo>
                  <a:pt x="l" y="b"/>
                </a:lnTo>
                <a:close/>
              </a:path>
            </a:pathLst>
          </a:custGeom>
          <a:solidFill>
            <a:srgbClr val="247966"/>
          </a:solidFill>
          <a:ln w="9525" cap="flat">
            <a:solidFill>
              <a:srgbClr val="247966"/>
            </a:solidFill>
            <a:round/>
          </a:ln>
        </xdr:spPr>
        <xdr:txBody>
          <a:bodyPr vertOverflow="overflow" horzOverflow="overflow" wrap="none" lIns="76200" tIns="0" rIns="76200" bIns="0" rtlCol="0" anchor="ctr">
            <a:noAutofit/>
          </a:bodyPr>
          <a:lstStyle/>
          <a:p>
            <a:pPr algn="l"/>
            <a:r>
              <a:rPr lang="ja-JP" altLang="en-US" sz="750" b="1" dirty="0">
                <a:solidFill>
                  <a:srgbClr val="FFFFFF"/>
                </a:solidFill>
                <a:latin typeface="Meiryo UI"/>
                <a:ea typeface="Meiryo UI"/>
                <a:cs typeface="Meiryo UI"/>
              </a:rPr>
              <a:t>POINT</a:t>
            </a:r>
            <a:r>
              <a:rPr lang="ja-JP" altLang="en-US" sz="800" b="1" dirty="0">
                <a:solidFill>
                  <a:srgbClr val="FFFFFF"/>
                </a:solidFill>
                <a:latin typeface="Meiryo UI"/>
                <a:ea typeface="Meiryo UI"/>
                <a:cs typeface="Meiryo UI"/>
              </a:rPr>
              <a:t>　社内（イントラ）連携</a:t>
            </a:r>
            <a:endParaRPr lang="ja-JP" altLang="en-US" sz="800" dirty="0">
              <a:latin typeface="Meiryo UI"/>
              <a:ea typeface="Meiryo UI"/>
            </a:endParaRPr>
          </a:p>
        </xdr:txBody>
      </xdr:sp>
    </xdr:grpSp>
    <xdr:clientData/>
  </xdr:twoCellAnchor>
  <xdr:twoCellAnchor editAs="oneCell">
    <xdr:from>
      <xdr:col>60</xdr:col>
      <xdr:colOff>0</xdr:colOff>
      <xdr:row>35</xdr:row>
      <xdr:rowOff>0</xdr:rowOff>
    </xdr:from>
    <xdr:to>
      <xdr:col>73</xdr:col>
      <xdr:colOff>0</xdr:colOff>
      <xdr:row>39</xdr:row>
      <xdr:rowOff>0</xdr:rowOff>
    </xdr:to>
    <xdr:grpSp>
      <xdr:nvGrpSpPr>
        <xdr:cNvPr id="91" name="コメント: ポイントC">
          <a:extLst>
            <a:ext uri="{FF2B5EF4-FFF2-40B4-BE49-F238E27FC236}">
              <a16:creationId xmlns:a16="http://schemas.microsoft.com/office/drawing/2014/main" id="{00000000-0008-0000-0300-00005B000000}"/>
            </a:ext>
          </a:extLst>
        </xdr:cNvPr>
        <xdr:cNvGrpSpPr/>
      </xdr:nvGrpSpPr>
      <xdr:grpSpPr>
        <a:xfrm>
          <a:off x="11430000" y="6667500"/>
          <a:ext cx="2476500" cy="762000"/>
          <a:chOff x="11430000" y="6667500"/>
          <a:chExt cx="2476500" cy="762000"/>
        </a:xfrm>
      </xdr:grpSpPr>
      <xdr:sp macro="" textlink="">
        <xdr:nvSpPr>
          <xdr:cNvPr id="89" name="本文">
            <a:extLst>
              <a:ext uri="{FF2B5EF4-FFF2-40B4-BE49-F238E27FC236}">
                <a16:creationId xmlns:a16="http://schemas.microsoft.com/office/drawing/2014/main" id="{00000000-0008-0000-0300-000059000000}"/>
              </a:ext>
            </a:extLst>
          </xdr:cNvPr>
          <xdr:cNvSpPr/>
        </xdr:nvSpPr>
        <xdr:spPr>
          <a:xfrm>
            <a:off x="11430000" y="6667500"/>
            <a:ext cx="2476500" cy="762000"/>
          </a:xfrm>
          <a:custGeom>
            <a:avLst/>
            <a:gdLst>
              <a:gd name="x1" fmla="*/ w 1 4"/>
              <a:gd name="x2" fmla="*/ w 1 2"/>
              <a:gd name="x3" fmla="*/ w 3 4"/>
              <a:gd name="y1" fmla="*/ h 1 4"/>
              <a:gd name="y2" fmla="*/ h 1 2"/>
              <a:gd name="y3" fmla="*/ h 3 4"/>
              <a:gd name="smin" fmla="min w h"/>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r" y="t"/>
                </a:lnTo>
                <a:lnTo>
                  <a:pt x="r" y="b"/>
                </a:lnTo>
                <a:lnTo>
                  <a:pt x="l" y="b"/>
                </a:lnTo>
                <a:close/>
              </a:path>
            </a:pathLst>
          </a:custGeom>
          <a:solidFill>
            <a:srgbClr val="FEF6F2"/>
          </a:solidFill>
          <a:ln w="9525" cap="flat">
            <a:solidFill>
              <a:srgbClr val="EEC8B5"/>
            </a:solidFill>
            <a:round/>
          </a:ln>
        </xdr:spPr>
        <xdr:txBody>
          <a:bodyPr vertOverflow="overflow" horzOverflow="overflow" wrap="square" lIns="76200" tIns="228600" rIns="76200" bIns="38100" rtlCol="0" anchor="t">
            <a:noAutofit/>
          </a:bodyPr>
          <a:lstStyle/>
          <a:p>
            <a:pPr algn="l">
              <a:lnSpc>
                <a:spcPct val="100000"/>
              </a:lnSpc>
            </a:pPr>
            <a:r>
              <a:rPr lang="ja-JP" altLang="en-US" sz="800" b="0" dirty="0">
                <a:solidFill>
                  <a:srgbClr val="404040"/>
                </a:solidFill>
                <a:latin typeface="Meiryo UI"/>
                <a:ea typeface="Meiryo UI"/>
                <a:cs typeface="Meiryo UI"/>
              </a:rPr>
              <a:t>外部公開は CloudFront＋WAF 経由に限定</a:t>
            </a:r>
            <a:endParaRPr lang="ja-JP" altLang="en-US" sz="800" dirty="0">
              <a:latin typeface="Meiryo UI"/>
              <a:ea typeface="Meiryo UI"/>
            </a:endParaRPr>
          </a:p>
          <a:p>
            <a:pPr algn="l">
              <a:lnSpc>
                <a:spcPct val="100000"/>
              </a:lnSpc>
              <a:spcBef>
                <a:spcPts val="100"/>
              </a:spcBef>
            </a:pPr>
            <a:r>
              <a:rPr lang="ja-JP" altLang="en-US" sz="800" b="0" dirty="0">
                <a:solidFill>
                  <a:srgbClr val="404040"/>
                </a:solidFill>
                <a:latin typeface="Meiryo UI"/>
                <a:ea typeface="Meiryo UI"/>
                <a:cs typeface="Meiryo UI"/>
              </a:rPr>
              <a:t>ログインは Cognito、API はレート制限</a:t>
            </a:r>
            <a:endParaRPr lang="ja-JP" altLang="en-US" sz="800" dirty="0">
              <a:latin typeface="Meiryo UI"/>
              <a:ea typeface="Meiryo UI"/>
            </a:endParaRPr>
          </a:p>
        </xdr:txBody>
      </xdr:sp>
      <xdr:sp macro="" textlink="">
        <xdr:nvSpPr>
          <xdr:cNvPr id="90" name="見出し">
            <a:extLst>
              <a:ext uri="{FF2B5EF4-FFF2-40B4-BE49-F238E27FC236}">
                <a16:creationId xmlns:a16="http://schemas.microsoft.com/office/drawing/2014/main" id="{00000000-0008-0000-0300-00005A000000}"/>
              </a:ext>
            </a:extLst>
          </xdr:cNvPr>
          <xdr:cNvSpPr/>
        </xdr:nvSpPr>
        <xdr:spPr>
          <a:xfrm>
            <a:off x="11430000" y="6667500"/>
            <a:ext cx="2476500" cy="190500"/>
          </a:xfrm>
          <a:custGeom>
            <a:avLst/>
            <a:gdLst>
              <a:gd name="x1" fmla="*/ w 1 4"/>
              <a:gd name="x2" fmla="*/ w 1 2"/>
              <a:gd name="x3" fmla="*/ w 3 4"/>
              <a:gd name="y1" fmla="*/ h 1 4"/>
              <a:gd name="y2" fmla="*/ h 1 2"/>
              <a:gd name="y3" fmla="*/ h 3 4"/>
              <a:gd name="smin" fmla="min w h"/>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r" y="t"/>
                </a:lnTo>
                <a:lnTo>
                  <a:pt x="r" y="b"/>
                </a:lnTo>
                <a:lnTo>
                  <a:pt x="l" y="b"/>
                </a:lnTo>
                <a:close/>
              </a:path>
            </a:pathLst>
          </a:custGeom>
          <a:solidFill>
            <a:srgbClr val="C46B39"/>
          </a:solidFill>
          <a:ln w="9525" cap="flat">
            <a:solidFill>
              <a:srgbClr val="C46B39"/>
            </a:solidFill>
            <a:round/>
          </a:ln>
        </xdr:spPr>
        <xdr:txBody>
          <a:bodyPr vertOverflow="overflow" horzOverflow="overflow" wrap="none" lIns="76200" tIns="0" rIns="76200" bIns="0" rtlCol="0" anchor="ctr">
            <a:noAutofit/>
          </a:bodyPr>
          <a:lstStyle/>
          <a:p>
            <a:pPr algn="l"/>
            <a:r>
              <a:rPr lang="ja-JP" altLang="en-US" sz="750" b="1" dirty="0">
                <a:solidFill>
                  <a:srgbClr val="FFFFFF"/>
                </a:solidFill>
                <a:latin typeface="Meiryo UI"/>
                <a:ea typeface="Meiryo UI"/>
                <a:cs typeface="Meiryo UI"/>
              </a:rPr>
              <a:t>POINT</a:t>
            </a:r>
            <a:r>
              <a:rPr lang="ja-JP" altLang="en-US" sz="800" b="1" dirty="0">
                <a:solidFill>
                  <a:srgbClr val="FFFFFF"/>
                </a:solidFill>
                <a:latin typeface="Meiryo UI"/>
                <a:ea typeface="Meiryo UI"/>
                <a:cs typeface="Meiryo UI"/>
              </a:rPr>
              <a:t>　外部連携</a:t>
            </a:r>
            <a:endParaRPr lang="ja-JP" altLang="en-US" sz="800" dirty="0">
              <a:latin typeface="Meiryo UI"/>
              <a:ea typeface="Meiryo UI"/>
            </a:endParaRPr>
          </a:p>
        </xdr:txBody>
      </xdr:sp>
    </xdr:grpSp>
    <xdr:clientData/>
  </xdr:twoCellAnchor>
  <xdr:twoCellAnchor editAs="oneCell">
    <xdr:from>
      <xdr:col>16</xdr:col>
      <xdr:colOff>0</xdr:colOff>
      <xdr:row>29</xdr:row>
      <xdr:rowOff>95250</xdr:rowOff>
    </xdr:from>
    <xdr:to>
      <xdr:col>26</xdr:col>
      <xdr:colOff>0</xdr:colOff>
      <xdr:row>32</xdr:row>
      <xdr:rowOff>0</xdr:rowOff>
    </xdr:to>
    <xdr:sp macro="" textlink="">
      <xdr:nvSpPr>
        <xdr:cNvPr id="92" name="コメント: 吹き出しB">
          <a:extLst>
            <a:ext uri="{FF2B5EF4-FFF2-40B4-BE49-F238E27FC236}">
              <a16:creationId xmlns:a16="http://schemas.microsoft.com/office/drawing/2014/main" id="{00000000-0008-0000-0300-00005C000000}"/>
            </a:ext>
          </a:extLst>
        </xdr:cNvPr>
        <xdr:cNvSpPr/>
      </xdr:nvSpPr>
      <xdr:spPr>
        <a:xfrm>
          <a:off x="3048000" y="5619750"/>
          <a:ext cx="1905000" cy="476250"/>
        </a:xfrm>
        <a:prstGeom prst="wedgeRoundRectCallout">
          <a:avLst>
            <a:gd name="adj1" fmla="val 0"/>
            <a:gd name="adj2" fmla="val -90000"/>
            <a:gd name="adj3" fmla="val 16667"/>
          </a:avLst>
        </a:prstGeom>
        <a:solidFill>
          <a:srgbClr val="FFFFFF"/>
        </a:solidFill>
        <a:ln w="12700" cap="flat">
          <a:solidFill>
            <a:srgbClr val="247966"/>
          </a:solidFill>
          <a:round/>
        </a:ln>
      </xdr:spPr>
      <xdr:txBody>
        <a:bodyPr vertOverflow="overflow" horzOverflow="overflow" wrap="square" lIns="63500" tIns="25400" rIns="63500" bIns="25400" rtlCol="0" anchor="ctr">
          <a:noAutofit/>
        </a:bodyPr>
        <a:lstStyle/>
        <a:p>
          <a:pPr algn="l"/>
          <a:r>
            <a:rPr lang="ja-JP" altLang="en-US" sz="800" b="0" dirty="0">
              <a:solidFill>
                <a:srgbClr val="404040"/>
              </a:solidFill>
              <a:latin typeface="Meiryo UI"/>
              <a:ea typeface="Meiryo UI"/>
              <a:cs typeface="Meiryo UI"/>
            </a:rPr>
            <a:t>1Gbps×2回線（冗長構成）</a:t>
          </a:r>
          <a:endParaRPr lang="ja-JP" altLang="en-US" sz="800" dirty="0">
            <a:latin typeface="Meiryo UI"/>
            <a:ea typeface="Meiryo UI"/>
          </a:endParaRPr>
        </a:p>
      </xdr:txBody>
    </xdr:sp>
    <xdr:clientData/>
  </xdr:twoCellAnchor>
  <xdr:twoCellAnchor editAs="oneCell">
    <xdr:from>
      <xdr:col>64</xdr:col>
      <xdr:colOff>0</xdr:colOff>
      <xdr:row>18</xdr:row>
      <xdr:rowOff>0</xdr:rowOff>
    </xdr:from>
    <xdr:to>
      <xdr:col>73</xdr:col>
      <xdr:colOff>0</xdr:colOff>
      <xdr:row>21</xdr:row>
      <xdr:rowOff>95250</xdr:rowOff>
    </xdr:to>
    <xdr:grpSp>
      <xdr:nvGrpSpPr>
        <xdr:cNvPr id="95" name="コメント: 付記">
          <a:extLst>
            <a:ext uri="{FF2B5EF4-FFF2-40B4-BE49-F238E27FC236}">
              <a16:creationId xmlns:a16="http://schemas.microsoft.com/office/drawing/2014/main" id="{00000000-0008-0000-0300-00005F000000}"/>
            </a:ext>
          </a:extLst>
        </xdr:cNvPr>
        <xdr:cNvGrpSpPr/>
      </xdr:nvGrpSpPr>
      <xdr:grpSpPr>
        <a:xfrm>
          <a:off x="12192000" y="3429000"/>
          <a:ext cx="1714500" cy="662940"/>
          <a:chOff x="12192000" y="3429000"/>
          <a:chExt cx="1714500" cy="666750"/>
        </a:xfrm>
      </xdr:grpSpPr>
      <xdr:sp macro="" textlink="">
        <xdr:nvSpPr>
          <xdr:cNvPr id="93" name="本文">
            <a:extLst>
              <a:ext uri="{FF2B5EF4-FFF2-40B4-BE49-F238E27FC236}">
                <a16:creationId xmlns:a16="http://schemas.microsoft.com/office/drawing/2014/main" id="{00000000-0008-0000-0300-00005D000000}"/>
              </a:ext>
            </a:extLst>
          </xdr:cNvPr>
          <xdr:cNvSpPr/>
        </xdr:nvSpPr>
        <xdr:spPr>
          <a:xfrm>
            <a:off x="12192000" y="3429000"/>
            <a:ext cx="1714500" cy="666750"/>
          </a:xfrm>
          <a:custGeom>
            <a:avLst/>
            <a:gdLst>
              <a:gd name="x1" fmla="*/ w 1 4"/>
              <a:gd name="x2" fmla="*/ w 1 2"/>
              <a:gd name="x3" fmla="*/ w 3 4"/>
              <a:gd name="y1" fmla="*/ h 1 4"/>
              <a:gd name="y2" fmla="*/ h 1 2"/>
              <a:gd name="y3" fmla="*/ h 3 4"/>
              <a:gd name="smin" fmla="min w h"/>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r" y="t"/>
                </a:lnTo>
                <a:lnTo>
                  <a:pt x="r" y="b"/>
                </a:lnTo>
                <a:lnTo>
                  <a:pt x="l" y="b"/>
                </a:lnTo>
                <a:close/>
              </a:path>
            </a:pathLst>
          </a:custGeom>
          <a:solidFill>
            <a:srgbClr val="F7F7F7"/>
          </a:solidFill>
          <a:ln>
            <a:noFill/>
          </a:ln>
        </xdr:spPr>
        <xdr:txBody>
          <a:bodyPr vertOverflow="overflow" horzOverflow="overflow" wrap="square" lIns="114300" tIns="50800" rIns="76200" bIns="38100" rtlCol="0" anchor="t">
            <a:noAutofit/>
          </a:bodyPr>
          <a:lstStyle/>
          <a:p>
            <a:pPr algn="l"/>
            <a:r>
              <a:rPr lang="ja-JP" altLang="en-US" sz="800" b="1" dirty="0">
                <a:solidFill>
                  <a:srgbClr val="262626"/>
                </a:solidFill>
                <a:latin typeface="Meiryo UI"/>
                <a:ea typeface="Meiryo UI"/>
                <a:cs typeface="Meiryo UI"/>
              </a:rPr>
              <a:t>付記</a:t>
            </a:r>
            <a:endParaRPr lang="ja-JP" altLang="en-US" sz="800" dirty="0">
              <a:latin typeface="Meiryo UI"/>
              <a:ea typeface="Meiryo UI"/>
            </a:endParaRPr>
          </a:p>
          <a:p>
            <a:pPr algn="l">
              <a:spcBef>
                <a:spcPts val="100"/>
              </a:spcBef>
            </a:pPr>
            <a:r>
              <a:rPr lang="ja-JP" altLang="en-US" sz="800" b="0" dirty="0">
                <a:solidFill>
                  <a:srgbClr val="404040"/>
                </a:solidFill>
                <a:latin typeface="Meiryo UI"/>
                <a:ea typeface="Meiryo UI"/>
                <a:cs typeface="Meiryo UI"/>
              </a:rPr>
              <a:t>業務DBは全ルート共通</a:t>
            </a:r>
            <a:endParaRPr lang="ja-JP" altLang="en-US" sz="800" dirty="0">
              <a:latin typeface="Meiryo UI"/>
              <a:ea typeface="Meiryo UI"/>
            </a:endParaRPr>
          </a:p>
          <a:p>
            <a:pPr algn="l">
              <a:spcBef>
                <a:spcPts val="100"/>
              </a:spcBef>
            </a:pPr>
            <a:r>
              <a:rPr lang="ja-JP" altLang="en-US" sz="800" b="0" dirty="0">
                <a:solidFill>
                  <a:srgbClr val="404040"/>
                </a:solidFill>
                <a:latin typeface="Meiryo UI"/>
                <a:ea typeface="Meiryo UI"/>
                <a:cs typeface="Meiryo UI"/>
              </a:rPr>
              <a:t>更新は業務アプリと取込処理のみ</a:t>
            </a:r>
            <a:endParaRPr lang="ja-JP" altLang="en-US" sz="800" dirty="0">
              <a:latin typeface="Meiryo UI"/>
              <a:ea typeface="Meiryo UI"/>
            </a:endParaRPr>
          </a:p>
        </xdr:txBody>
      </xdr:sp>
      <xdr:sp macro="" textlink="">
        <xdr:nvSpPr>
          <xdr:cNvPr id="94" name="左ライン">
            <a:extLst>
              <a:ext uri="{FF2B5EF4-FFF2-40B4-BE49-F238E27FC236}">
                <a16:creationId xmlns:a16="http://schemas.microsoft.com/office/drawing/2014/main" id="{00000000-0008-0000-0300-00005E000000}"/>
              </a:ext>
            </a:extLst>
          </xdr:cNvPr>
          <xdr:cNvSpPr/>
        </xdr:nvSpPr>
        <xdr:spPr>
          <a:xfrm>
            <a:off x="12192000" y="3429000"/>
            <a:ext cx="38100" cy="666750"/>
          </a:xfrm>
          <a:prstGeom prst="rect">
            <a:avLst/>
          </a:prstGeom>
          <a:solidFill>
            <a:srgbClr val="404040"/>
          </a:solidFill>
          <a:ln>
            <a:noFill/>
          </a:ln>
        </xdr:spPr>
        <xdr:txBody>
          <a:bodyPr vertOverflow="overflow" horzOverflow="overflow" wrap="square" lIns="38100" tIns="19050" rIns="38100" bIns="19050" rtlCol="0" anchor="ctr">
            <a:noAutofit/>
          </a:bodyPr>
          <a:lstStyle/>
          <a:p>
            <a:pPr algn="l"/>
            <a:endParaRPr lang="ja-JP" altLang="en-US" sz="600" dirty="0">
              <a:latin typeface="Meiryo UI"/>
              <a:ea typeface="Meiryo UI"/>
            </a:endParaRPr>
          </a:p>
        </xdr:txBody>
      </xdr:sp>
    </xdr:grpSp>
    <xdr:clientData/>
  </xdr:twoCellAnchor>
  <xdr:twoCellAnchor editAs="oneCell">
    <xdr:from>
      <xdr:col>52</xdr:col>
      <xdr:colOff>0</xdr:colOff>
      <xdr:row>42</xdr:row>
      <xdr:rowOff>95250</xdr:rowOff>
    </xdr:from>
    <xdr:to>
      <xdr:col>74</xdr:col>
      <xdr:colOff>0</xdr:colOff>
      <xdr:row>48</xdr:row>
      <xdr:rowOff>95250</xdr:rowOff>
    </xdr:to>
    <xdr:sp macro="" textlink="">
      <xdr:nvSpPr>
        <xdr:cNvPr id="96" name="注記">
          <a:extLst>
            <a:ext uri="{FF2B5EF4-FFF2-40B4-BE49-F238E27FC236}">
              <a16:creationId xmlns:a16="http://schemas.microsoft.com/office/drawing/2014/main" id="{00000000-0008-0000-0300-000060000000}"/>
            </a:ext>
          </a:extLst>
        </xdr:cNvPr>
        <xdr:cNvSpPr/>
      </xdr:nvSpPr>
      <xdr:spPr>
        <a:xfrm>
          <a:off x="9906000" y="8096250"/>
          <a:ext cx="4191000" cy="1143000"/>
        </a:xfrm>
        <a:prstGeom prst="rect">
          <a:avLst/>
        </a:prstGeom>
        <a:solidFill>
          <a:srgbClr val="FFFFFF"/>
        </a:solidFill>
        <a:ln w="9525" cap="flat">
          <a:solidFill>
            <a:srgbClr val="A6A6A6"/>
          </a:solidFill>
          <a:round/>
        </a:ln>
      </xdr:spPr>
      <xdr:txBody>
        <a:bodyPr vertOverflow="overflow" horzOverflow="overflow" wrap="square" lIns="63500" tIns="38100" rIns="63500" bIns="38100" rtlCol="0" anchor="t">
          <a:noAutofit/>
        </a:bodyPr>
        <a:lstStyle/>
        <a:p>
          <a:pPr algn="l"/>
          <a:r>
            <a:rPr lang="ja-JP" altLang="en-US" sz="850" b="1" dirty="0">
              <a:solidFill>
                <a:srgbClr val="262626"/>
              </a:solidFill>
              <a:latin typeface="Meiryo UI"/>
              <a:ea typeface="Meiryo UI"/>
              <a:cs typeface="Meiryo UI"/>
            </a:rPr>
            <a:t>注記</a:t>
          </a:r>
          <a:endParaRPr lang="ja-JP" altLang="en-US" sz="850" dirty="0">
            <a:latin typeface="Meiryo UI"/>
            <a:ea typeface="Meiryo UI"/>
          </a:endParaRPr>
        </a:p>
        <a:p>
          <a:pPr algn="l">
            <a:spcBef>
              <a:spcPts val="150"/>
            </a:spcBef>
          </a:pPr>
          <a:r>
            <a:rPr lang="ja-JP" altLang="en-US" sz="750" b="0" dirty="0">
              <a:solidFill>
                <a:srgbClr val="404040"/>
              </a:solidFill>
              <a:latin typeface="Meiryo UI"/>
              <a:ea typeface="Meiryo UI"/>
              <a:cs typeface="Meiryo UI"/>
            </a:rPr>
            <a:t>1. 連携の詳細は「連携一覧」、ノードの詳細は「構成要素一覧」を参照</a:t>
          </a:r>
          <a:endParaRPr lang="ja-JP" altLang="en-US" sz="750" dirty="0">
            <a:latin typeface="Meiryo UI"/>
            <a:ea typeface="Meiryo UI"/>
          </a:endParaRPr>
        </a:p>
        <a:p>
          <a:pPr algn="l">
            <a:spcBef>
              <a:spcPts val="150"/>
            </a:spcBef>
          </a:pPr>
          <a:r>
            <a:rPr lang="ja-JP" altLang="en-US" sz="750" b="0" dirty="0">
              <a:solidFill>
                <a:srgbClr val="404040"/>
              </a:solidFill>
              <a:latin typeface="Meiryo UI"/>
              <a:ea typeface="Meiryo UI"/>
              <a:cs typeface="Meiryo UI"/>
            </a:rPr>
            <a:t>2. 監視（CloudWatch）は全リソースが対象（線は代表のみ記載）</a:t>
          </a:r>
          <a:endParaRPr lang="ja-JP" altLang="en-US" sz="750" dirty="0">
            <a:latin typeface="Meiryo UI"/>
            <a:ea typeface="Meiryo UI"/>
          </a:endParaRPr>
        </a:p>
        <a:p>
          <a:pPr algn="l">
            <a:spcBef>
              <a:spcPts val="150"/>
            </a:spcBef>
          </a:pPr>
          <a:r>
            <a:rPr lang="ja-JP" altLang="en-US" sz="750" b="0" dirty="0">
              <a:solidFill>
                <a:srgbClr val="404040"/>
              </a:solidFill>
              <a:latin typeface="Meiryo UI"/>
              <a:ea typeface="Meiryo UI"/>
              <a:cs typeface="Meiryo UI"/>
            </a:rPr>
            <a:t>3. 色＝ルート（表紙で定義）、線の種類＝連携方式</a:t>
          </a:r>
          <a:endParaRPr lang="ja-JP" altLang="en-US" sz="750" dirty="0">
            <a:latin typeface="Meiryo UI"/>
            <a:ea typeface="Meiryo UI"/>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0</xdr:colOff>
      <xdr:row>7</xdr:row>
      <xdr:rowOff>0</xdr:rowOff>
    </xdr:from>
    <xdr:to>
      <xdr:col>12</xdr:col>
      <xdr:colOff>0</xdr:colOff>
      <xdr:row>11</xdr:row>
      <xdr:rowOff>0</xdr:rowOff>
    </xdr:to>
    <xdr:sp macro="" textlink="">
      <xdr:nvSpPr>
        <xdr:cNvPr id="2" name="ガイド: 接続点の見本（8×4）">
          <a:extLst>
            <a:ext uri="{FF2B5EF4-FFF2-40B4-BE49-F238E27FC236}">
              <a16:creationId xmlns:a16="http://schemas.microsoft.com/office/drawing/2014/main" id="{00000000-0008-0000-0400-000002000000}"/>
            </a:ext>
          </a:extLst>
        </xdr:cNvPr>
        <xdr:cNvSpPr/>
      </xdr:nvSpPr>
      <xdr:spPr>
        <a:xfrm>
          <a:off x="762000" y="1333500"/>
          <a:ext cx="1524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FFFFFF"/>
        </a:solidFill>
        <a:ln w="12700" cap="flat">
          <a:solidFill>
            <a:srgbClr val="404040"/>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262626"/>
              </a:solidFill>
              <a:latin typeface="Meiryo UI"/>
              <a:ea typeface="Meiryo UI"/>
              <a:cs typeface="Meiryo UI"/>
            </a:rPr>
            <a:t>ノード 8×4マス</a:t>
          </a:r>
          <a:endParaRPr lang="ja-JP" altLang="en-US" sz="950" dirty="0">
            <a:latin typeface="Meiryo UI"/>
            <a:ea typeface="Meiryo UI"/>
          </a:endParaRPr>
        </a:p>
        <a:p>
          <a:pPr algn="ctr">
            <a:lnSpc>
              <a:spcPct val="95000"/>
            </a:lnSpc>
            <a:spcBef>
              <a:spcPts val="50"/>
            </a:spcBef>
          </a:pPr>
          <a:r>
            <a:rPr lang="ja-JP" altLang="en-US" sz="750" b="0" dirty="0">
              <a:solidFill>
                <a:srgbClr val="595959"/>
              </a:solidFill>
              <a:latin typeface="Meiryo UI"/>
              <a:ea typeface="Meiryo UI"/>
              <a:cs typeface="Meiryo UI"/>
            </a:rPr>
            <a:t>接続点12か所</a:t>
          </a:r>
          <a:endParaRPr lang="ja-JP" altLang="en-US" sz="750" dirty="0">
            <a:latin typeface="Meiryo UI"/>
            <a:ea typeface="Meiryo UI"/>
          </a:endParaRPr>
        </a:p>
      </xdr:txBody>
    </xdr:sp>
    <xdr:clientData/>
  </xdr:twoCellAnchor>
  <xdr:twoCellAnchor editAs="oneCell">
    <xdr:from>
      <xdr:col>7</xdr:col>
      <xdr:colOff>152400</xdr:colOff>
      <xdr:row>6</xdr:row>
      <xdr:rowOff>152400</xdr:rowOff>
    </xdr:from>
    <xdr:to>
      <xdr:col>8</xdr:col>
      <xdr:colOff>38100</xdr:colOff>
      <xdr:row>7</xdr:row>
      <xdr:rowOff>38100</xdr:rowOff>
    </xdr:to>
    <xdr:sp macro="" textlink="">
      <xdr:nvSpPr>
        <xdr:cNvPr id="3" name="ガイド: 接続点0">
          <a:extLst>
            <a:ext uri="{FF2B5EF4-FFF2-40B4-BE49-F238E27FC236}">
              <a16:creationId xmlns:a16="http://schemas.microsoft.com/office/drawing/2014/main" id="{00000000-0008-0000-0400-000003000000}"/>
            </a:ext>
          </a:extLst>
        </xdr:cNvPr>
        <xdr:cNvSpPr/>
      </xdr:nvSpPr>
      <xdr:spPr>
        <a:xfrm>
          <a:off x="1485900" y="1295400"/>
          <a:ext cx="76200" cy="76200"/>
        </a:xfrm>
        <a:prstGeom prst="ellipse">
          <a:avLst/>
        </a:prstGeom>
        <a:solidFill>
          <a:srgbClr val="7F7F7F"/>
        </a:solidFill>
        <a:ln w="6350" cap="flat">
          <a:solidFill>
            <a:srgbClr val="FFFFFF"/>
          </a:solidFill>
          <a:round/>
        </a:ln>
      </xdr:spPr>
      <xdr:txBody>
        <a:bodyPr vertOverflow="overflow" horzOverflow="overflow" wrap="square" lIns="38100" tIns="19050" rIns="38100" bIns="19050" rtlCol="0" anchor="ctr">
          <a:noAutofit/>
        </a:bodyPr>
        <a:lstStyle/>
        <a:p>
          <a:pPr algn="ctr"/>
          <a:endParaRPr lang="ja-JP" altLang="en-US" sz="500" dirty="0">
            <a:latin typeface="Meiryo UI"/>
            <a:ea typeface="Meiryo UI"/>
          </a:endParaRPr>
        </a:p>
      </xdr:txBody>
    </xdr:sp>
    <xdr:clientData/>
  </xdr:twoCellAnchor>
  <xdr:twoCellAnchor editAs="oneCell">
    <xdr:from>
      <xdr:col>7</xdr:col>
      <xdr:colOff>76200</xdr:colOff>
      <xdr:row>5</xdr:row>
      <xdr:rowOff>114300</xdr:rowOff>
    </xdr:from>
    <xdr:to>
      <xdr:col>8</xdr:col>
      <xdr:colOff>114300</xdr:colOff>
      <xdr:row>6</xdr:row>
      <xdr:rowOff>95250</xdr:rowOff>
    </xdr:to>
    <xdr:sp macro="" textlink="">
      <xdr:nvSpPr>
        <xdr:cNvPr id="4" name="ガイド: 番号12">
          <a:extLst>
            <a:ext uri="{FF2B5EF4-FFF2-40B4-BE49-F238E27FC236}">
              <a16:creationId xmlns:a16="http://schemas.microsoft.com/office/drawing/2014/main" id="{00000000-0008-0000-0400-000004000000}"/>
            </a:ext>
          </a:extLst>
        </xdr:cNvPr>
        <xdr:cNvSpPr/>
      </xdr:nvSpPr>
      <xdr:spPr>
        <a:xfrm>
          <a:off x="1409700" y="1066800"/>
          <a:ext cx="228600" cy="171450"/>
        </a:xfrm>
        <a:prstGeom prst="rect">
          <a:avLst/>
        </a:prstGeom>
        <a:noFill/>
        <a:ln>
          <a:noFill/>
        </a:ln>
      </xdr:spPr>
      <xdr:txBody>
        <a:bodyPr vertOverflow="overflow" horzOverflow="overflow" wrap="none" lIns="0" tIns="0" rIns="0" bIns="0" rtlCol="0" anchor="ctr">
          <a:noAutofit/>
        </a:bodyPr>
        <a:lstStyle/>
        <a:p>
          <a:pPr algn="ctr"/>
          <a:r>
            <a:rPr lang="ja-JP" altLang="en-US" sz="750" b="1" dirty="0">
              <a:solidFill>
                <a:srgbClr val="262626"/>
              </a:solidFill>
              <a:latin typeface="Meiryo UI"/>
              <a:ea typeface="Meiryo UI"/>
              <a:cs typeface="Meiryo UI"/>
            </a:rPr>
            <a:t>12</a:t>
          </a:r>
          <a:endParaRPr lang="ja-JP" altLang="en-US" sz="750" dirty="0">
            <a:latin typeface="Meiryo UI"/>
            <a:ea typeface="Meiryo UI"/>
          </a:endParaRPr>
        </a:p>
      </xdr:txBody>
    </xdr:sp>
    <xdr:clientData/>
  </xdr:twoCellAnchor>
  <xdr:twoCellAnchor editAs="oneCell">
    <xdr:from>
      <xdr:col>9</xdr:col>
      <xdr:colOff>152400</xdr:colOff>
      <xdr:row>6</xdr:row>
      <xdr:rowOff>152400</xdr:rowOff>
    </xdr:from>
    <xdr:to>
      <xdr:col>10</xdr:col>
      <xdr:colOff>38100</xdr:colOff>
      <xdr:row>7</xdr:row>
      <xdr:rowOff>38100</xdr:rowOff>
    </xdr:to>
    <xdr:sp macro="" textlink="">
      <xdr:nvSpPr>
        <xdr:cNvPr id="5" name="ガイド: 接続点1">
          <a:extLst>
            <a:ext uri="{FF2B5EF4-FFF2-40B4-BE49-F238E27FC236}">
              <a16:creationId xmlns:a16="http://schemas.microsoft.com/office/drawing/2014/main" id="{00000000-0008-0000-0400-000005000000}"/>
            </a:ext>
          </a:extLst>
        </xdr:cNvPr>
        <xdr:cNvSpPr/>
      </xdr:nvSpPr>
      <xdr:spPr>
        <a:xfrm>
          <a:off x="1866900" y="1295400"/>
          <a:ext cx="76200" cy="76200"/>
        </a:xfrm>
        <a:prstGeom prst="ellipse">
          <a:avLst/>
        </a:prstGeom>
        <a:solidFill>
          <a:srgbClr val="7F7F7F"/>
        </a:solidFill>
        <a:ln w="6350" cap="flat">
          <a:solidFill>
            <a:srgbClr val="FFFFFF"/>
          </a:solidFill>
          <a:round/>
        </a:ln>
      </xdr:spPr>
      <xdr:txBody>
        <a:bodyPr vertOverflow="overflow" horzOverflow="overflow" wrap="square" lIns="38100" tIns="19050" rIns="38100" bIns="19050" rtlCol="0" anchor="ctr">
          <a:noAutofit/>
        </a:bodyPr>
        <a:lstStyle/>
        <a:p>
          <a:pPr algn="ctr"/>
          <a:endParaRPr lang="ja-JP" altLang="en-US" sz="500" dirty="0">
            <a:latin typeface="Meiryo UI"/>
            <a:ea typeface="Meiryo UI"/>
          </a:endParaRPr>
        </a:p>
      </xdr:txBody>
    </xdr:sp>
    <xdr:clientData/>
  </xdr:twoCellAnchor>
  <xdr:twoCellAnchor editAs="oneCell">
    <xdr:from>
      <xdr:col>9</xdr:col>
      <xdr:colOff>76200</xdr:colOff>
      <xdr:row>5</xdr:row>
      <xdr:rowOff>114300</xdr:rowOff>
    </xdr:from>
    <xdr:to>
      <xdr:col>10</xdr:col>
      <xdr:colOff>114300</xdr:colOff>
      <xdr:row>6</xdr:row>
      <xdr:rowOff>95250</xdr:rowOff>
    </xdr:to>
    <xdr:sp macro="" textlink="">
      <xdr:nvSpPr>
        <xdr:cNvPr id="6" name="ガイド: 番号1">
          <a:extLst>
            <a:ext uri="{FF2B5EF4-FFF2-40B4-BE49-F238E27FC236}">
              <a16:creationId xmlns:a16="http://schemas.microsoft.com/office/drawing/2014/main" id="{00000000-0008-0000-0400-000006000000}"/>
            </a:ext>
          </a:extLst>
        </xdr:cNvPr>
        <xdr:cNvSpPr/>
      </xdr:nvSpPr>
      <xdr:spPr>
        <a:xfrm>
          <a:off x="1790700" y="1066800"/>
          <a:ext cx="228600" cy="171450"/>
        </a:xfrm>
        <a:prstGeom prst="rect">
          <a:avLst/>
        </a:prstGeom>
        <a:noFill/>
        <a:ln>
          <a:noFill/>
        </a:ln>
      </xdr:spPr>
      <xdr:txBody>
        <a:bodyPr vertOverflow="overflow" horzOverflow="overflow" wrap="none" lIns="0" tIns="0" rIns="0" bIns="0" rtlCol="0" anchor="ctr">
          <a:noAutofit/>
        </a:bodyPr>
        <a:lstStyle/>
        <a:p>
          <a:pPr algn="ctr"/>
          <a:r>
            <a:rPr lang="ja-JP" altLang="en-US" sz="750" b="1" dirty="0">
              <a:solidFill>
                <a:srgbClr val="262626"/>
              </a:solidFill>
              <a:latin typeface="Meiryo UI"/>
              <a:ea typeface="Meiryo UI"/>
              <a:cs typeface="Meiryo UI"/>
            </a:rPr>
            <a:t>1</a:t>
          </a:r>
          <a:endParaRPr lang="ja-JP" altLang="en-US" sz="750" dirty="0">
            <a:latin typeface="Meiryo UI"/>
            <a:ea typeface="Meiryo UI"/>
          </a:endParaRPr>
        </a:p>
      </xdr:txBody>
    </xdr:sp>
    <xdr:clientData/>
  </xdr:twoCellAnchor>
  <xdr:twoCellAnchor editAs="oneCell">
    <xdr:from>
      <xdr:col>11</xdr:col>
      <xdr:colOff>152400</xdr:colOff>
      <xdr:row>7</xdr:row>
      <xdr:rowOff>152400</xdr:rowOff>
    </xdr:from>
    <xdr:to>
      <xdr:col>12</xdr:col>
      <xdr:colOff>38100</xdr:colOff>
      <xdr:row>8</xdr:row>
      <xdr:rowOff>38100</xdr:rowOff>
    </xdr:to>
    <xdr:sp macro="" textlink="">
      <xdr:nvSpPr>
        <xdr:cNvPr id="7" name="ガイド: 接続点2">
          <a:extLst>
            <a:ext uri="{FF2B5EF4-FFF2-40B4-BE49-F238E27FC236}">
              <a16:creationId xmlns:a16="http://schemas.microsoft.com/office/drawing/2014/main" id="{00000000-0008-0000-0400-000007000000}"/>
            </a:ext>
          </a:extLst>
        </xdr:cNvPr>
        <xdr:cNvSpPr/>
      </xdr:nvSpPr>
      <xdr:spPr>
        <a:xfrm>
          <a:off x="2247900" y="1485900"/>
          <a:ext cx="76200" cy="76200"/>
        </a:xfrm>
        <a:prstGeom prst="ellipse">
          <a:avLst/>
        </a:prstGeom>
        <a:solidFill>
          <a:srgbClr val="7F7F7F"/>
        </a:solidFill>
        <a:ln w="6350" cap="flat">
          <a:solidFill>
            <a:srgbClr val="FFFFFF"/>
          </a:solidFill>
          <a:round/>
        </a:ln>
      </xdr:spPr>
      <xdr:txBody>
        <a:bodyPr vertOverflow="overflow" horzOverflow="overflow" wrap="square" lIns="38100" tIns="19050" rIns="38100" bIns="19050" rtlCol="0" anchor="ctr">
          <a:noAutofit/>
        </a:bodyPr>
        <a:lstStyle/>
        <a:p>
          <a:pPr algn="ctr"/>
          <a:endParaRPr lang="ja-JP" altLang="en-US" sz="500" dirty="0">
            <a:latin typeface="Meiryo UI"/>
            <a:ea typeface="Meiryo UI"/>
          </a:endParaRPr>
        </a:p>
      </xdr:txBody>
    </xdr:sp>
    <xdr:clientData/>
  </xdr:twoCellAnchor>
  <xdr:twoCellAnchor editAs="oneCell">
    <xdr:from>
      <xdr:col>12</xdr:col>
      <xdr:colOff>28575</xdr:colOff>
      <xdr:row>7</xdr:row>
      <xdr:rowOff>104775</xdr:rowOff>
    </xdr:from>
    <xdr:to>
      <xdr:col>13</xdr:col>
      <xdr:colOff>66675</xdr:colOff>
      <xdr:row>8</xdr:row>
      <xdr:rowOff>85725</xdr:rowOff>
    </xdr:to>
    <xdr:sp macro="" textlink="">
      <xdr:nvSpPr>
        <xdr:cNvPr id="8" name="ガイド: 番号2">
          <a:extLst>
            <a:ext uri="{FF2B5EF4-FFF2-40B4-BE49-F238E27FC236}">
              <a16:creationId xmlns:a16="http://schemas.microsoft.com/office/drawing/2014/main" id="{00000000-0008-0000-0400-000008000000}"/>
            </a:ext>
          </a:extLst>
        </xdr:cNvPr>
        <xdr:cNvSpPr/>
      </xdr:nvSpPr>
      <xdr:spPr>
        <a:xfrm>
          <a:off x="2314575" y="1438275"/>
          <a:ext cx="228600" cy="171450"/>
        </a:xfrm>
        <a:prstGeom prst="rect">
          <a:avLst/>
        </a:prstGeom>
        <a:noFill/>
        <a:ln>
          <a:noFill/>
        </a:ln>
      </xdr:spPr>
      <xdr:txBody>
        <a:bodyPr vertOverflow="overflow" horzOverflow="overflow" wrap="none" lIns="0" tIns="0" rIns="0" bIns="0" rtlCol="0" anchor="ctr">
          <a:noAutofit/>
        </a:bodyPr>
        <a:lstStyle/>
        <a:p>
          <a:pPr algn="ctr"/>
          <a:r>
            <a:rPr lang="ja-JP" altLang="en-US" sz="750" b="1" dirty="0">
              <a:solidFill>
                <a:srgbClr val="262626"/>
              </a:solidFill>
              <a:latin typeface="Meiryo UI"/>
              <a:ea typeface="Meiryo UI"/>
              <a:cs typeface="Meiryo UI"/>
            </a:rPr>
            <a:t>2</a:t>
          </a:r>
          <a:endParaRPr lang="ja-JP" altLang="en-US" sz="750" dirty="0">
            <a:latin typeface="Meiryo UI"/>
            <a:ea typeface="Meiryo UI"/>
          </a:endParaRPr>
        </a:p>
      </xdr:txBody>
    </xdr:sp>
    <xdr:clientData/>
  </xdr:twoCellAnchor>
  <xdr:twoCellAnchor editAs="oneCell">
    <xdr:from>
      <xdr:col>11</xdr:col>
      <xdr:colOff>152400</xdr:colOff>
      <xdr:row>8</xdr:row>
      <xdr:rowOff>152400</xdr:rowOff>
    </xdr:from>
    <xdr:to>
      <xdr:col>12</xdr:col>
      <xdr:colOff>38100</xdr:colOff>
      <xdr:row>9</xdr:row>
      <xdr:rowOff>38100</xdr:rowOff>
    </xdr:to>
    <xdr:sp macro="" textlink="">
      <xdr:nvSpPr>
        <xdr:cNvPr id="9" name="ガイド: 接続点3">
          <a:extLst>
            <a:ext uri="{FF2B5EF4-FFF2-40B4-BE49-F238E27FC236}">
              <a16:creationId xmlns:a16="http://schemas.microsoft.com/office/drawing/2014/main" id="{00000000-0008-0000-0400-000009000000}"/>
            </a:ext>
          </a:extLst>
        </xdr:cNvPr>
        <xdr:cNvSpPr/>
      </xdr:nvSpPr>
      <xdr:spPr>
        <a:xfrm>
          <a:off x="2247900" y="1676400"/>
          <a:ext cx="76200" cy="76200"/>
        </a:xfrm>
        <a:prstGeom prst="ellipse">
          <a:avLst/>
        </a:prstGeom>
        <a:solidFill>
          <a:srgbClr val="7F7F7F"/>
        </a:solidFill>
        <a:ln w="6350" cap="flat">
          <a:solidFill>
            <a:srgbClr val="FFFFFF"/>
          </a:solidFill>
          <a:round/>
        </a:ln>
      </xdr:spPr>
      <xdr:txBody>
        <a:bodyPr vertOverflow="overflow" horzOverflow="overflow" wrap="square" lIns="38100" tIns="19050" rIns="38100" bIns="19050" rtlCol="0" anchor="ctr">
          <a:noAutofit/>
        </a:bodyPr>
        <a:lstStyle/>
        <a:p>
          <a:pPr algn="ctr"/>
          <a:endParaRPr lang="ja-JP" altLang="en-US" sz="500" dirty="0">
            <a:latin typeface="Meiryo UI"/>
            <a:ea typeface="Meiryo UI"/>
          </a:endParaRPr>
        </a:p>
      </xdr:txBody>
    </xdr:sp>
    <xdr:clientData/>
  </xdr:twoCellAnchor>
  <xdr:twoCellAnchor editAs="oneCell">
    <xdr:from>
      <xdr:col>12</xdr:col>
      <xdr:colOff>28575</xdr:colOff>
      <xdr:row>8</xdr:row>
      <xdr:rowOff>104775</xdr:rowOff>
    </xdr:from>
    <xdr:to>
      <xdr:col>13</xdr:col>
      <xdr:colOff>66675</xdr:colOff>
      <xdr:row>9</xdr:row>
      <xdr:rowOff>85725</xdr:rowOff>
    </xdr:to>
    <xdr:sp macro="" textlink="">
      <xdr:nvSpPr>
        <xdr:cNvPr id="10" name="ガイド: 番号3">
          <a:extLst>
            <a:ext uri="{FF2B5EF4-FFF2-40B4-BE49-F238E27FC236}">
              <a16:creationId xmlns:a16="http://schemas.microsoft.com/office/drawing/2014/main" id="{00000000-0008-0000-0400-00000A000000}"/>
            </a:ext>
          </a:extLst>
        </xdr:cNvPr>
        <xdr:cNvSpPr/>
      </xdr:nvSpPr>
      <xdr:spPr>
        <a:xfrm>
          <a:off x="2314575" y="1628775"/>
          <a:ext cx="228600" cy="171450"/>
        </a:xfrm>
        <a:prstGeom prst="rect">
          <a:avLst/>
        </a:prstGeom>
        <a:noFill/>
        <a:ln>
          <a:noFill/>
        </a:ln>
      </xdr:spPr>
      <xdr:txBody>
        <a:bodyPr vertOverflow="overflow" horzOverflow="overflow" wrap="none" lIns="0" tIns="0" rIns="0" bIns="0" rtlCol="0" anchor="ctr">
          <a:noAutofit/>
        </a:bodyPr>
        <a:lstStyle/>
        <a:p>
          <a:pPr algn="ctr"/>
          <a:r>
            <a:rPr lang="ja-JP" altLang="en-US" sz="750" b="1" dirty="0">
              <a:solidFill>
                <a:srgbClr val="262626"/>
              </a:solidFill>
              <a:latin typeface="Meiryo UI"/>
              <a:ea typeface="Meiryo UI"/>
              <a:cs typeface="Meiryo UI"/>
            </a:rPr>
            <a:t>3</a:t>
          </a:r>
          <a:endParaRPr lang="ja-JP" altLang="en-US" sz="750" dirty="0">
            <a:latin typeface="Meiryo UI"/>
            <a:ea typeface="Meiryo UI"/>
          </a:endParaRPr>
        </a:p>
      </xdr:txBody>
    </xdr:sp>
    <xdr:clientData/>
  </xdr:twoCellAnchor>
  <xdr:twoCellAnchor editAs="oneCell">
    <xdr:from>
      <xdr:col>11</xdr:col>
      <xdr:colOff>152400</xdr:colOff>
      <xdr:row>9</xdr:row>
      <xdr:rowOff>152400</xdr:rowOff>
    </xdr:from>
    <xdr:to>
      <xdr:col>12</xdr:col>
      <xdr:colOff>38100</xdr:colOff>
      <xdr:row>10</xdr:row>
      <xdr:rowOff>38100</xdr:rowOff>
    </xdr:to>
    <xdr:sp macro="" textlink="">
      <xdr:nvSpPr>
        <xdr:cNvPr id="11" name="ガイド: 接続点4">
          <a:extLst>
            <a:ext uri="{FF2B5EF4-FFF2-40B4-BE49-F238E27FC236}">
              <a16:creationId xmlns:a16="http://schemas.microsoft.com/office/drawing/2014/main" id="{00000000-0008-0000-0400-00000B000000}"/>
            </a:ext>
          </a:extLst>
        </xdr:cNvPr>
        <xdr:cNvSpPr/>
      </xdr:nvSpPr>
      <xdr:spPr>
        <a:xfrm>
          <a:off x="2247900" y="1866900"/>
          <a:ext cx="76200" cy="76200"/>
        </a:xfrm>
        <a:prstGeom prst="ellipse">
          <a:avLst/>
        </a:prstGeom>
        <a:solidFill>
          <a:srgbClr val="7F7F7F"/>
        </a:solidFill>
        <a:ln w="6350" cap="flat">
          <a:solidFill>
            <a:srgbClr val="FFFFFF"/>
          </a:solidFill>
          <a:round/>
        </a:ln>
      </xdr:spPr>
      <xdr:txBody>
        <a:bodyPr vertOverflow="overflow" horzOverflow="overflow" wrap="square" lIns="38100" tIns="19050" rIns="38100" bIns="19050" rtlCol="0" anchor="ctr">
          <a:noAutofit/>
        </a:bodyPr>
        <a:lstStyle/>
        <a:p>
          <a:pPr algn="ctr"/>
          <a:endParaRPr lang="ja-JP" altLang="en-US" sz="500" dirty="0">
            <a:latin typeface="Meiryo UI"/>
            <a:ea typeface="Meiryo UI"/>
          </a:endParaRPr>
        </a:p>
      </xdr:txBody>
    </xdr:sp>
    <xdr:clientData/>
  </xdr:twoCellAnchor>
  <xdr:twoCellAnchor editAs="oneCell">
    <xdr:from>
      <xdr:col>12</xdr:col>
      <xdr:colOff>28575</xdr:colOff>
      <xdr:row>9</xdr:row>
      <xdr:rowOff>104775</xdr:rowOff>
    </xdr:from>
    <xdr:to>
      <xdr:col>13</xdr:col>
      <xdr:colOff>66675</xdr:colOff>
      <xdr:row>10</xdr:row>
      <xdr:rowOff>85725</xdr:rowOff>
    </xdr:to>
    <xdr:sp macro="" textlink="">
      <xdr:nvSpPr>
        <xdr:cNvPr id="12" name="ガイド: 番号4">
          <a:extLst>
            <a:ext uri="{FF2B5EF4-FFF2-40B4-BE49-F238E27FC236}">
              <a16:creationId xmlns:a16="http://schemas.microsoft.com/office/drawing/2014/main" id="{00000000-0008-0000-0400-00000C000000}"/>
            </a:ext>
          </a:extLst>
        </xdr:cNvPr>
        <xdr:cNvSpPr/>
      </xdr:nvSpPr>
      <xdr:spPr>
        <a:xfrm>
          <a:off x="2314575" y="1819275"/>
          <a:ext cx="228600" cy="171450"/>
        </a:xfrm>
        <a:prstGeom prst="rect">
          <a:avLst/>
        </a:prstGeom>
        <a:noFill/>
        <a:ln>
          <a:noFill/>
        </a:ln>
      </xdr:spPr>
      <xdr:txBody>
        <a:bodyPr vertOverflow="overflow" horzOverflow="overflow" wrap="none" lIns="0" tIns="0" rIns="0" bIns="0" rtlCol="0" anchor="ctr">
          <a:noAutofit/>
        </a:bodyPr>
        <a:lstStyle/>
        <a:p>
          <a:pPr algn="ctr"/>
          <a:r>
            <a:rPr lang="ja-JP" altLang="en-US" sz="750" b="1" dirty="0">
              <a:solidFill>
                <a:srgbClr val="262626"/>
              </a:solidFill>
              <a:latin typeface="Meiryo UI"/>
              <a:ea typeface="Meiryo UI"/>
              <a:cs typeface="Meiryo UI"/>
            </a:rPr>
            <a:t>4</a:t>
          </a:r>
          <a:endParaRPr lang="ja-JP" altLang="en-US" sz="750" dirty="0">
            <a:latin typeface="Meiryo UI"/>
            <a:ea typeface="Meiryo UI"/>
          </a:endParaRPr>
        </a:p>
      </xdr:txBody>
    </xdr:sp>
    <xdr:clientData/>
  </xdr:twoCellAnchor>
  <xdr:twoCellAnchor editAs="oneCell">
    <xdr:from>
      <xdr:col>9</xdr:col>
      <xdr:colOff>152400</xdr:colOff>
      <xdr:row>10</xdr:row>
      <xdr:rowOff>152400</xdr:rowOff>
    </xdr:from>
    <xdr:to>
      <xdr:col>10</xdr:col>
      <xdr:colOff>38100</xdr:colOff>
      <xdr:row>11</xdr:row>
      <xdr:rowOff>38100</xdr:rowOff>
    </xdr:to>
    <xdr:sp macro="" textlink="">
      <xdr:nvSpPr>
        <xdr:cNvPr id="13" name="ガイド: 接続点5">
          <a:extLst>
            <a:ext uri="{FF2B5EF4-FFF2-40B4-BE49-F238E27FC236}">
              <a16:creationId xmlns:a16="http://schemas.microsoft.com/office/drawing/2014/main" id="{00000000-0008-0000-0400-00000D000000}"/>
            </a:ext>
          </a:extLst>
        </xdr:cNvPr>
        <xdr:cNvSpPr/>
      </xdr:nvSpPr>
      <xdr:spPr>
        <a:xfrm>
          <a:off x="1866900" y="2057400"/>
          <a:ext cx="76200" cy="76200"/>
        </a:xfrm>
        <a:prstGeom prst="ellipse">
          <a:avLst/>
        </a:prstGeom>
        <a:solidFill>
          <a:srgbClr val="7F7F7F"/>
        </a:solidFill>
        <a:ln w="6350" cap="flat">
          <a:solidFill>
            <a:srgbClr val="FFFFFF"/>
          </a:solidFill>
          <a:round/>
        </a:ln>
      </xdr:spPr>
      <xdr:txBody>
        <a:bodyPr vertOverflow="overflow" horzOverflow="overflow" wrap="square" lIns="38100" tIns="19050" rIns="38100" bIns="19050" rtlCol="0" anchor="ctr">
          <a:noAutofit/>
        </a:bodyPr>
        <a:lstStyle/>
        <a:p>
          <a:pPr algn="ctr"/>
          <a:endParaRPr lang="ja-JP" altLang="en-US" sz="500" dirty="0">
            <a:latin typeface="Meiryo UI"/>
            <a:ea typeface="Meiryo UI"/>
          </a:endParaRPr>
        </a:p>
      </xdr:txBody>
    </xdr:sp>
    <xdr:clientData/>
  </xdr:twoCellAnchor>
  <xdr:twoCellAnchor editAs="oneCell">
    <xdr:from>
      <xdr:col>9</xdr:col>
      <xdr:colOff>76200</xdr:colOff>
      <xdr:row>11</xdr:row>
      <xdr:rowOff>95250</xdr:rowOff>
    </xdr:from>
    <xdr:to>
      <xdr:col>10</xdr:col>
      <xdr:colOff>114300</xdr:colOff>
      <xdr:row>12</xdr:row>
      <xdr:rowOff>76200</xdr:rowOff>
    </xdr:to>
    <xdr:sp macro="" textlink="">
      <xdr:nvSpPr>
        <xdr:cNvPr id="14" name="ガイド: 番号5">
          <a:extLst>
            <a:ext uri="{FF2B5EF4-FFF2-40B4-BE49-F238E27FC236}">
              <a16:creationId xmlns:a16="http://schemas.microsoft.com/office/drawing/2014/main" id="{00000000-0008-0000-0400-00000E000000}"/>
            </a:ext>
          </a:extLst>
        </xdr:cNvPr>
        <xdr:cNvSpPr/>
      </xdr:nvSpPr>
      <xdr:spPr>
        <a:xfrm>
          <a:off x="1790700" y="2190750"/>
          <a:ext cx="228600" cy="171450"/>
        </a:xfrm>
        <a:prstGeom prst="rect">
          <a:avLst/>
        </a:prstGeom>
        <a:noFill/>
        <a:ln>
          <a:noFill/>
        </a:ln>
      </xdr:spPr>
      <xdr:txBody>
        <a:bodyPr vertOverflow="overflow" horzOverflow="overflow" wrap="none" lIns="0" tIns="0" rIns="0" bIns="0" rtlCol="0" anchor="ctr">
          <a:noAutofit/>
        </a:bodyPr>
        <a:lstStyle/>
        <a:p>
          <a:pPr algn="ctr"/>
          <a:r>
            <a:rPr lang="ja-JP" altLang="en-US" sz="750" b="1" dirty="0">
              <a:solidFill>
                <a:srgbClr val="262626"/>
              </a:solidFill>
              <a:latin typeface="Meiryo UI"/>
              <a:ea typeface="Meiryo UI"/>
              <a:cs typeface="Meiryo UI"/>
            </a:rPr>
            <a:t>5</a:t>
          </a:r>
          <a:endParaRPr lang="ja-JP" altLang="en-US" sz="750" dirty="0">
            <a:latin typeface="Meiryo UI"/>
            <a:ea typeface="Meiryo UI"/>
          </a:endParaRPr>
        </a:p>
      </xdr:txBody>
    </xdr:sp>
    <xdr:clientData/>
  </xdr:twoCellAnchor>
  <xdr:twoCellAnchor editAs="oneCell">
    <xdr:from>
      <xdr:col>7</xdr:col>
      <xdr:colOff>152400</xdr:colOff>
      <xdr:row>10</xdr:row>
      <xdr:rowOff>152400</xdr:rowOff>
    </xdr:from>
    <xdr:to>
      <xdr:col>8</xdr:col>
      <xdr:colOff>38100</xdr:colOff>
      <xdr:row>11</xdr:row>
      <xdr:rowOff>38100</xdr:rowOff>
    </xdr:to>
    <xdr:sp macro="" textlink="">
      <xdr:nvSpPr>
        <xdr:cNvPr id="15" name="ガイド: 接続点6">
          <a:extLst>
            <a:ext uri="{FF2B5EF4-FFF2-40B4-BE49-F238E27FC236}">
              <a16:creationId xmlns:a16="http://schemas.microsoft.com/office/drawing/2014/main" id="{00000000-0008-0000-0400-00000F000000}"/>
            </a:ext>
          </a:extLst>
        </xdr:cNvPr>
        <xdr:cNvSpPr/>
      </xdr:nvSpPr>
      <xdr:spPr>
        <a:xfrm>
          <a:off x="1485900" y="2057400"/>
          <a:ext cx="76200" cy="76200"/>
        </a:xfrm>
        <a:prstGeom prst="ellipse">
          <a:avLst/>
        </a:prstGeom>
        <a:solidFill>
          <a:srgbClr val="7F7F7F"/>
        </a:solidFill>
        <a:ln w="6350" cap="flat">
          <a:solidFill>
            <a:srgbClr val="FFFFFF"/>
          </a:solidFill>
          <a:round/>
        </a:ln>
      </xdr:spPr>
      <xdr:txBody>
        <a:bodyPr vertOverflow="overflow" horzOverflow="overflow" wrap="square" lIns="38100" tIns="19050" rIns="38100" bIns="19050" rtlCol="0" anchor="ctr">
          <a:noAutofit/>
        </a:bodyPr>
        <a:lstStyle/>
        <a:p>
          <a:pPr algn="ctr"/>
          <a:endParaRPr lang="ja-JP" altLang="en-US" sz="500" dirty="0">
            <a:latin typeface="Meiryo UI"/>
            <a:ea typeface="Meiryo UI"/>
          </a:endParaRPr>
        </a:p>
      </xdr:txBody>
    </xdr:sp>
    <xdr:clientData/>
  </xdr:twoCellAnchor>
  <xdr:twoCellAnchor editAs="oneCell">
    <xdr:from>
      <xdr:col>7</xdr:col>
      <xdr:colOff>76200</xdr:colOff>
      <xdr:row>11</xdr:row>
      <xdr:rowOff>95250</xdr:rowOff>
    </xdr:from>
    <xdr:to>
      <xdr:col>8</xdr:col>
      <xdr:colOff>114300</xdr:colOff>
      <xdr:row>12</xdr:row>
      <xdr:rowOff>76200</xdr:rowOff>
    </xdr:to>
    <xdr:sp macro="" textlink="">
      <xdr:nvSpPr>
        <xdr:cNvPr id="16" name="ガイド: 番号6">
          <a:extLst>
            <a:ext uri="{FF2B5EF4-FFF2-40B4-BE49-F238E27FC236}">
              <a16:creationId xmlns:a16="http://schemas.microsoft.com/office/drawing/2014/main" id="{00000000-0008-0000-0400-000010000000}"/>
            </a:ext>
          </a:extLst>
        </xdr:cNvPr>
        <xdr:cNvSpPr/>
      </xdr:nvSpPr>
      <xdr:spPr>
        <a:xfrm>
          <a:off x="1409700" y="2190750"/>
          <a:ext cx="228600" cy="171450"/>
        </a:xfrm>
        <a:prstGeom prst="rect">
          <a:avLst/>
        </a:prstGeom>
        <a:noFill/>
        <a:ln>
          <a:noFill/>
        </a:ln>
      </xdr:spPr>
      <xdr:txBody>
        <a:bodyPr vertOverflow="overflow" horzOverflow="overflow" wrap="none" lIns="0" tIns="0" rIns="0" bIns="0" rtlCol="0" anchor="ctr">
          <a:noAutofit/>
        </a:bodyPr>
        <a:lstStyle/>
        <a:p>
          <a:pPr algn="ctr"/>
          <a:r>
            <a:rPr lang="ja-JP" altLang="en-US" sz="750" b="1" dirty="0">
              <a:solidFill>
                <a:srgbClr val="262626"/>
              </a:solidFill>
              <a:latin typeface="Meiryo UI"/>
              <a:ea typeface="Meiryo UI"/>
              <a:cs typeface="Meiryo UI"/>
            </a:rPr>
            <a:t>6</a:t>
          </a:r>
          <a:endParaRPr lang="ja-JP" altLang="en-US" sz="750" dirty="0">
            <a:latin typeface="Meiryo UI"/>
            <a:ea typeface="Meiryo UI"/>
          </a:endParaRPr>
        </a:p>
      </xdr:txBody>
    </xdr:sp>
    <xdr:clientData/>
  </xdr:twoCellAnchor>
  <xdr:twoCellAnchor editAs="oneCell">
    <xdr:from>
      <xdr:col>5</xdr:col>
      <xdr:colOff>152400</xdr:colOff>
      <xdr:row>10</xdr:row>
      <xdr:rowOff>152400</xdr:rowOff>
    </xdr:from>
    <xdr:to>
      <xdr:col>6</xdr:col>
      <xdr:colOff>38100</xdr:colOff>
      <xdr:row>11</xdr:row>
      <xdr:rowOff>38100</xdr:rowOff>
    </xdr:to>
    <xdr:sp macro="" textlink="">
      <xdr:nvSpPr>
        <xdr:cNvPr id="17" name="ガイド: 接続点7">
          <a:extLst>
            <a:ext uri="{FF2B5EF4-FFF2-40B4-BE49-F238E27FC236}">
              <a16:creationId xmlns:a16="http://schemas.microsoft.com/office/drawing/2014/main" id="{00000000-0008-0000-0400-000011000000}"/>
            </a:ext>
          </a:extLst>
        </xdr:cNvPr>
        <xdr:cNvSpPr/>
      </xdr:nvSpPr>
      <xdr:spPr>
        <a:xfrm>
          <a:off x="1104900" y="2057400"/>
          <a:ext cx="76200" cy="76200"/>
        </a:xfrm>
        <a:prstGeom prst="ellipse">
          <a:avLst/>
        </a:prstGeom>
        <a:solidFill>
          <a:srgbClr val="7F7F7F"/>
        </a:solidFill>
        <a:ln w="6350" cap="flat">
          <a:solidFill>
            <a:srgbClr val="FFFFFF"/>
          </a:solidFill>
          <a:round/>
        </a:ln>
      </xdr:spPr>
      <xdr:txBody>
        <a:bodyPr vertOverflow="overflow" horzOverflow="overflow" wrap="square" lIns="38100" tIns="19050" rIns="38100" bIns="19050" rtlCol="0" anchor="ctr">
          <a:noAutofit/>
        </a:bodyPr>
        <a:lstStyle/>
        <a:p>
          <a:pPr algn="ctr"/>
          <a:endParaRPr lang="ja-JP" altLang="en-US" sz="500" dirty="0">
            <a:latin typeface="Meiryo UI"/>
            <a:ea typeface="Meiryo UI"/>
          </a:endParaRPr>
        </a:p>
      </xdr:txBody>
    </xdr:sp>
    <xdr:clientData/>
  </xdr:twoCellAnchor>
  <xdr:twoCellAnchor editAs="oneCell">
    <xdr:from>
      <xdr:col>5</xdr:col>
      <xdr:colOff>76200</xdr:colOff>
      <xdr:row>11</xdr:row>
      <xdr:rowOff>95250</xdr:rowOff>
    </xdr:from>
    <xdr:to>
      <xdr:col>6</xdr:col>
      <xdr:colOff>114300</xdr:colOff>
      <xdr:row>12</xdr:row>
      <xdr:rowOff>76200</xdr:rowOff>
    </xdr:to>
    <xdr:sp macro="" textlink="">
      <xdr:nvSpPr>
        <xdr:cNvPr id="18" name="ガイド: 番号7">
          <a:extLst>
            <a:ext uri="{FF2B5EF4-FFF2-40B4-BE49-F238E27FC236}">
              <a16:creationId xmlns:a16="http://schemas.microsoft.com/office/drawing/2014/main" id="{00000000-0008-0000-0400-000012000000}"/>
            </a:ext>
          </a:extLst>
        </xdr:cNvPr>
        <xdr:cNvSpPr/>
      </xdr:nvSpPr>
      <xdr:spPr>
        <a:xfrm>
          <a:off x="1028700" y="2190750"/>
          <a:ext cx="228600" cy="171450"/>
        </a:xfrm>
        <a:prstGeom prst="rect">
          <a:avLst/>
        </a:prstGeom>
        <a:noFill/>
        <a:ln>
          <a:noFill/>
        </a:ln>
      </xdr:spPr>
      <xdr:txBody>
        <a:bodyPr vertOverflow="overflow" horzOverflow="overflow" wrap="none" lIns="0" tIns="0" rIns="0" bIns="0" rtlCol="0" anchor="ctr">
          <a:noAutofit/>
        </a:bodyPr>
        <a:lstStyle/>
        <a:p>
          <a:pPr algn="ctr"/>
          <a:r>
            <a:rPr lang="ja-JP" altLang="en-US" sz="750" b="1" dirty="0">
              <a:solidFill>
                <a:srgbClr val="262626"/>
              </a:solidFill>
              <a:latin typeface="Meiryo UI"/>
              <a:ea typeface="Meiryo UI"/>
              <a:cs typeface="Meiryo UI"/>
            </a:rPr>
            <a:t>7</a:t>
          </a:r>
          <a:endParaRPr lang="ja-JP" altLang="en-US" sz="750" dirty="0">
            <a:latin typeface="Meiryo UI"/>
            <a:ea typeface="Meiryo UI"/>
          </a:endParaRPr>
        </a:p>
      </xdr:txBody>
    </xdr:sp>
    <xdr:clientData/>
  </xdr:twoCellAnchor>
  <xdr:twoCellAnchor editAs="oneCell">
    <xdr:from>
      <xdr:col>3</xdr:col>
      <xdr:colOff>152400</xdr:colOff>
      <xdr:row>9</xdr:row>
      <xdr:rowOff>152400</xdr:rowOff>
    </xdr:from>
    <xdr:to>
      <xdr:col>4</xdr:col>
      <xdr:colOff>38100</xdr:colOff>
      <xdr:row>10</xdr:row>
      <xdr:rowOff>38100</xdr:rowOff>
    </xdr:to>
    <xdr:sp macro="" textlink="">
      <xdr:nvSpPr>
        <xdr:cNvPr id="19" name="ガイド: 接続点8">
          <a:extLst>
            <a:ext uri="{FF2B5EF4-FFF2-40B4-BE49-F238E27FC236}">
              <a16:creationId xmlns:a16="http://schemas.microsoft.com/office/drawing/2014/main" id="{00000000-0008-0000-0400-000013000000}"/>
            </a:ext>
          </a:extLst>
        </xdr:cNvPr>
        <xdr:cNvSpPr/>
      </xdr:nvSpPr>
      <xdr:spPr>
        <a:xfrm>
          <a:off x="723900" y="1866900"/>
          <a:ext cx="76200" cy="76200"/>
        </a:xfrm>
        <a:prstGeom prst="ellipse">
          <a:avLst/>
        </a:prstGeom>
        <a:solidFill>
          <a:srgbClr val="7F7F7F"/>
        </a:solidFill>
        <a:ln w="6350" cap="flat">
          <a:solidFill>
            <a:srgbClr val="FFFFFF"/>
          </a:solidFill>
          <a:round/>
        </a:ln>
      </xdr:spPr>
      <xdr:txBody>
        <a:bodyPr vertOverflow="overflow" horzOverflow="overflow" wrap="square" lIns="38100" tIns="19050" rIns="38100" bIns="19050" rtlCol="0" anchor="ctr">
          <a:noAutofit/>
        </a:bodyPr>
        <a:lstStyle/>
        <a:p>
          <a:pPr algn="ctr"/>
          <a:endParaRPr lang="ja-JP" altLang="en-US" sz="500" dirty="0">
            <a:latin typeface="Meiryo UI"/>
            <a:ea typeface="Meiryo UI"/>
          </a:endParaRPr>
        </a:p>
      </xdr:txBody>
    </xdr:sp>
    <xdr:clientData/>
  </xdr:twoCellAnchor>
  <xdr:twoCellAnchor editAs="oneCell">
    <xdr:from>
      <xdr:col>2</xdr:col>
      <xdr:colOff>123825</xdr:colOff>
      <xdr:row>9</xdr:row>
      <xdr:rowOff>104775</xdr:rowOff>
    </xdr:from>
    <xdr:to>
      <xdr:col>3</xdr:col>
      <xdr:colOff>161925</xdr:colOff>
      <xdr:row>10</xdr:row>
      <xdr:rowOff>85725</xdr:rowOff>
    </xdr:to>
    <xdr:sp macro="" textlink="">
      <xdr:nvSpPr>
        <xdr:cNvPr id="20" name="ガイド: 番号8">
          <a:extLst>
            <a:ext uri="{FF2B5EF4-FFF2-40B4-BE49-F238E27FC236}">
              <a16:creationId xmlns:a16="http://schemas.microsoft.com/office/drawing/2014/main" id="{00000000-0008-0000-0400-000014000000}"/>
            </a:ext>
          </a:extLst>
        </xdr:cNvPr>
        <xdr:cNvSpPr/>
      </xdr:nvSpPr>
      <xdr:spPr>
        <a:xfrm>
          <a:off x="504825" y="1819275"/>
          <a:ext cx="228600" cy="171450"/>
        </a:xfrm>
        <a:prstGeom prst="rect">
          <a:avLst/>
        </a:prstGeom>
        <a:noFill/>
        <a:ln>
          <a:noFill/>
        </a:ln>
      </xdr:spPr>
      <xdr:txBody>
        <a:bodyPr vertOverflow="overflow" horzOverflow="overflow" wrap="none" lIns="0" tIns="0" rIns="0" bIns="0" rtlCol="0" anchor="ctr">
          <a:noAutofit/>
        </a:bodyPr>
        <a:lstStyle/>
        <a:p>
          <a:pPr algn="ctr"/>
          <a:r>
            <a:rPr lang="ja-JP" altLang="en-US" sz="750" b="1" dirty="0">
              <a:solidFill>
                <a:srgbClr val="262626"/>
              </a:solidFill>
              <a:latin typeface="Meiryo UI"/>
              <a:ea typeface="Meiryo UI"/>
              <a:cs typeface="Meiryo UI"/>
            </a:rPr>
            <a:t>8</a:t>
          </a:r>
          <a:endParaRPr lang="ja-JP" altLang="en-US" sz="750" dirty="0">
            <a:latin typeface="Meiryo UI"/>
            <a:ea typeface="Meiryo UI"/>
          </a:endParaRPr>
        </a:p>
      </xdr:txBody>
    </xdr:sp>
    <xdr:clientData/>
  </xdr:twoCellAnchor>
  <xdr:twoCellAnchor editAs="oneCell">
    <xdr:from>
      <xdr:col>3</xdr:col>
      <xdr:colOff>152400</xdr:colOff>
      <xdr:row>8</xdr:row>
      <xdr:rowOff>152400</xdr:rowOff>
    </xdr:from>
    <xdr:to>
      <xdr:col>4</xdr:col>
      <xdr:colOff>38100</xdr:colOff>
      <xdr:row>9</xdr:row>
      <xdr:rowOff>38100</xdr:rowOff>
    </xdr:to>
    <xdr:sp macro="" textlink="">
      <xdr:nvSpPr>
        <xdr:cNvPr id="21" name="ガイド: 接続点9">
          <a:extLst>
            <a:ext uri="{FF2B5EF4-FFF2-40B4-BE49-F238E27FC236}">
              <a16:creationId xmlns:a16="http://schemas.microsoft.com/office/drawing/2014/main" id="{00000000-0008-0000-0400-000015000000}"/>
            </a:ext>
          </a:extLst>
        </xdr:cNvPr>
        <xdr:cNvSpPr/>
      </xdr:nvSpPr>
      <xdr:spPr>
        <a:xfrm>
          <a:off x="723900" y="1676400"/>
          <a:ext cx="76200" cy="76200"/>
        </a:xfrm>
        <a:prstGeom prst="ellipse">
          <a:avLst/>
        </a:prstGeom>
        <a:solidFill>
          <a:srgbClr val="7F7F7F"/>
        </a:solidFill>
        <a:ln w="6350" cap="flat">
          <a:solidFill>
            <a:srgbClr val="FFFFFF"/>
          </a:solidFill>
          <a:round/>
        </a:ln>
      </xdr:spPr>
      <xdr:txBody>
        <a:bodyPr vertOverflow="overflow" horzOverflow="overflow" wrap="square" lIns="38100" tIns="19050" rIns="38100" bIns="19050" rtlCol="0" anchor="ctr">
          <a:noAutofit/>
        </a:bodyPr>
        <a:lstStyle/>
        <a:p>
          <a:pPr algn="ctr"/>
          <a:endParaRPr lang="ja-JP" altLang="en-US" sz="500" dirty="0">
            <a:latin typeface="Meiryo UI"/>
            <a:ea typeface="Meiryo UI"/>
          </a:endParaRPr>
        </a:p>
      </xdr:txBody>
    </xdr:sp>
    <xdr:clientData/>
  </xdr:twoCellAnchor>
  <xdr:twoCellAnchor editAs="oneCell">
    <xdr:from>
      <xdr:col>2</xdr:col>
      <xdr:colOff>123825</xdr:colOff>
      <xdr:row>8</xdr:row>
      <xdr:rowOff>104775</xdr:rowOff>
    </xdr:from>
    <xdr:to>
      <xdr:col>3</xdr:col>
      <xdr:colOff>161925</xdr:colOff>
      <xdr:row>9</xdr:row>
      <xdr:rowOff>85725</xdr:rowOff>
    </xdr:to>
    <xdr:sp macro="" textlink="">
      <xdr:nvSpPr>
        <xdr:cNvPr id="22" name="ガイド: 番号9">
          <a:extLst>
            <a:ext uri="{FF2B5EF4-FFF2-40B4-BE49-F238E27FC236}">
              <a16:creationId xmlns:a16="http://schemas.microsoft.com/office/drawing/2014/main" id="{00000000-0008-0000-0400-000016000000}"/>
            </a:ext>
          </a:extLst>
        </xdr:cNvPr>
        <xdr:cNvSpPr/>
      </xdr:nvSpPr>
      <xdr:spPr>
        <a:xfrm>
          <a:off x="504825" y="1628775"/>
          <a:ext cx="228600" cy="171450"/>
        </a:xfrm>
        <a:prstGeom prst="rect">
          <a:avLst/>
        </a:prstGeom>
        <a:noFill/>
        <a:ln>
          <a:noFill/>
        </a:ln>
      </xdr:spPr>
      <xdr:txBody>
        <a:bodyPr vertOverflow="overflow" horzOverflow="overflow" wrap="none" lIns="0" tIns="0" rIns="0" bIns="0" rtlCol="0" anchor="ctr">
          <a:noAutofit/>
        </a:bodyPr>
        <a:lstStyle/>
        <a:p>
          <a:pPr algn="ctr"/>
          <a:r>
            <a:rPr lang="ja-JP" altLang="en-US" sz="750" b="1" dirty="0">
              <a:solidFill>
                <a:srgbClr val="262626"/>
              </a:solidFill>
              <a:latin typeface="Meiryo UI"/>
              <a:ea typeface="Meiryo UI"/>
              <a:cs typeface="Meiryo UI"/>
            </a:rPr>
            <a:t>9</a:t>
          </a:r>
          <a:endParaRPr lang="ja-JP" altLang="en-US" sz="750" dirty="0">
            <a:latin typeface="Meiryo UI"/>
            <a:ea typeface="Meiryo UI"/>
          </a:endParaRPr>
        </a:p>
      </xdr:txBody>
    </xdr:sp>
    <xdr:clientData/>
  </xdr:twoCellAnchor>
  <xdr:twoCellAnchor editAs="oneCell">
    <xdr:from>
      <xdr:col>3</xdr:col>
      <xdr:colOff>152400</xdr:colOff>
      <xdr:row>7</xdr:row>
      <xdr:rowOff>152400</xdr:rowOff>
    </xdr:from>
    <xdr:to>
      <xdr:col>4</xdr:col>
      <xdr:colOff>38100</xdr:colOff>
      <xdr:row>8</xdr:row>
      <xdr:rowOff>38100</xdr:rowOff>
    </xdr:to>
    <xdr:sp macro="" textlink="">
      <xdr:nvSpPr>
        <xdr:cNvPr id="23" name="ガイド: 接続点10">
          <a:extLst>
            <a:ext uri="{FF2B5EF4-FFF2-40B4-BE49-F238E27FC236}">
              <a16:creationId xmlns:a16="http://schemas.microsoft.com/office/drawing/2014/main" id="{00000000-0008-0000-0400-000017000000}"/>
            </a:ext>
          </a:extLst>
        </xdr:cNvPr>
        <xdr:cNvSpPr/>
      </xdr:nvSpPr>
      <xdr:spPr>
        <a:xfrm>
          <a:off x="723900" y="1485900"/>
          <a:ext cx="76200" cy="76200"/>
        </a:xfrm>
        <a:prstGeom prst="ellipse">
          <a:avLst/>
        </a:prstGeom>
        <a:solidFill>
          <a:srgbClr val="7F7F7F"/>
        </a:solidFill>
        <a:ln w="6350" cap="flat">
          <a:solidFill>
            <a:srgbClr val="FFFFFF"/>
          </a:solidFill>
          <a:round/>
        </a:ln>
      </xdr:spPr>
      <xdr:txBody>
        <a:bodyPr vertOverflow="overflow" horzOverflow="overflow" wrap="square" lIns="38100" tIns="19050" rIns="38100" bIns="19050" rtlCol="0" anchor="ctr">
          <a:noAutofit/>
        </a:bodyPr>
        <a:lstStyle/>
        <a:p>
          <a:pPr algn="ctr"/>
          <a:endParaRPr lang="ja-JP" altLang="en-US" sz="500" dirty="0">
            <a:latin typeface="Meiryo UI"/>
            <a:ea typeface="Meiryo UI"/>
          </a:endParaRPr>
        </a:p>
      </xdr:txBody>
    </xdr:sp>
    <xdr:clientData/>
  </xdr:twoCellAnchor>
  <xdr:twoCellAnchor editAs="oneCell">
    <xdr:from>
      <xdr:col>2</xdr:col>
      <xdr:colOff>123825</xdr:colOff>
      <xdr:row>7</xdr:row>
      <xdr:rowOff>104775</xdr:rowOff>
    </xdr:from>
    <xdr:to>
      <xdr:col>3</xdr:col>
      <xdr:colOff>161925</xdr:colOff>
      <xdr:row>8</xdr:row>
      <xdr:rowOff>85725</xdr:rowOff>
    </xdr:to>
    <xdr:sp macro="" textlink="">
      <xdr:nvSpPr>
        <xdr:cNvPr id="24" name="ガイド: 番号10">
          <a:extLst>
            <a:ext uri="{FF2B5EF4-FFF2-40B4-BE49-F238E27FC236}">
              <a16:creationId xmlns:a16="http://schemas.microsoft.com/office/drawing/2014/main" id="{00000000-0008-0000-0400-000018000000}"/>
            </a:ext>
          </a:extLst>
        </xdr:cNvPr>
        <xdr:cNvSpPr/>
      </xdr:nvSpPr>
      <xdr:spPr>
        <a:xfrm>
          <a:off x="504825" y="1438275"/>
          <a:ext cx="228600" cy="171450"/>
        </a:xfrm>
        <a:prstGeom prst="rect">
          <a:avLst/>
        </a:prstGeom>
        <a:noFill/>
        <a:ln>
          <a:noFill/>
        </a:ln>
      </xdr:spPr>
      <xdr:txBody>
        <a:bodyPr vertOverflow="overflow" horzOverflow="overflow" wrap="none" lIns="0" tIns="0" rIns="0" bIns="0" rtlCol="0" anchor="ctr">
          <a:noAutofit/>
        </a:bodyPr>
        <a:lstStyle/>
        <a:p>
          <a:pPr algn="ctr"/>
          <a:r>
            <a:rPr lang="ja-JP" altLang="en-US" sz="750" b="1" dirty="0">
              <a:solidFill>
                <a:srgbClr val="262626"/>
              </a:solidFill>
              <a:latin typeface="Meiryo UI"/>
              <a:ea typeface="Meiryo UI"/>
              <a:cs typeface="Meiryo UI"/>
            </a:rPr>
            <a:t>10</a:t>
          </a:r>
          <a:endParaRPr lang="ja-JP" altLang="en-US" sz="750" dirty="0">
            <a:latin typeface="Meiryo UI"/>
            <a:ea typeface="Meiryo UI"/>
          </a:endParaRPr>
        </a:p>
      </xdr:txBody>
    </xdr:sp>
    <xdr:clientData/>
  </xdr:twoCellAnchor>
  <xdr:twoCellAnchor editAs="oneCell">
    <xdr:from>
      <xdr:col>5</xdr:col>
      <xdr:colOff>152400</xdr:colOff>
      <xdr:row>6</xdr:row>
      <xdr:rowOff>152400</xdr:rowOff>
    </xdr:from>
    <xdr:to>
      <xdr:col>6</xdr:col>
      <xdr:colOff>38100</xdr:colOff>
      <xdr:row>7</xdr:row>
      <xdr:rowOff>38100</xdr:rowOff>
    </xdr:to>
    <xdr:sp macro="" textlink="">
      <xdr:nvSpPr>
        <xdr:cNvPr id="25" name="ガイド: 接続点11">
          <a:extLst>
            <a:ext uri="{FF2B5EF4-FFF2-40B4-BE49-F238E27FC236}">
              <a16:creationId xmlns:a16="http://schemas.microsoft.com/office/drawing/2014/main" id="{00000000-0008-0000-0400-000019000000}"/>
            </a:ext>
          </a:extLst>
        </xdr:cNvPr>
        <xdr:cNvSpPr/>
      </xdr:nvSpPr>
      <xdr:spPr>
        <a:xfrm>
          <a:off x="1104900" y="1295400"/>
          <a:ext cx="76200" cy="76200"/>
        </a:xfrm>
        <a:prstGeom prst="ellipse">
          <a:avLst/>
        </a:prstGeom>
        <a:solidFill>
          <a:srgbClr val="7F7F7F"/>
        </a:solidFill>
        <a:ln w="6350" cap="flat">
          <a:solidFill>
            <a:srgbClr val="FFFFFF"/>
          </a:solidFill>
          <a:round/>
        </a:ln>
      </xdr:spPr>
      <xdr:txBody>
        <a:bodyPr vertOverflow="overflow" horzOverflow="overflow" wrap="square" lIns="38100" tIns="19050" rIns="38100" bIns="19050" rtlCol="0" anchor="ctr">
          <a:noAutofit/>
        </a:bodyPr>
        <a:lstStyle/>
        <a:p>
          <a:pPr algn="ctr"/>
          <a:endParaRPr lang="ja-JP" altLang="en-US" sz="500" dirty="0">
            <a:latin typeface="Meiryo UI"/>
            <a:ea typeface="Meiryo UI"/>
          </a:endParaRPr>
        </a:p>
      </xdr:txBody>
    </xdr:sp>
    <xdr:clientData/>
  </xdr:twoCellAnchor>
  <xdr:twoCellAnchor editAs="oneCell">
    <xdr:from>
      <xdr:col>5</xdr:col>
      <xdr:colOff>76200</xdr:colOff>
      <xdr:row>5</xdr:row>
      <xdr:rowOff>114300</xdr:rowOff>
    </xdr:from>
    <xdr:to>
      <xdr:col>6</xdr:col>
      <xdr:colOff>114300</xdr:colOff>
      <xdr:row>6</xdr:row>
      <xdr:rowOff>95250</xdr:rowOff>
    </xdr:to>
    <xdr:sp macro="" textlink="">
      <xdr:nvSpPr>
        <xdr:cNvPr id="26" name="ガイド: 番号11">
          <a:extLst>
            <a:ext uri="{FF2B5EF4-FFF2-40B4-BE49-F238E27FC236}">
              <a16:creationId xmlns:a16="http://schemas.microsoft.com/office/drawing/2014/main" id="{00000000-0008-0000-0400-00001A000000}"/>
            </a:ext>
          </a:extLst>
        </xdr:cNvPr>
        <xdr:cNvSpPr/>
      </xdr:nvSpPr>
      <xdr:spPr>
        <a:xfrm>
          <a:off x="1028700" y="1066800"/>
          <a:ext cx="228600" cy="171450"/>
        </a:xfrm>
        <a:prstGeom prst="rect">
          <a:avLst/>
        </a:prstGeom>
        <a:noFill/>
        <a:ln>
          <a:noFill/>
        </a:ln>
      </xdr:spPr>
      <xdr:txBody>
        <a:bodyPr vertOverflow="overflow" horzOverflow="overflow" wrap="none" lIns="0" tIns="0" rIns="0" bIns="0" rtlCol="0" anchor="ctr">
          <a:noAutofit/>
        </a:bodyPr>
        <a:lstStyle/>
        <a:p>
          <a:pPr algn="ctr"/>
          <a:r>
            <a:rPr lang="ja-JP" altLang="en-US" sz="750" b="1" dirty="0">
              <a:solidFill>
                <a:srgbClr val="262626"/>
              </a:solidFill>
              <a:latin typeface="Meiryo UI"/>
              <a:ea typeface="Meiryo UI"/>
              <a:cs typeface="Meiryo UI"/>
            </a:rPr>
            <a:t>11</a:t>
          </a:r>
          <a:endParaRPr lang="ja-JP" altLang="en-US" sz="750" dirty="0">
            <a:latin typeface="Meiryo UI"/>
            <a:ea typeface="Meiryo UI"/>
          </a:endParaRPr>
        </a:p>
      </xdr:txBody>
    </xdr:sp>
    <xdr:clientData/>
  </xdr:twoCellAnchor>
  <xdr:twoCellAnchor editAs="oneCell">
    <xdr:from>
      <xdr:col>11</xdr:col>
      <xdr:colOff>0</xdr:colOff>
      <xdr:row>20</xdr:row>
      <xdr:rowOff>0</xdr:rowOff>
    </xdr:from>
    <xdr:to>
      <xdr:col>19</xdr:col>
      <xdr:colOff>0</xdr:colOff>
      <xdr:row>24</xdr:row>
      <xdr:rowOff>0</xdr:rowOff>
    </xdr:to>
    <xdr:sp macro="" textlink="">
      <xdr:nvSpPr>
        <xdr:cNvPr id="27" name="ノード: 角丸・標準（共通）">
          <a:extLst>
            <a:ext uri="{FF2B5EF4-FFF2-40B4-BE49-F238E27FC236}">
              <a16:creationId xmlns:a16="http://schemas.microsoft.com/office/drawing/2014/main" id="{00000000-0008-0000-0400-00001B000000}"/>
            </a:ext>
          </a:extLst>
        </xdr:cNvPr>
        <xdr:cNvSpPr/>
      </xdr:nvSpPr>
      <xdr:spPr>
        <a:xfrm>
          <a:off x="2095500" y="3810000"/>
          <a:ext cx="1524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FFFFFF"/>
        </a:solidFill>
        <a:ln w="12700" cap="flat">
          <a:solidFill>
            <a:srgbClr val="404040"/>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262626"/>
              </a:solidFill>
              <a:latin typeface="Meiryo UI"/>
              <a:ea typeface="Meiryo UI"/>
              <a:cs typeface="Meiryo UI"/>
            </a:rPr>
            <a:t>ノード名</a:t>
          </a:r>
          <a:endParaRPr lang="ja-JP" altLang="en-US" sz="950" dirty="0">
            <a:latin typeface="Meiryo UI"/>
            <a:ea typeface="Meiryo UI"/>
          </a:endParaRPr>
        </a:p>
        <a:p>
          <a:pPr algn="ctr">
            <a:lnSpc>
              <a:spcPct val="95000"/>
            </a:lnSpc>
            <a:spcBef>
              <a:spcPts val="50"/>
            </a:spcBef>
          </a:pPr>
          <a:r>
            <a:rPr lang="ja-JP" altLang="en-US" sz="750" b="0" dirty="0">
              <a:solidFill>
                <a:srgbClr val="595959"/>
              </a:solidFill>
              <a:latin typeface="Meiryo UI"/>
              <a:ea typeface="Meiryo UI"/>
              <a:cs typeface="Meiryo UI"/>
            </a:rPr>
            <a:t>役割・概要</a:t>
          </a:r>
          <a:endParaRPr lang="ja-JP" altLang="en-US" sz="750" dirty="0">
            <a:latin typeface="Meiryo UI"/>
            <a:ea typeface="Meiryo UI"/>
          </a:endParaRPr>
        </a:p>
      </xdr:txBody>
    </xdr:sp>
    <xdr:clientData/>
  </xdr:twoCellAnchor>
  <xdr:twoCellAnchor editAs="oneCell">
    <xdr:from>
      <xdr:col>27</xdr:col>
      <xdr:colOff>0</xdr:colOff>
      <xdr:row>20</xdr:row>
      <xdr:rowOff>0</xdr:rowOff>
    </xdr:from>
    <xdr:to>
      <xdr:col>35</xdr:col>
      <xdr:colOff>0</xdr:colOff>
      <xdr:row>24</xdr:row>
      <xdr:rowOff>0</xdr:rowOff>
    </xdr:to>
    <xdr:sp macro="" textlink="">
      <xdr:nvSpPr>
        <xdr:cNvPr id="28" name="ノード: 角丸・標準（ルートA）">
          <a:extLst>
            <a:ext uri="{FF2B5EF4-FFF2-40B4-BE49-F238E27FC236}">
              <a16:creationId xmlns:a16="http://schemas.microsoft.com/office/drawing/2014/main" id="{00000000-0008-0000-0400-00001C000000}"/>
            </a:ext>
          </a:extLst>
        </xdr:cNvPr>
        <xdr:cNvSpPr/>
      </xdr:nvSpPr>
      <xdr:spPr>
        <a:xfrm>
          <a:off x="5143500" y="3810000"/>
          <a:ext cx="1524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E7F1FF"/>
        </a:solidFill>
        <a:ln w="15875" cap="flat">
          <a:solidFill>
            <a:srgbClr val="315C92"/>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262626"/>
              </a:solidFill>
              <a:latin typeface="Meiryo UI"/>
              <a:ea typeface="Meiryo UI"/>
              <a:cs typeface="Meiryo UI"/>
            </a:rPr>
            <a:t>ノード名</a:t>
          </a:r>
          <a:endParaRPr lang="ja-JP" altLang="en-US" sz="950" dirty="0">
            <a:latin typeface="Meiryo UI"/>
            <a:ea typeface="Meiryo UI"/>
          </a:endParaRPr>
        </a:p>
        <a:p>
          <a:pPr algn="ctr">
            <a:lnSpc>
              <a:spcPct val="95000"/>
            </a:lnSpc>
            <a:spcBef>
              <a:spcPts val="50"/>
            </a:spcBef>
          </a:pPr>
          <a:r>
            <a:rPr lang="ja-JP" altLang="en-US" sz="750" b="0" dirty="0">
              <a:solidFill>
                <a:srgbClr val="595959"/>
              </a:solidFill>
              <a:latin typeface="Meiryo UI"/>
              <a:ea typeface="Meiryo UI"/>
              <a:cs typeface="Meiryo UI"/>
            </a:rPr>
            <a:t>役割・概要</a:t>
          </a:r>
          <a:endParaRPr lang="ja-JP" altLang="en-US" sz="750" dirty="0">
            <a:latin typeface="Meiryo UI"/>
            <a:ea typeface="Meiryo UI"/>
          </a:endParaRPr>
        </a:p>
      </xdr:txBody>
    </xdr:sp>
    <xdr:clientData/>
  </xdr:twoCellAnchor>
  <xdr:twoCellAnchor editAs="oneCell">
    <xdr:from>
      <xdr:col>43</xdr:col>
      <xdr:colOff>0</xdr:colOff>
      <xdr:row>20</xdr:row>
      <xdr:rowOff>0</xdr:rowOff>
    </xdr:from>
    <xdr:to>
      <xdr:col>51</xdr:col>
      <xdr:colOff>0</xdr:colOff>
      <xdr:row>24</xdr:row>
      <xdr:rowOff>0</xdr:rowOff>
    </xdr:to>
    <xdr:sp macro="" textlink="">
      <xdr:nvSpPr>
        <xdr:cNvPr id="29" name="ノード: 角丸・標準（ルートB）">
          <a:extLst>
            <a:ext uri="{FF2B5EF4-FFF2-40B4-BE49-F238E27FC236}">
              <a16:creationId xmlns:a16="http://schemas.microsoft.com/office/drawing/2014/main" id="{00000000-0008-0000-0400-00001D000000}"/>
            </a:ext>
          </a:extLst>
        </xdr:cNvPr>
        <xdr:cNvSpPr/>
      </xdr:nvSpPr>
      <xdr:spPr>
        <a:xfrm>
          <a:off x="8191500" y="3810000"/>
          <a:ext cx="1524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E3F5EF"/>
        </a:solidFill>
        <a:ln w="15875" cap="flat">
          <a:solidFill>
            <a:srgbClr val="247966"/>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262626"/>
              </a:solidFill>
              <a:latin typeface="Meiryo UI"/>
              <a:ea typeface="Meiryo UI"/>
              <a:cs typeface="Meiryo UI"/>
            </a:rPr>
            <a:t>ノード名</a:t>
          </a:r>
          <a:endParaRPr lang="ja-JP" altLang="en-US" sz="950" dirty="0">
            <a:latin typeface="Meiryo UI"/>
            <a:ea typeface="Meiryo UI"/>
          </a:endParaRPr>
        </a:p>
        <a:p>
          <a:pPr algn="ctr">
            <a:lnSpc>
              <a:spcPct val="95000"/>
            </a:lnSpc>
            <a:spcBef>
              <a:spcPts val="50"/>
            </a:spcBef>
          </a:pPr>
          <a:r>
            <a:rPr lang="ja-JP" altLang="en-US" sz="750" b="0" dirty="0">
              <a:solidFill>
                <a:srgbClr val="595959"/>
              </a:solidFill>
              <a:latin typeface="Meiryo UI"/>
              <a:ea typeface="Meiryo UI"/>
              <a:cs typeface="Meiryo UI"/>
            </a:rPr>
            <a:t>役割・概要</a:t>
          </a:r>
          <a:endParaRPr lang="ja-JP" altLang="en-US" sz="750" dirty="0">
            <a:latin typeface="Meiryo UI"/>
            <a:ea typeface="Meiryo UI"/>
          </a:endParaRPr>
        </a:p>
      </xdr:txBody>
    </xdr:sp>
    <xdr:clientData/>
  </xdr:twoCellAnchor>
  <xdr:twoCellAnchor editAs="oneCell">
    <xdr:from>
      <xdr:col>59</xdr:col>
      <xdr:colOff>0</xdr:colOff>
      <xdr:row>20</xdr:row>
      <xdr:rowOff>0</xdr:rowOff>
    </xdr:from>
    <xdr:to>
      <xdr:col>67</xdr:col>
      <xdr:colOff>0</xdr:colOff>
      <xdr:row>24</xdr:row>
      <xdr:rowOff>0</xdr:rowOff>
    </xdr:to>
    <xdr:sp macro="" textlink="">
      <xdr:nvSpPr>
        <xdr:cNvPr id="30" name="ノード: 角丸・標準（ルートC）">
          <a:extLst>
            <a:ext uri="{FF2B5EF4-FFF2-40B4-BE49-F238E27FC236}">
              <a16:creationId xmlns:a16="http://schemas.microsoft.com/office/drawing/2014/main" id="{00000000-0008-0000-0400-00001E000000}"/>
            </a:ext>
          </a:extLst>
        </xdr:cNvPr>
        <xdr:cNvSpPr/>
      </xdr:nvSpPr>
      <xdr:spPr>
        <a:xfrm>
          <a:off x="11239500" y="3810000"/>
          <a:ext cx="1524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FDECE4"/>
        </a:solidFill>
        <a:ln w="15875" cap="flat">
          <a:solidFill>
            <a:srgbClr val="C46B39"/>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262626"/>
              </a:solidFill>
              <a:latin typeface="Meiryo UI"/>
              <a:ea typeface="Meiryo UI"/>
              <a:cs typeface="Meiryo UI"/>
            </a:rPr>
            <a:t>ノード名</a:t>
          </a:r>
          <a:endParaRPr lang="ja-JP" altLang="en-US" sz="950" dirty="0">
            <a:latin typeface="Meiryo UI"/>
            <a:ea typeface="Meiryo UI"/>
          </a:endParaRPr>
        </a:p>
        <a:p>
          <a:pPr algn="ctr">
            <a:lnSpc>
              <a:spcPct val="95000"/>
            </a:lnSpc>
            <a:spcBef>
              <a:spcPts val="50"/>
            </a:spcBef>
          </a:pPr>
          <a:r>
            <a:rPr lang="ja-JP" altLang="en-US" sz="750" b="0" dirty="0">
              <a:solidFill>
                <a:srgbClr val="595959"/>
              </a:solidFill>
              <a:latin typeface="Meiryo UI"/>
              <a:ea typeface="Meiryo UI"/>
              <a:cs typeface="Meiryo UI"/>
            </a:rPr>
            <a:t>役割・概要</a:t>
          </a:r>
          <a:endParaRPr lang="ja-JP" altLang="en-US" sz="750" dirty="0">
            <a:latin typeface="Meiryo UI"/>
            <a:ea typeface="Meiryo UI"/>
          </a:endParaRPr>
        </a:p>
      </xdr:txBody>
    </xdr:sp>
    <xdr:clientData/>
  </xdr:twoCellAnchor>
  <xdr:twoCellAnchor editAs="oneCell">
    <xdr:from>
      <xdr:col>11</xdr:col>
      <xdr:colOff>0</xdr:colOff>
      <xdr:row>26</xdr:row>
      <xdr:rowOff>0</xdr:rowOff>
    </xdr:from>
    <xdr:to>
      <xdr:col>19</xdr:col>
      <xdr:colOff>0</xdr:colOff>
      <xdr:row>30</xdr:row>
      <xdr:rowOff>0</xdr:rowOff>
    </xdr:to>
    <xdr:sp macro="" textlink="">
      <xdr:nvSpPr>
        <xdr:cNvPr id="31" name="ノード: 角丸・強調（共通）">
          <a:extLst>
            <a:ext uri="{FF2B5EF4-FFF2-40B4-BE49-F238E27FC236}">
              <a16:creationId xmlns:a16="http://schemas.microsoft.com/office/drawing/2014/main" id="{00000000-0008-0000-0400-00001F000000}"/>
            </a:ext>
          </a:extLst>
        </xdr:cNvPr>
        <xdr:cNvSpPr/>
      </xdr:nvSpPr>
      <xdr:spPr>
        <a:xfrm>
          <a:off x="2095500" y="4953000"/>
          <a:ext cx="1524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404040"/>
        </a:solidFill>
        <a:ln w="15875" cap="flat">
          <a:solidFill>
            <a:srgbClr val="404040"/>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FFFFFF"/>
              </a:solidFill>
              <a:latin typeface="Meiryo UI"/>
              <a:ea typeface="Meiryo UI"/>
              <a:cs typeface="Meiryo UI"/>
            </a:rPr>
            <a:t>ノード名</a:t>
          </a:r>
          <a:endParaRPr lang="ja-JP" altLang="en-US" sz="950" dirty="0">
            <a:latin typeface="Meiryo UI"/>
            <a:ea typeface="Meiryo UI"/>
          </a:endParaRPr>
        </a:p>
        <a:p>
          <a:pPr algn="ctr">
            <a:lnSpc>
              <a:spcPct val="95000"/>
            </a:lnSpc>
            <a:spcBef>
              <a:spcPts val="50"/>
            </a:spcBef>
          </a:pPr>
          <a:r>
            <a:rPr lang="ja-JP" altLang="en-US" sz="750" b="0" dirty="0">
              <a:solidFill>
                <a:srgbClr val="D9D9D9"/>
              </a:solidFill>
              <a:latin typeface="Meiryo UI"/>
              <a:ea typeface="Meiryo UI"/>
              <a:cs typeface="Meiryo UI"/>
            </a:rPr>
            <a:t>役割・概要</a:t>
          </a:r>
          <a:endParaRPr lang="ja-JP" altLang="en-US" sz="750" dirty="0">
            <a:latin typeface="Meiryo UI"/>
            <a:ea typeface="Meiryo UI"/>
          </a:endParaRPr>
        </a:p>
      </xdr:txBody>
    </xdr:sp>
    <xdr:clientData/>
  </xdr:twoCellAnchor>
  <xdr:twoCellAnchor editAs="oneCell">
    <xdr:from>
      <xdr:col>27</xdr:col>
      <xdr:colOff>0</xdr:colOff>
      <xdr:row>26</xdr:row>
      <xdr:rowOff>0</xdr:rowOff>
    </xdr:from>
    <xdr:to>
      <xdr:col>35</xdr:col>
      <xdr:colOff>0</xdr:colOff>
      <xdr:row>30</xdr:row>
      <xdr:rowOff>0</xdr:rowOff>
    </xdr:to>
    <xdr:sp macro="" textlink="">
      <xdr:nvSpPr>
        <xdr:cNvPr id="32" name="ノード: 角丸・強調（ルートA）">
          <a:extLst>
            <a:ext uri="{FF2B5EF4-FFF2-40B4-BE49-F238E27FC236}">
              <a16:creationId xmlns:a16="http://schemas.microsoft.com/office/drawing/2014/main" id="{00000000-0008-0000-0400-000020000000}"/>
            </a:ext>
          </a:extLst>
        </xdr:cNvPr>
        <xdr:cNvSpPr/>
      </xdr:nvSpPr>
      <xdr:spPr>
        <a:xfrm>
          <a:off x="5143500" y="4953000"/>
          <a:ext cx="1524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315C92"/>
        </a:solidFill>
        <a:ln w="15875" cap="flat">
          <a:solidFill>
            <a:srgbClr val="315C92"/>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FFFFFF"/>
              </a:solidFill>
              <a:latin typeface="Meiryo UI"/>
              <a:ea typeface="Meiryo UI"/>
              <a:cs typeface="Meiryo UI"/>
            </a:rPr>
            <a:t>ノード名</a:t>
          </a:r>
          <a:endParaRPr lang="ja-JP" altLang="en-US" sz="950" dirty="0">
            <a:latin typeface="Meiryo UI"/>
            <a:ea typeface="Meiryo UI"/>
          </a:endParaRPr>
        </a:p>
        <a:p>
          <a:pPr algn="ctr">
            <a:lnSpc>
              <a:spcPct val="95000"/>
            </a:lnSpc>
            <a:spcBef>
              <a:spcPts val="50"/>
            </a:spcBef>
          </a:pPr>
          <a:r>
            <a:rPr lang="ja-JP" altLang="en-US" sz="750" b="0" dirty="0">
              <a:solidFill>
                <a:srgbClr val="DBE9FC"/>
              </a:solidFill>
              <a:latin typeface="Meiryo UI"/>
              <a:ea typeface="Meiryo UI"/>
              <a:cs typeface="Meiryo UI"/>
            </a:rPr>
            <a:t>役割・概要</a:t>
          </a:r>
          <a:endParaRPr lang="ja-JP" altLang="en-US" sz="750" dirty="0">
            <a:latin typeface="Meiryo UI"/>
            <a:ea typeface="Meiryo UI"/>
          </a:endParaRPr>
        </a:p>
      </xdr:txBody>
    </xdr:sp>
    <xdr:clientData/>
  </xdr:twoCellAnchor>
  <xdr:twoCellAnchor editAs="oneCell">
    <xdr:from>
      <xdr:col>43</xdr:col>
      <xdr:colOff>0</xdr:colOff>
      <xdr:row>26</xdr:row>
      <xdr:rowOff>0</xdr:rowOff>
    </xdr:from>
    <xdr:to>
      <xdr:col>51</xdr:col>
      <xdr:colOff>0</xdr:colOff>
      <xdr:row>30</xdr:row>
      <xdr:rowOff>0</xdr:rowOff>
    </xdr:to>
    <xdr:sp macro="" textlink="">
      <xdr:nvSpPr>
        <xdr:cNvPr id="33" name="ノード: 角丸・強調（ルートB）">
          <a:extLst>
            <a:ext uri="{FF2B5EF4-FFF2-40B4-BE49-F238E27FC236}">
              <a16:creationId xmlns:a16="http://schemas.microsoft.com/office/drawing/2014/main" id="{00000000-0008-0000-0400-000021000000}"/>
            </a:ext>
          </a:extLst>
        </xdr:cNvPr>
        <xdr:cNvSpPr/>
      </xdr:nvSpPr>
      <xdr:spPr>
        <a:xfrm>
          <a:off x="8191500" y="4953000"/>
          <a:ext cx="1524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247966"/>
        </a:solidFill>
        <a:ln w="15875" cap="flat">
          <a:solidFill>
            <a:srgbClr val="247966"/>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FFFFFF"/>
              </a:solidFill>
              <a:latin typeface="Meiryo UI"/>
              <a:ea typeface="Meiryo UI"/>
              <a:cs typeface="Meiryo UI"/>
            </a:rPr>
            <a:t>ノード名</a:t>
          </a:r>
          <a:endParaRPr lang="ja-JP" altLang="en-US" sz="950" dirty="0">
            <a:latin typeface="Meiryo UI"/>
            <a:ea typeface="Meiryo UI"/>
          </a:endParaRPr>
        </a:p>
        <a:p>
          <a:pPr algn="ctr">
            <a:lnSpc>
              <a:spcPct val="95000"/>
            </a:lnSpc>
            <a:spcBef>
              <a:spcPts val="50"/>
            </a:spcBef>
          </a:pPr>
          <a:r>
            <a:rPr lang="ja-JP" altLang="en-US" sz="750" b="0" dirty="0">
              <a:solidFill>
                <a:srgbClr val="D4EFE7"/>
              </a:solidFill>
              <a:latin typeface="Meiryo UI"/>
              <a:ea typeface="Meiryo UI"/>
              <a:cs typeface="Meiryo UI"/>
            </a:rPr>
            <a:t>役割・概要</a:t>
          </a:r>
          <a:endParaRPr lang="ja-JP" altLang="en-US" sz="750" dirty="0">
            <a:latin typeface="Meiryo UI"/>
            <a:ea typeface="Meiryo UI"/>
          </a:endParaRPr>
        </a:p>
      </xdr:txBody>
    </xdr:sp>
    <xdr:clientData/>
  </xdr:twoCellAnchor>
  <xdr:twoCellAnchor editAs="oneCell">
    <xdr:from>
      <xdr:col>59</xdr:col>
      <xdr:colOff>0</xdr:colOff>
      <xdr:row>26</xdr:row>
      <xdr:rowOff>0</xdr:rowOff>
    </xdr:from>
    <xdr:to>
      <xdr:col>67</xdr:col>
      <xdr:colOff>0</xdr:colOff>
      <xdr:row>30</xdr:row>
      <xdr:rowOff>0</xdr:rowOff>
    </xdr:to>
    <xdr:sp macro="" textlink="">
      <xdr:nvSpPr>
        <xdr:cNvPr id="34" name="ノード: 角丸・強調（ルートC）">
          <a:extLst>
            <a:ext uri="{FF2B5EF4-FFF2-40B4-BE49-F238E27FC236}">
              <a16:creationId xmlns:a16="http://schemas.microsoft.com/office/drawing/2014/main" id="{00000000-0008-0000-0400-000022000000}"/>
            </a:ext>
          </a:extLst>
        </xdr:cNvPr>
        <xdr:cNvSpPr/>
      </xdr:nvSpPr>
      <xdr:spPr>
        <a:xfrm>
          <a:off x="11239500" y="4953000"/>
          <a:ext cx="1524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C46B39"/>
        </a:solidFill>
        <a:ln w="15875" cap="flat">
          <a:solidFill>
            <a:srgbClr val="C46B39"/>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FFFFFF"/>
              </a:solidFill>
              <a:latin typeface="Meiryo UI"/>
              <a:ea typeface="Meiryo UI"/>
              <a:cs typeface="Meiryo UI"/>
            </a:rPr>
            <a:t>ノード名</a:t>
          </a:r>
          <a:endParaRPr lang="ja-JP" altLang="en-US" sz="950" dirty="0">
            <a:latin typeface="Meiryo UI"/>
            <a:ea typeface="Meiryo UI"/>
          </a:endParaRPr>
        </a:p>
        <a:p>
          <a:pPr algn="ctr">
            <a:lnSpc>
              <a:spcPct val="95000"/>
            </a:lnSpc>
            <a:spcBef>
              <a:spcPts val="50"/>
            </a:spcBef>
          </a:pPr>
          <a:r>
            <a:rPr lang="ja-JP" altLang="en-US" sz="750" b="0" dirty="0">
              <a:solidFill>
                <a:srgbClr val="FAE2D7"/>
              </a:solidFill>
              <a:latin typeface="Meiryo UI"/>
              <a:ea typeface="Meiryo UI"/>
              <a:cs typeface="Meiryo UI"/>
            </a:rPr>
            <a:t>役割・概要</a:t>
          </a:r>
          <a:endParaRPr lang="ja-JP" altLang="en-US" sz="750" dirty="0">
            <a:latin typeface="Meiryo UI"/>
            <a:ea typeface="Meiryo UI"/>
          </a:endParaRPr>
        </a:p>
      </xdr:txBody>
    </xdr:sp>
    <xdr:clientData/>
  </xdr:twoCellAnchor>
  <xdr:twoCellAnchor editAs="oneCell">
    <xdr:from>
      <xdr:col>11</xdr:col>
      <xdr:colOff>0</xdr:colOff>
      <xdr:row>32</xdr:row>
      <xdr:rowOff>0</xdr:rowOff>
    </xdr:from>
    <xdr:to>
      <xdr:col>19</xdr:col>
      <xdr:colOff>0</xdr:colOff>
      <xdr:row>36</xdr:row>
      <xdr:rowOff>0</xdr:rowOff>
    </xdr:to>
    <xdr:sp macro="" textlink="">
      <xdr:nvSpPr>
        <xdr:cNvPr id="35" name="ノード: 四角・標準（共通）">
          <a:extLst>
            <a:ext uri="{FF2B5EF4-FFF2-40B4-BE49-F238E27FC236}">
              <a16:creationId xmlns:a16="http://schemas.microsoft.com/office/drawing/2014/main" id="{00000000-0008-0000-0400-000023000000}"/>
            </a:ext>
          </a:extLst>
        </xdr:cNvPr>
        <xdr:cNvSpPr/>
      </xdr:nvSpPr>
      <xdr:spPr>
        <a:xfrm>
          <a:off x="2095500" y="6096000"/>
          <a:ext cx="1524000" cy="762000"/>
        </a:xfrm>
        <a:custGeom>
          <a:avLst/>
          <a:gdLst>
            <a:gd name="x1" fmla="*/ w 1 4"/>
            <a:gd name="x2" fmla="*/ w 1 2"/>
            <a:gd name="x3" fmla="*/ w 3 4"/>
            <a:gd name="y1" fmla="*/ h 1 4"/>
            <a:gd name="y2" fmla="*/ h 1 2"/>
            <a:gd name="y3" fmla="*/ h 3 4"/>
            <a:gd name="smin" fmla="min w h"/>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r" y="t"/>
              </a:lnTo>
              <a:lnTo>
                <a:pt x="r" y="b"/>
              </a:lnTo>
              <a:lnTo>
                <a:pt x="l" y="b"/>
              </a:lnTo>
              <a:close/>
            </a:path>
          </a:pathLst>
        </a:custGeom>
        <a:solidFill>
          <a:srgbClr val="FFFFFF"/>
        </a:solidFill>
        <a:ln w="12700" cap="flat">
          <a:solidFill>
            <a:srgbClr val="404040"/>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262626"/>
              </a:solidFill>
              <a:latin typeface="Meiryo UI"/>
              <a:ea typeface="Meiryo UI"/>
              <a:cs typeface="Meiryo UI"/>
            </a:rPr>
            <a:t>ノード名</a:t>
          </a:r>
          <a:endParaRPr lang="ja-JP" altLang="en-US" sz="950" dirty="0">
            <a:latin typeface="Meiryo UI"/>
            <a:ea typeface="Meiryo UI"/>
          </a:endParaRPr>
        </a:p>
        <a:p>
          <a:pPr algn="ctr">
            <a:lnSpc>
              <a:spcPct val="95000"/>
            </a:lnSpc>
            <a:spcBef>
              <a:spcPts val="50"/>
            </a:spcBef>
          </a:pPr>
          <a:r>
            <a:rPr lang="ja-JP" altLang="en-US" sz="750" b="0" dirty="0">
              <a:solidFill>
                <a:srgbClr val="595959"/>
              </a:solidFill>
              <a:latin typeface="Meiryo UI"/>
              <a:ea typeface="Meiryo UI"/>
              <a:cs typeface="Meiryo UI"/>
            </a:rPr>
            <a:t>役割・概要</a:t>
          </a:r>
          <a:endParaRPr lang="ja-JP" altLang="en-US" sz="750" dirty="0">
            <a:latin typeface="Meiryo UI"/>
            <a:ea typeface="Meiryo UI"/>
          </a:endParaRPr>
        </a:p>
      </xdr:txBody>
    </xdr:sp>
    <xdr:clientData/>
  </xdr:twoCellAnchor>
  <xdr:twoCellAnchor editAs="oneCell">
    <xdr:from>
      <xdr:col>27</xdr:col>
      <xdr:colOff>0</xdr:colOff>
      <xdr:row>32</xdr:row>
      <xdr:rowOff>0</xdr:rowOff>
    </xdr:from>
    <xdr:to>
      <xdr:col>35</xdr:col>
      <xdr:colOff>0</xdr:colOff>
      <xdr:row>36</xdr:row>
      <xdr:rowOff>0</xdr:rowOff>
    </xdr:to>
    <xdr:sp macro="" textlink="">
      <xdr:nvSpPr>
        <xdr:cNvPr id="36" name="ノード: 四角・標準（ルートA）">
          <a:extLst>
            <a:ext uri="{FF2B5EF4-FFF2-40B4-BE49-F238E27FC236}">
              <a16:creationId xmlns:a16="http://schemas.microsoft.com/office/drawing/2014/main" id="{00000000-0008-0000-0400-000024000000}"/>
            </a:ext>
          </a:extLst>
        </xdr:cNvPr>
        <xdr:cNvSpPr/>
      </xdr:nvSpPr>
      <xdr:spPr>
        <a:xfrm>
          <a:off x="5143500" y="6096000"/>
          <a:ext cx="1524000" cy="762000"/>
        </a:xfrm>
        <a:custGeom>
          <a:avLst/>
          <a:gdLst>
            <a:gd name="x1" fmla="*/ w 1 4"/>
            <a:gd name="x2" fmla="*/ w 1 2"/>
            <a:gd name="x3" fmla="*/ w 3 4"/>
            <a:gd name="y1" fmla="*/ h 1 4"/>
            <a:gd name="y2" fmla="*/ h 1 2"/>
            <a:gd name="y3" fmla="*/ h 3 4"/>
            <a:gd name="smin" fmla="min w h"/>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r" y="t"/>
              </a:lnTo>
              <a:lnTo>
                <a:pt x="r" y="b"/>
              </a:lnTo>
              <a:lnTo>
                <a:pt x="l" y="b"/>
              </a:lnTo>
              <a:close/>
            </a:path>
          </a:pathLst>
        </a:custGeom>
        <a:solidFill>
          <a:srgbClr val="E7F1FF"/>
        </a:solidFill>
        <a:ln w="15875" cap="flat">
          <a:solidFill>
            <a:srgbClr val="315C92"/>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262626"/>
              </a:solidFill>
              <a:latin typeface="Meiryo UI"/>
              <a:ea typeface="Meiryo UI"/>
              <a:cs typeface="Meiryo UI"/>
            </a:rPr>
            <a:t>ノード名</a:t>
          </a:r>
          <a:endParaRPr lang="ja-JP" altLang="en-US" sz="950" dirty="0">
            <a:latin typeface="Meiryo UI"/>
            <a:ea typeface="Meiryo UI"/>
          </a:endParaRPr>
        </a:p>
        <a:p>
          <a:pPr algn="ctr">
            <a:lnSpc>
              <a:spcPct val="95000"/>
            </a:lnSpc>
            <a:spcBef>
              <a:spcPts val="50"/>
            </a:spcBef>
          </a:pPr>
          <a:r>
            <a:rPr lang="ja-JP" altLang="en-US" sz="750" b="0" dirty="0">
              <a:solidFill>
                <a:srgbClr val="595959"/>
              </a:solidFill>
              <a:latin typeface="Meiryo UI"/>
              <a:ea typeface="Meiryo UI"/>
              <a:cs typeface="Meiryo UI"/>
            </a:rPr>
            <a:t>役割・概要</a:t>
          </a:r>
          <a:endParaRPr lang="ja-JP" altLang="en-US" sz="750" dirty="0">
            <a:latin typeface="Meiryo UI"/>
            <a:ea typeface="Meiryo UI"/>
          </a:endParaRPr>
        </a:p>
      </xdr:txBody>
    </xdr:sp>
    <xdr:clientData/>
  </xdr:twoCellAnchor>
  <xdr:twoCellAnchor editAs="oneCell">
    <xdr:from>
      <xdr:col>43</xdr:col>
      <xdr:colOff>0</xdr:colOff>
      <xdr:row>32</xdr:row>
      <xdr:rowOff>0</xdr:rowOff>
    </xdr:from>
    <xdr:to>
      <xdr:col>51</xdr:col>
      <xdr:colOff>0</xdr:colOff>
      <xdr:row>36</xdr:row>
      <xdr:rowOff>0</xdr:rowOff>
    </xdr:to>
    <xdr:sp macro="" textlink="">
      <xdr:nvSpPr>
        <xdr:cNvPr id="37" name="ノード: 四角・標準（ルートB）">
          <a:extLst>
            <a:ext uri="{FF2B5EF4-FFF2-40B4-BE49-F238E27FC236}">
              <a16:creationId xmlns:a16="http://schemas.microsoft.com/office/drawing/2014/main" id="{00000000-0008-0000-0400-000025000000}"/>
            </a:ext>
          </a:extLst>
        </xdr:cNvPr>
        <xdr:cNvSpPr/>
      </xdr:nvSpPr>
      <xdr:spPr>
        <a:xfrm>
          <a:off x="8191500" y="6096000"/>
          <a:ext cx="1524000" cy="762000"/>
        </a:xfrm>
        <a:custGeom>
          <a:avLst/>
          <a:gdLst>
            <a:gd name="x1" fmla="*/ w 1 4"/>
            <a:gd name="x2" fmla="*/ w 1 2"/>
            <a:gd name="x3" fmla="*/ w 3 4"/>
            <a:gd name="y1" fmla="*/ h 1 4"/>
            <a:gd name="y2" fmla="*/ h 1 2"/>
            <a:gd name="y3" fmla="*/ h 3 4"/>
            <a:gd name="smin" fmla="min w h"/>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r" y="t"/>
              </a:lnTo>
              <a:lnTo>
                <a:pt x="r" y="b"/>
              </a:lnTo>
              <a:lnTo>
                <a:pt x="l" y="b"/>
              </a:lnTo>
              <a:close/>
            </a:path>
          </a:pathLst>
        </a:custGeom>
        <a:solidFill>
          <a:srgbClr val="E3F5EF"/>
        </a:solidFill>
        <a:ln w="15875" cap="flat">
          <a:solidFill>
            <a:srgbClr val="247966"/>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262626"/>
              </a:solidFill>
              <a:latin typeface="Meiryo UI"/>
              <a:ea typeface="Meiryo UI"/>
              <a:cs typeface="Meiryo UI"/>
            </a:rPr>
            <a:t>ノード名</a:t>
          </a:r>
          <a:endParaRPr lang="ja-JP" altLang="en-US" sz="950" dirty="0">
            <a:latin typeface="Meiryo UI"/>
            <a:ea typeface="Meiryo UI"/>
          </a:endParaRPr>
        </a:p>
        <a:p>
          <a:pPr algn="ctr">
            <a:lnSpc>
              <a:spcPct val="95000"/>
            </a:lnSpc>
            <a:spcBef>
              <a:spcPts val="50"/>
            </a:spcBef>
          </a:pPr>
          <a:r>
            <a:rPr lang="ja-JP" altLang="en-US" sz="750" b="0" dirty="0">
              <a:solidFill>
                <a:srgbClr val="595959"/>
              </a:solidFill>
              <a:latin typeface="Meiryo UI"/>
              <a:ea typeface="Meiryo UI"/>
              <a:cs typeface="Meiryo UI"/>
            </a:rPr>
            <a:t>役割・概要</a:t>
          </a:r>
          <a:endParaRPr lang="ja-JP" altLang="en-US" sz="750" dirty="0">
            <a:latin typeface="Meiryo UI"/>
            <a:ea typeface="Meiryo UI"/>
          </a:endParaRPr>
        </a:p>
      </xdr:txBody>
    </xdr:sp>
    <xdr:clientData/>
  </xdr:twoCellAnchor>
  <xdr:twoCellAnchor editAs="oneCell">
    <xdr:from>
      <xdr:col>59</xdr:col>
      <xdr:colOff>0</xdr:colOff>
      <xdr:row>32</xdr:row>
      <xdr:rowOff>0</xdr:rowOff>
    </xdr:from>
    <xdr:to>
      <xdr:col>67</xdr:col>
      <xdr:colOff>0</xdr:colOff>
      <xdr:row>36</xdr:row>
      <xdr:rowOff>0</xdr:rowOff>
    </xdr:to>
    <xdr:sp macro="" textlink="">
      <xdr:nvSpPr>
        <xdr:cNvPr id="38" name="ノード: 四角・標準（ルートC）">
          <a:extLst>
            <a:ext uri="{FF2B5EF4-FFF2-40B4-BE49-F238E27FC236}">
              <a16:creationId xmlns:a16="http://schemas.microsoft.com/office/drawing/2014/main" id="{00000000-0008-0000-0400-000026000000}"/>
            </a:ext>
          </a:extLst>
        </xdr:cNvPr>
        <xdr:cNvSpPr/>
      </xdr:nvSpPr>
      <xdr:spPr>
        <a:xfrm>
          <a:off x="11239500" y="6096000"/>
          <a:ext cx="1524000" cy="762000"/>
        </a:xfrm>
        <a:custGeom>
          <a:avLst/>
          <a:gdLst>
            <a:gd name="x1" fmla="*/ w 1 4"/>
            <a:gd name="x2" fmla="*/ w 1 2"/>
            <a:gd name="x3" fmla="*/ w 3 4"/>
            <a:gd name="y1" fmla="*/ h 1 4"/>
            <a:gd name="y2" fmla="*/ h 1 2"/>
            <a:gd name="y3" fmla="*/ h 3 4"/>
            <a:gd name="smin" fmla="min w h"/>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r" y="t"/>
              </a:lnTo>
              <a:lnTo>
                <a:pt x="r" y="b"/>
              </a:lnTo>
              <a:lnTo>
                <a:pt x="l" y="b"/>
              </a:lnTo>
              <a:close/>
            </a:path>
          </a:pathLst>
        </a:custGeom>
        <a:solidFill>
          <a:srgbClr val="FDECE4"/>
        </a:solidFill>
        <a:ln w="15875" cap="flat">
          <a:solidFill>
            <a:srgbClr val="C46B39"/>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262626"/>
              </a:solidFill>
              <a:latin typeface="Meiryo UI"/>
              <a:ea typeface="Meiryo UI"/>
              <a:cs typeface="Meiryo UI"/>
            </a:rPr>
            <a:t>ノード名</a:t>
          </a:r>
          <a:endParaRPr lang="ja-JP" altLang="en-US" sz="950" dirty="0">
            <a:latin typeface="Meiryo UI"/>
            <a:ea typeface="Meiryo UI"/>
          </a:endParaRPr>
        </a:p>
        <a:p>
          <a:pPr algn="ctr">
            <a:lnSpc>
              <a:spcPct val="95000"/>
            </a:lnSpc>
            <a:spcBef>
              <a:spcPts val="50"/>
            </a:spcBef>
          </a:pPr>
          <a:r>
            <a:rPr lang="ja-JP" altLang="en-US" sz="750" b="0" dirty="0">
              <a:solidFill>
                <a:srgbClr val="595959"/>
              </a:solidFill>
              <a:latin typeface="Meiryo UI"/>
              <a:ea typeface="Meiryo UI"/>
              <a:cs typeface="Meiryo UI"/>
            </a:rPr>
            <a:t>役割・概要</a:t>
          </a:r>
          <a:endParaRPr lang="ja-JP" altLang="en-US" sz="750" dirty="0">
            <a:latin typeface="Meiryo UI"/>
            <a:ea typeface="Meiryo UI"/>
          </a:endParaRPr>
        </a:p>
      </xdr:txBody>
    </xdr:sp>
    <xdr:clientData/>
  </xdr:twoCellAnchor>
  <xdr:twoCellAnchor editAs="oneCell">
    <xdr:from>
      <xdr:col>11</xdr:col>
      <xdr:colOff>0</xdr:colOff>
      <xdr:row>38</xdr:row>
      <xdr:rowOff>0</xdr:rowOff>
    </xdr:from>
    <xdr:to>
      <xdr:col>19</xdr:col>
      <xdr:colOff>0</xdr:colOff>
      <xdr:row>42</xdr:row>
      <xdr:rowOff>0</xdr:rowOff>
    </xdr:to>
    <xdr:sp macro="" textlink="">
      <xdr:nvSpPr>
        <xdr:cNvPr id="39" name="ノード: 角丸・線のみ（共通）">
          <a:extLst>
            <a:ext uri="{FF2B5EF4-FFF2-40B4-BE49-F238E27FC236}">
              <a16:creationId xmlns:a16="http://schemas.microsoft.com/office/drawing/2014/main" id="{00000000-0008-0000-0400-000027000000}"/>
            </a:ext>
          </a:extLst>
        </xdr:cNvPr>
        <xdr:cNvSpPr/>
      </xdr:nvSpPr>
      <xdr:spPr>
        <a:xfrm>
          <a:off x="2095500" y="7239000"/>
          <a:ext cx="1524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FFFFFF"/>
        </a:solidFill>
        <a:ln w="15875" cap="flat">
          <a:solidFill>
            <a:srgbClr val="404040"/>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262626"/>
              </a:solidFill>
              <a:latin typeface="Meiryo UI"/>
              <a:ea typeface="Meiryo UI"/>
              <a:cs typeface="Meiryo UI"/>
            </a:rPr>
            <a:t>ノード名</a:t>
          </a:r>
          <a:endParaRPr lang="ja-JP" altLang="en-US" sz="950" dirty="0">
            <a:latin typeface="Meiryo UI"/>
            <a:ea typeface="Meiryo UI"/>
          </a:endParaRPr>
        </a:p>
        <a:p>
          <a:pPr algn="ctr">
            <a:lnSpc>
              <a:spcPct val="95000"/>
            </a:lnSpc>
            <a:spcBef>
              <a:spcPts val="50"/>
            </a:spcBef>
          </a:pPr>
          <a:r>
            <a:rPr lang="ja-JP" altLang="en-US" sz="750" b="0" dirty="0">
              <a:solidFill>
                <a:srgbClr val="595959"/>
              </a:solidFill>
              <a:latin typeface="Meiryo UI"/>
              <a:ea typeface="Meiryo UI"/>
              <a:cs typeface="Meiryo UI"/>
            </a:rPr>
            <a:t>役割・概要</a:t>
          </a:r>
          <a:endParaRPr lang="ja-JP" altLang="en-US" sz="750" dirty="0">
            <a:latin typeface="Meiryo UI"/>
            <a:ea typeface="Meiryo UI"/>
          </a:endParaRPr>
        </a:p>
      </xdr:txBody>
    </xdr:sp>
    <xdr:clientData/>
  </xdr:twoCellAnchor>
  <xdr:twoCellAnchor editAs="oneCell">
    <xdr:from>
      <xdr:col>27</xdr:col>
      <xdr:colOff>0</xdr:colOff>
      <xdr:row>38</xdr:row>
      <xdr:rowOff>0</xdr:rowOff>
    </xdr:from>
    <xdr:to>
      <xdr:col>35</xdr:col>
      <xdr:colOff>0</xdr:colOff>
      <xdr:row>42</xdr:row>
      <xdr:rowOff>0</xdr:rowOff>
    </xdr:to>
    <xdr:sp macro="" textlink="">
      <xdr:nvSpPr>
        <xdr:cNvPr id="40" name="ノード: 角丸・線のみ（ルートA）">
          <a:extLst>
            <a:ext uri="{FF2B5EF4-FFF2-40B4-BE49-F238E27FC236}">
              <a16:creationId xmlns:a16="http://schemas.microsoft.com/office/drawing/2014/main" id="{00000000-0008-0000-0400-000028000000}"/>
            </a:ext>
          </a:extLst>
        </xdr:cNvPr>
        <xdr:cNvSpPr/>
      </xdr:nvSpPr>
      <xdr:spPr>
        <a:xfrm>
          <a:off x="5143500" y="7239000"/>
          <a:ext cx="1524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FFFFFF"/>
        </a:solidFill>
        <a:ln w="15875" cap="flat">
          <a:solidFill>
            <a:srgbClr val="315C92"/>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113866"/>
              </a:solidFill>
              <a:latin typeface="Meiryo UI"/>
              <a:ea typeface="Meiryo UI"/>
              <a:cs typeface="Meiryo UI"/>
            </a:rPr>
            <a:t>ノード名</a:t>
          </a:r>
          <a:endParaRPr lang="ja-JP" altLang="en-US" sz="950" dirty="0">
            <a:latin typeface="Meiryo UI"/>
            <a:ea typeface="Meiryo UI"/>
          </a:endParaRPr>
        </a:p>
        <a:p>
          <a:pPr algn="ctr">
            <a:lnSpc>
              <a:spcPct val="95000"/>
            </a:lnSpc>
            <a:spcBef>
              <a:spcPts val="50"/>
            </a:spcBef>
          </a:pPr>
          <a:r>
            <a:rPr lang="ja-JP" altLang="en-US" sz="750" b="0" dirty="0">
              <a:solidFill>
                <a:srgbClr val="595959"/>
              </a:solidFill>
              <a:latin typeface="Meiryo UI"/>
              <a:ea typeface="Meiryo UI"/>
              <a:cs typeface="Meiryo UI"/>
            </a:rPr>
            <a:t>役割・概要</a:t>
          </a:r>
          <a:endParaRPr lang="ja-JP" altLang="en-US" sz="750" dirty="0">
            <a:latin typeface="Meiryo UI"/>
            <a:ea typeface="Meiryo UI"/>
          </a:endParaRPr>
        </a:p>
      </xdr:txBody>
    </xdr:sp>
    <xdr:clientData/>
  </xdr:twoCellAnchor>
  <xdr:twoCellAnchor editAs="oneCell">
    <xdr:from>
      <xdr:col>43</xdr:col>
      <xdr:colOff>0</xdr:colOff>
      <xdr:row>38</xdr:row>
      <xdr:rowOff>0</xdr:rowOff>
    </xdr:from>
    <xdr:to>
      <xdr:col>51</xdr:col>
      <xdr:colOff>0</xdr:colOff>
      <xdr:row>42</xdr:row>
      <xdr:rowOff>0</xdr:rowOff>
    </xdr:to>
    <xdr:sp macro="" textlink="">
      <xdr:nvSpPr>
        <xdr:cNvPr id="41" name="ノード: 角丸・線のみ（ルートB）">
          <a:extLst>
            <a:ext uri="{FF2B5EF4-FFF2-40B4-BE49-F238E27FC236}">
              <a16:creationId xmlns:a16="http://schemas.microsoft.com/office/drawing/2014/main" id="{00000000-0008-0000-0400-000029000000}"/>
            </a:ext>
          </a:extLst>
        </xdr:cNvPr>
        <xdr:cNvSpPr/>
      </xdr:nvSpPr>
      <xdr:spPr>
        <a:xfrm>
          <a:off x="8191500" y="7239000"/>
          <a:ext cx="1524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FFFFFF"/>
        </a:solidFill>
        <a:ln w="15875" cap="flat">
          <a:solidFill>
            <a:srgbClr val="247966"/>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005243"/>
              </a:solidFill>
              <a:latin typeface="Meiryo UI"/>
              <a:ea typeface="Meiryo UI"/>
              <a:cs typeface="Meiryo UI"/>
            </a:rPr>
            <a:t>ノード名</a:t>
          </a:r>
          <a:endParaRPr lang="ja-JP" altLang="en-US" sz="950" dirty="0">
            <a:latin typeface="Meiryo UI"/>
            <a:ea typeface="Meiryo UI"/>
          </a:endParaRPr>
        </a:p>
        <a:p>
          <a:pPr algn="ctr">
            <a:lnSpc>
              <a:spcPct val="95000"/>
            </a:lnSpc>
            <a:spcBef>
              <a:spcPts val="50"/>
            </a:spcBef>
          </a:pPr>
          <a:r>
            <a:rPr lang="ja-JP" altLang="en-US" sz="750" b="0" dirty="0">
              <a:solidFill>
                <a:srgbClr val="595959"/>
              </a:solidFill>
              <a:latin typeface="Meiryo UI"/>
              <a:ea typeface="Meiryo UI"/>
              <a:cs typeface="Meiryo UI"/>
            </a:rPr>
            <a:t>役割・概要</a:t>
          </a:r>
          <a:endParaRPr lang="ja-JP" altLang="en-US" sz="750" dirty="0">
            <a:latin typeface="Meiryo UI"/>
            <a:ea typeface="Meiryo UI"/>
          </a:endParaRPr>
        </a:p>
      </xdr:txBody>
    </xdr:sp>
    <xdr:clientData/>
  </xdr:twoCellAnchor>
  <xdr:twoCellAnchor editAs="oneCell">
    <xdr:from>
      <xdr:col>59</xdr:col>
      <xdr:colOff>0</xdr:colOff>
      <xdr:row>38</xdr:row>
      <xdr:rowOff>0</xdr:rowOff>
    </xdr:from>
    <xdr:to>
      <xdr:col>67</xdr:col>
      <xdr:colOff>0</xdr:colOff>
      <xdr:row>42</xdr:row>
      <xdr:rowOff>0</xdr:rowOff>
    </xdr:to>
    <xdr:sp macro="" textlink="">
      <xdr:nvSpPr>
        <xdr:cNvPr id="42" name="ノード: 角丸・線のみ（ルートC）">
          <a:extLst>
            <a:ext uri="{FF2B5EF4-FFF2-40B4-BE49-F238E27FC236}">
              <a16:creationId xmlns:a16="http://schemas.microsoft.com/office/drawing/2014/main" id="{00000000-0008-0000-0400-00002A000000}"/>
            </a:ext>
          </a:extLst>
        </xdr:cNvPr>
        <xdr:cNvSpPr/>
      </xdr:nvSpPr>
      <xdr:spPr>
        <a:xfrm>
          <a:off x="11239500" y="7239000"/>
          <a:ext cx="1524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FFFFFF"/>
        </a:solidFill>
        <a:ln w="15875" cap="flat">
          <a:solidFill>
            <a:srgbClr val="C46B39"/>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954717"/>
              </a:solidFill>
              <a:latin typeface="Meiryo UI"/>
              <a:ea typeface="Meiryo UI"/>
              <a:cs typeface="Meiryo UI"/>
            </a:rPr>
            <a:t>ノード名</a:t>
          </a:r>
          <a:endParaRPr lang="ja-JP" altLang="en-US" sz="950" dirty="0">
            <a:latin typeface="Meiryo UI"/>
            <a:ea typeface="Meiryo UI"/>
          </a:endParaRPr>
        </a:p>
        <a:p>
          <a:pPr algn="ctr">
            <a:lnSpc>
              <a:spcPct val="95000"/>
            </a:lnSpc>
            <a:spcBef>
              <a:spcPts val="50"/>
            </a:spcBef>
          </a:pPr>
          <a:r>
            <a:rPr lang="ja-JP" altLang="en-US" sz="750" b="0" dirty="0">
              <a:solidFill>
                <a:srgbClr val="595959"/>
              </a:solidFill>
              <a:latin typeface="Meiryo UI"/>
              <a:ea typeface="Meiryo UI"/>
              <a:cs typeface="Meiryo UI"/>
            </a:rPr>
            <a:t>役割・概要</a:t>
          </a:r>
          <a:endParaRPr lang="ja-JP" altLang="en-US" sz="750" dirty="0">
            <a:latin typeface="Meiryo UI"/>
            <a:ea typeface="Meiryo UI"/>
          </a:endParaRPr>
        </a:p>
      </xdr:txBody>
    </xdr:sp>
    <xdr:clientData/>
  </xdr:twoCellAnchor>
  <xdr:twoCellAnchor editAs="oneCell">
    <xdr:from>
      <xdr:col>11</xdr:col>
      <xdr:colOff>0</xdr:colOff>
      <xdr:row>44</xdr:row>
      <xdr:rowOff>0</xdr:rowOff>
    </xdr:from>
    <xdr:to>
      <xdr:col>15</xdr:col>
      <xdr:colOff>0</xdr:colOff>
      <xdr:row>48</xdr:row>
      <xdr:rowOff>0</xdr:rowOff>
    </xdr:to>
    <xdr:sp macro="" textlink="">
      <xdr:nvSpPr>
        <xdr:cNvPr id="43" name="ノード: 角丸・標準（共通）">
          <a:extLst>
            <a:ext uri="{FF2B5EF4-FFF2-40B4-BE49-F238E27FC236}">
              <a16:creationId xmlns:a16="http://schemas.microsoft.com/office/drawing/2014/main" id="{00000000-0008-0000-0400-00002B000000}"/>
            </a:ext>
          </a:extLst>
        </xdr:cNvPr>
        <xdr:cNvSpPr/>
      </xdr:nvSpPr>
      <xdr:spPr>
        <a:xfrm>
          <a:off x="2095500" y="8382000"/>
          <a:ext cx="762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FFFFFF"/>
        </a:solidFill>
        <a:ln w="12700" cap="flat">
          <a:solidFill>
            <a:srgbClr val="404040"/>
          </a:solidFill>
          <a:round/>
        </a:ln>
      </xdr:spPr>
      <xdr:txBody>
        <a:bodyPr vertOverflow="overflow" horzOverflow="overflow" wrap="square" lIns="38100" tIns="19050" rIns="38100" bIns="19050" rtlCol="0" anchor="ctr">
          <a:noAutofit/>
        </a:bodyPr>
        <a:lstStyle/>
        <a:p>
          <a:pPr algn="ctr">
            <a:lnSpc>
              <a:spcPct val="95000"/>
            </a:lnSpc>
          </a:pPr>
          <a:r>
            <a:rPr lang="ja-JP" altLang="en-US" sz="850" b="1" dirty="0">
              <a:solidFill>
                <a:srgbClr val="262626"/>
              </a:solidFill>
              <a:latin typeface="Meiryo UI"/>
              <a:ea typeface="Meiryo UI"/>
              <a:cs typeface="Meiryo UI"/>
            </a:rPr>
            <a:t>小ノード</a:t>
          </a:r>
          <a:endParaRPr lang="ja-JP" altLang="en-US" sz="850" dirty="0">
            <a:latin typeface="Meiryo UI"/>
            <a:ea typeface="Meiryo UI"/>
          </a:endParaRPr>
        </a:p>
      </xdr:txBody>
    </xdr:sp>
    <xdr:clientData/>
  </xdr:twoCellAnchor>
  <xdr:twoCellAnchor editAs="oneCell">
    <xdr:from>
      <xdr:col>16</xdr:col>
      <xdr:colOff>0</xdr:colOff>
      <xdr:row>44</xdr:row>
      <xdr:rowOff>0</xdr:rowOff>
    </xdr:from>
    <xdr:to>
      <xdr:col>20</xdr:col>
      <xdr:colOff>0</xdr:colOff>
      <xdr:row>48</xdr:row>
      <xdr:rowOff>0</xdr:rowOff>
    </xdr:to>
    <xdr:sp macro="" textlink="">
      <xdr:nvSpPr>
        <xdr:cNvPr id="44" name="ノード: 円・標準（共通）">
          <a:extLst>
            <a:ext uri="{FF2B5EF4-FFF2-40B4-BE49-F238E27FC236}">
              <a16:creationId xmlns:a16="http://schemas.microsoft.com/office/drawing/2014/main" id="{00000000-0008-0000-0400-00002C000000}"/>
            </a:ext>
          </a:extLst>
        </xdr:cNvPr>
        <xdr:cNvSpPr/>
      </xdr:nvSpPr>
      <xdr:spPr>
        <a:xfrm>
          <a:off x="3048000" y="8382000"/>
          <a:ext cx="762000" cy="762000"/>
        </a:xfrm>
        <a:custGeom>
          <a:avLst/>
          <a:gdLst>
            <a:gd name="wr" fmla="*/ w 1 2"/>
            <a:gd name="hr" fmla="*/ h 1 2"/>
            <a:gd name="dx0" fmla="sin wr 0"/>
            <a:gd name="dy0" fmla="cos hr 0"/>
            <a:gd name="px0" fmla="+- hc dx0 0"/>
            <a:gd name="py0" fmla="+- vc 0 dy0"/>
            <a:gd name="dx1" fmla="sin wr 1800000"/>
            <a:gd name="dy1" fmla="cos hr 1800000"/>
            <a:gd name="px1" fmla="+- hc dx1 0"/>
            <a:gd name="py1" fmla="+- vc 0 dy1"/>
            <a:gd name="dx2" fmla="sin wr 3600000"/>
            <a:gd name="dy2" fmla="cos hr 3600000"/>
            <a:gd name="px2" fmla="+- hc dx2 0"/>
            <a:gd name="py2" fmla="+- vc 0 dy2"/>
            <a:gd name="dx3" fmla="sin wr 5400000"/>
            <a:gd name="dy3" fmla="cos hr 5400000"/>
            <a:gd name="px3" fmla="+- hc dx3 0"/>
            <a:gd name="py3" fmla="+- vc 0 dy3"/>
            <a:gd name="dx4" fmla="sin wr 7200000"/>
            <a:gd name="dy4" fmla="cos hr 7200000"/>
            <a:gd name="px4" fmla="+- hc dx4 0"/>
            <a:gd name="py4" fmla="+- vc 0 dy4"/>
            <a:gd name="dx5" fmla="sin wr 9000000"/>
            <a:gd name="dy5" fmla="cos hr 9000000"/>
            <a:gd name="px5" fmla="+- hc dx5 0"/>
            <a:gd name="py5" fmla="+- vc 0 dy5"/>
            <a:gd name="dx6" fmla="sin wr 10800000"/>
            <a:gd name="dy6" fmla="cos hr 10800000"/>
            <a:gd name="px6" fmla="+- hc dx6 0"/>
            <a:gd name="py6" fmla="+- vc 0 dy6"/>
            <a:gd name="dx7" fmla="sin wr 12600000"/>
            <a:gd name="dy7" fmla="cos hr 12600000"/>
            <a:gd name="px7" fmla="+- hc dx7 0"/>
            <a:gd name="py7" fmla="+- vc 0 dy7"/>
            <a:gd name="dx8" fmla="sin wr 14400000"/>
            <a:gd name="dy8" fmla="cos hr 14400000"/>
            <a:gd name="px8" fmla="+- hc dx8 0"/>
            <a:gd name="py8" fmla="+- vc 0 dy8"/>
            <a:gd name="dx9" fmla="sin wr 16200000"/>
            <a:gd name="dy9" fmla="cos hr 16200000"/>
            <a:gd name="px9" fmla="+- hc dx9 0"/>
            <a:gd name="py9" fmla="+- vc 0 dy9"/>
            <a:gd name="dx10" fmla="sin wr 18000000"/>
            <a:gd name="dy10" fmla="cos hr 18000000"/>
            <a:gd name="px10" fmla="+- hc dx10 0"/>
            <a:gd name="py10" fmla="+- vc 0 dy10"/>
            <a:gd name="dx11" fmla="sin wr 19800000"/>
            <a:gd name="dy11" fmla="cos hr 19800000"/>
            <a:gd name="px11" fmla="+- hc dx11 0"/>
            <a:gd name="py11" fmla="+- vc 0 dy11"/>
          </a:gdLst>
          <a:ahLst/>
          <a:cxnLst>
            <a:cxn ang="16200000">
              <a:pos x="px0" y="py0"/>
            </a:cxn>
            <a:cxn ang="16200000">
              <a:pos x="px1" y="py1"/>
            </a:cxn>
            <a:cxn ang="0">
              <a:pos x="px2" y="py2"/>
            </a:cxn>
            <a:cxn ang="0">
              <a:pos x="px3" y="py3"/>
            </a:cxn>
            <a:cxn ang="0">
              <a:pos x="px4" y="py4"/>
            </a:cxn>
            <a:cxn ang="5400000">
              <a:pos x="px5" y="py5"/>
            </a:cxn>
            <a:cxn ang="5400000">
              <a:pos x="px6" y="py6"/>
            </a:cxn>
            <a:cxn ang="5400000">
              <a:pos x="px7" y="py7"/>
            </a:cxn>
            <a:cxn ang="10800000">
              <a:pos x="px8" y="py8"/>
            </a:cxn>
            <a:cxn ang="10800000">
              <a:pos x="px9" y="py9"/>
            </a:cxn>
            <a:cxn ang="10800000">
              <a:pos x="px10" y="py10"/>
            </a:cxn>
            <a:cxn ang="16200000">
              <a:pos x="px11" y="py11"/>
            </a:cxn>
          </a:cxnLst>
          <a:rect l="l" t="t" r="r" b="b"/>
          <a:pathLst>
            <a:path>
              <a:moveTo>
                <a:pt x="l" y="vc"/>
              </a:moveTo>
              <a:arcTo wR="wr" hR="hr" stAng="10800000" swAng="21600000"/>
              <a:close/>
            </a:path>
          </a:pathLst>
        </a:custGeom>
        <a:solidFill>
          <a:srgbClr val="FFFFFF"/>
        </a:solidFill>
        <a:ln w="12700" cap="flat">
          <a:solidFill>
            <a:srgbClr val="404040"/>
          </a:solidFill>
          <a:round/>
        </a:ln>
      </xdr:spPr>
      <xdr:txBody>
        <a:bodyPr vertOverflow="overflow" horzOverflow="overflow" wrap="square" lIns="38100" tIns="19050" rIns="38100" bIns="19050" rtlCol="0" anchor="ctr">
          <a:noAutofit/>
        </a:bodyPr>
        <a:lstStyle/>
        <a:p>
          <a:pPr algn="ctr">
            <a:lnSpc>
              <a:spcPct val="95000"/>
            </a:lnSpc>
          </a:pPr>
          <a:r>
            <a:rPr lang="ja-JP" altLang="en-US" sz="850" b="1" dirty="0">
              <a:solidFill>
                <a:srgbClr val="262626"/>
              </a:solidFill>
              <a:latin typeface="Meiryo UI"/>
              <a:ea typeface="Meiryo UI"/>
              <a:cs typeface="Meiryo UI"/>
            </a:rPr>
            <a:t>利用者</a:t>
          </a:r>
          <a:endParaRPr lang="ja-JP" altLang="en-US" sz="850" dirty="0">
            <a:latin typeface="Meiryo UI"/>
            <a:ea typeface="Meiryo UI"/>
          </a:endParaRPr>
        </a:p>
      </xdr:txBody>
    </xdr:sp>
    <xdr:clientData/>
  </xdr:twoCellAnchor>
  <xdr:twoCellAnchor editAs="oneCell">
    <xdr:from>
      <xdr:col>21</xdr:col>
      <xdr:colOff>0</xdr:colOff>
      <xdr:row>44</xdr:row>
      <xdr:rowOff>0</xdr:rowOff>
    </xdr:from>
    <xdr:to>
      <xdr:col>25</xdr:col>
      <xdr:colOff>0</xdr:colOff>
      <xdr:row>48</xdr:row>
      <xdr:rowOff>0</xdr:rowOff>
    </xdr:to>
    <xdr:sp macro="" textlink="">
      <xdr:nvSpPr>
        <xdr:cNvPr id="45" name="ノード: 円柱・標準（共通）">
          <a:extLst>
            <a:ext uri="{FF2B5EF4-FFF2-40B4-BE49-F238E27FC236}">
              <a16:creationId xmlns:a16="http://schemas.microsoft.com/office/drawing/2014/main" id="{00000000-0008-0000-0400-00002D000000}"/>
            </a:ext>
          </a:extLst>
        </xdr:cNvPr>
        <xdr:cNvSpPr/>
      </xdr:nvSpPr>
      <xdr:spPr>
        <a:xfrm>
          <a:off x="4000500" y="8382000"/>
          <a:ext cx="762000" cy="762000"/>
        </a:xfrm>
        <a:custGeom>
          <a:avLst/>
          <a:gdLst>
            <a:gd name="x1" fmla="*/ w 1 4"/>
            <a:gd name="x2" fmla="*/ w 1 2"/>
            <a:gd name="x3" fmla="*/ w 3 4"/>
            <a:gd name="y1" fmla="*/ h 1 4"/>
            <a:gd name="y2" fmla="*/ h 1 2"/>
            <a:gd name="y3" fmla="*/ h 3 4"/>
            <a:gd name="smin" fmla="min w h"/>
            <a:gd name="ry" fmla="*/ smin 1 8"/>
            <a:gd name="wr" fmla="*/ w 1 2"/>
            <a:gd name="ty" fmla="*/ ry 13397 100000"/>
            <a:gd name="by" fmla="+- b 0 ty"/>
            <a:gd name="y4" fmla="+- b 0 ry"/>
            <a:gd name="ry2" fmla="*/ ry 2 1"/>
          </a:gdLst>
          <a:ahLst/>
          <a:cxnLst>
            <a:cxn ang="16200000">
              <a:pos x="x2" y="t"/>
            </a:cxn>
            <a:cxn ang="16200000">
              <a:pos x="x3" y="ty"/>
            </a:cxn>
            <a:cxn ang="0">
              <a:pos x="r" y="y1"/>
            </a:cxn>
            <a:cxn ang="0">
              <a:pos x="r" y="y2"/>
            </a:cxn>
            <a:cxn ang="0">
              <a:pos x="r" y="y3"/>
            </a:cxn>
            <a:cxn ang="5400000">
              <a:pos x="x3" y="by"/>
            </a:cxn>
            <a:cxn ang="5400000">
              <a:pos x="x2" y="b"/>
            </a:cxn>
            <a:cxn ang="5400000">
              <a:pos x="x1" y="by"/>
            </a:cxn>
            <a:cxn ang="10800000">
              <a:pos x="l" y="y3"/>
            </a:cxn>
            <a:cxn ang="10800000">
              <a:pos x="l" y="y2"/>
            </a:cxn>
            <a:cxn ang="10800000">
              <a:pos x="l" y="y1"/>
            </a:cxn>
            <a:cxn ang="16200000">
              <a:pos x="x1" y="ty"/>
            </a:cxn>
          </a:cxnLst>
          <a:rect l="l" t="t" r="r" b="b"/>
          <a:pathLst>
            <a:path stroke="0" extrusionOk="0">
              <a:moveTo>
                <a:pt x="l" y="ry"/>
              </a:moveTo>
              <a:arcTo wR="wr" hR="ry" stAng="10800000" swAng="-10800000"/>
              <a:lnTo>
                <a:pt x="r" y="y4"/>
              </a:lnTo>
              <a:arcTo wR="wr" hR="ry" stAng="0" swAng="10800000"/>
              <a:close/>
            </a:path>
            <a:path fill="lighten" stroke="0" extrusionOk="0">
              <a:moveTo>
                <a:pt x="l" y="ry"/>
              </a:moveTo>
              <a:arcTo wR="wr" hR="ry" stAng="10800000" swAng="10800000"/>
              <a:arcTo wR="wr" hR="ry" stAng="0" swAng="10800000"/>
              <a:close/>
            </a:path>
            <a:path fill="none" extrusionOk="0">
              <a:moveTo>
                <a:pt x="r" y="ry"/>
              </a:moveTo>
              <a:arcTo wR="wr" hR="ry" stAng="0" swAng="10800000"/>
              <a:arcTo wR="wr" hR="ry" stAng="10800000" swAng="10800000"/>
              <a:lnTo>
                <a:pt x="r" y="y4"/>
              </a:lnTo>
              <a:arcTo wR="wr" hR="ry" stAng="0" swAng="10800000"/>
              <a:lnTo>
                <a:pt x="l" y="ry"/>
              </a:lnTo>
            </a:path>
          </a:pathLst>
        </a:custGeom>
        <a:solidFill>
          <a:srgbClr val="FFFFFF"/>
        </a:solidFill>
        <a:ln w="12700" cap="flat">
          <a:solidFill>
            <a:srgbClr val="404040"/>
          </a:solidFill>
          <a:round/>
        </a:ln>
      </xdr:spPr>
      <xdr:txBody>
        <a:bodyPr vertOverflow="overflow" horzOverflow="overflow" wrap="square" lIns="25400" tIns="76200" rIns="25400" bIns="25400" rtlCol="0" anchor="ctr">
          <a:noAutofit/>
        </a:bodyPr>
        <a:lstStyle/>
        <a:p>
          <a:pPr algn="ctr">
            <a:lnSpc>
              <a:spcPct val="95000"/>
            </a:lnSpc>
          </a:pPr>
          <a:r>
            <a:rPr lang="ja-JP" altLang="en-US" sz="850" b="1" dirty="0">
              <a:solidFill>
                <a:srgbClr val="262626"/>
              </a:solidFill>
              <a:latin typeface="Meiryo UI"/>
              <a:ea typeface="Meiryo UI"/>
              <a:cs typeface="Meiryo UI"/>
            </a:rPr>
            <a:t>DB</a:t>
          </a:r>
          <a:endParaRPr lang="ja-JP" altLang="en-US" sz="850" dirty="0">
            <a:latin typeface="Meiryo UI"/>
            <a:ea typeface="Meiryo UI"/>
          </a:endParaRPr>
        </a:p>
        <a:p>
          <a:pPr algn="ctr">
            <a:lnSpc>
              <a:spcPct val="95000"/>
            </a:lnSpc>
            <a:spcBef>
              <a:spcPts val="50"/>
            </a:spcBef>
          </a:pPr>
          <a:r>
            <a:rPr lang="ja-JP" altLang="en-US" sz="700" b="0" dirty="0">
              <a:solidFill>
                <a:srgbClr val="595959"/>
              </a:solidFill>
              <a:latin typeface="Meiryo UI"/>
              <a:ea typeface="Meiryo UI"/>
              <a:cs typeface="Meiryo UI"/>
            </a:rPr>
            <a:t>ストレージ</a:t>
          </a:r>
          <a:endParaRPr lang="ja-JP" altLang="en-US" sz="700" dirty="0">
            <a:latin typeface="Meiryo UI"/>
            <a:ea typeface="Meiryo UI"/>
          </a:endParaRPr>
        </a:p>
      </xdr:txBody>
    </xdr:sp>
    <xdr:clientData/>
  </xdr:twoCellAnchor>
  <xdr:twoCellAnchor editAs="oneCell">
    <xdr:from>
      <xdr:col>27</xdr:col>
      <xdr:colOff>0</xdr:colOff>
      <xdr:row>44</xdr:row>
      <xdr:rowOff>0</xdr:rowOff>
    </xdr:from>
    <xdr:to>
      <xdr:col>31</xdr:col>
      <xdr:colOff>0</xdr:colOff>
      <xdr:row>48</xdr:row>
      <xdr:rowOff>0</xdr:rowOff>
    </xdr:to>
    <xdr:sp macro="" textlink="">
      <xdr:nvSpPr>
        <xdr:cNvPr id="46" name="ノード: 角丸・標準（ルートA）">
          <a:extLst>
            <a:ext uri="{FF2B5EF4-FFF2-40B4-BE49-F238E27FC236}">
              <a16:creationId xmlns:a16="http://schemas.microsoft.com/office/drawing/2014/main" id="{00000000-0008-0000-0400-00002E000000}"/>
            </a:ext>
          </a:extLst>
        </xdr:cNvPr>
        <xdr:cNvSpPr/>
      </xdr:nvSpPr>
      <xdr:spPr>
        <a:xfrm>
          <a:off x="5143500" y="8382000"/>
          <a:ext cx="762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E7F1FF"/>
        </a:solidFill>
        <a:ln w="15875" cap="flat">
          <a:solidFill>
            <a:srgbClr val="315C92"/>
          </a:solidFill>
          <a:round/>
        </a:ln>
      </xdr:spPr>
      <xdr:txBody>
        <a:bodyPr vertOverflow="overflow" horzOverflow="overflow" wrap="square" lIns="38100" tIns="19050" rIns="38100" bIns="19050" rtlCol="0" anchor="ctr">
          <a:noAutofit/>
        </a:bodyPr>
        <a:lstStyle/>
        <a:p>
          <a:pPr algn="ctr">
            <a:lnSpc>
              <a:spcPct val="95000"/>
            </a:lnSpc>
          </a:pPr>
          <a:r>
            <a:rPr lang="ja-JP" altLang="en-US" sz="850" b="1" dirty="0">
              <a:solidFill>
                <a:srgbClr val="262626"/>
              </a:solidFill>
              <a:latin typeface="Meiryo UI"/>
              <a:ea typeface="Meiryo UI"/>
              <a:cs typeface="Meiryo UI"/>
            </a:rPr>
            <a:t>小ノード</a:t>
          </a:r>
          <a:endParaRPr lang="ja-JP" altLang="en-US" sz="850" dirty="0">
            <a:latin typeface="Meiryo UI"/>
            <a:ea typeface="Meiryo UI"/>
          </a:endParaRPr>
        </a:p>
      </xdr:txBody>
    </xdr:sp>
    <xdr:clientData/>
  </xdr:twoCellAnchor>
  <xdr:twoCellAnchor editAs="oneCell">
    <xdr:from>
      <xdr:col>32</xdr:col>
      <xdr:colOff>0</xdr:colOff>
      <xdr:row>44</xdr:row>
      <xdr:rowOff>0</xdr:rowOff>
    </xdr:from>
    <xdr:to>
      <xdr:col>36</xdr:col>
      <xdr:colOff>0</xdr:colOff>
      <xdr:row>48</xdr:row>
      <xdr:rowOff>0</xdr:rowOff>
    </xdr:to>
    <xdr:sp macro="" textlink="">
      <xdr:nvSpPr>
        <xdr:cNvPr id="47" name="ノード: 円・標準（ルートA）">
          <a:extLst>
            <a:ext uri="{FF2B5EF4-FFF2-40B4-BE49-F238E27FC236}">
              <a16:creationId xmlns:a16="http://schemas.microsoft.com/office/drawing/2014/main" id="{00000000-0008-0000-0400-00002F000000}"/>
            </a:ext>
          </a:extLst>
        </xdr:cNvPr>
        <xdr:cNvSpPr/>
      </xdr:nvSpPr>
      <xdr:spPr>
        <a:xfrm>
          <a:off x="6096000" y="8382000"/>
          <a:ext cx="762000" cy="762000"/>
        </a:xfrm>
        <a:custGeom>
          <a:avLst/>
          <a:gdLst>
            <a:gd name="wr" fmla="*/ w 1 2"/>
            <a:gd name="hr" fmla="*/ h 1 2"/>
            <a:gd name="dx0" fmla="sin wr 0"/>
            <a:gd name="dy0" fmla="cos hr 0"/>
            <a:gd name="px0" fmla="+- hc dx0 0"/>
            <a:gd name="py0" fmla="+- vc 0 dy0"/>
            <a:gd name="dx1" fmla="sin wr 1800000"/>
            <a:gd name="dy1" fmla="cos hr 1800000"/>
            <a:gd name="px1" fmla="+- hc dx1 0"/>
            <a:gd name="py1" fmla="+- vc 0 dy1"/>
            <a:gd name="dx2" fmla="sin wr 3600000"/>
            <a:gd name="dy2" fmla="cos hr 3600000"/>
            <a:gd name="px2" fmla="+- hc dx2 0"/>
            <a:gd name="py2" fmla="+- vc 0 dy2"/>
            <a:gd name="dx3" fmla="sin wr 5400000"/>
            <a:gd name="dy3" fmla="cos hr 5400000"/>
            <a:gd name="px3" fmla="+- hc dx3 0"/>
            <a:gd name="py3" fmla="+- vc 0 dy3"/>
            <a:gd name="dx4" fmla="sin wr 7200000"/>
            <a:gd name="dy4" fmla="cos hr 7200000"/>
            <a:gd name="px4" fmla="+- hc dx4 0"/>
            <a:gd name="py4" fmla="+- vc 0 dy4"/>
            <a:gd name="dx5" fmla="sin wr 9000000"/>
            <a:gd name="dy5" fmla="cos hr 9000000"/>
            <a:gd name="px5" fmla="+- hc dx5 0"/>
            <a:gd name="py5" fmla="+- vc 0 dy5"/>
            <a:gd name="dx6" fmla="sin wr 10800000"/>
            <a:gd name="dy6" fmla="cos hr 10800000"/>
            <a:gd name="px6" fmla="+- hc dx6 0"/>
            <a:gd name="py6" fmla="+- vc 0 dy6"/>
            <a:gd name="dx7" fmla="sin wr 12600000"/>
            <a:gd name="dy7" fmla="cos hr 12600000"/>
            <a:gd name="px7" fmla="+- hc dx7 0"/>
            <a:gd name="py7" fmla="+- vc 0 dy7"/>
            <a:gd name="dx8" fmla="sin wr 14400000"/>
            <a:gd name="dy8" fmla="cos hr 14400000"/>
            <a:gd name="px8" fmla="+- hc dx8 0"/>
            <a:gd name="py8" fmla="+- vc 0 dy8"/>
            <a:gd name="dx9" fmla="sin wr 16200000"/>
            <a:gd name="dy9" fmla="cos hr 16200000"/>
            <a:gd name="px9" fmla="+- hc dx9 0"/>
            <a:gd name="py9" fmla="+- vc 0 dy9"/>
            <a:gd name="dx10" fmla="sin wr 18000000"/>
            <a:gd name="dy10" fmla="cos hr 18000000"/>
            <a:gd name="px10" fmla="+- hc dx10 0"/>
            <a:gd name="py10" fmla="+- vc 0 dy10"/>
            <a:gd name="dx11" fmla="sin wr 19800000"/>
            <a:gd name="dy11" fmla="cos hr 19800000"/>
            <a:gd name="px11" fmla="+- hc dx11 0"/>
            <a:gd name="py11" fmla="+- vc 0 dy11"/>
          </a:gdLst>
          <a:ahLst/>
          <a:cxnLst>
            <a:cxn ang="16200000">
              <a:pos x="px0" y="py0"/>
            </a:cxn>
            <a:cxn ang="16200000">
              <a:pos x="px1" y="py1"/>
            </a:cxn>
            <a:cxn ang="0">
              <a:pos x="px2" y="py2"/>
            </a:cxn>
            <a:cxn ang="0">
              <a:pos x="px3" y="py3"/>
            </a:cxn>
            <a:cxn ang="0">
              <a:pos x="px4" y="py4"/>
            </a:cxn>
            <a:cxn ang="5400000">
              <a:pos x="px5" y="py5"/>
            </a:cxn>
            <a:cxn ang="5400000">
              <a:pos x="px6" y="py6"/>
            </a:cxn>
            <a:cxn ang="5400000">
              <a:pos x="px7" y="py7"/>
            </a:cxn>
            <a:cxn ang="10800000">
              <a:pos x="px8" y="py8"/>
            </a:cxn>
            <a:cxn ang="10800000">
              <a:pos x="px9" y="py9"/>
            </a:cxn>
            <a:cxn ang="10800000">
              <a:pos x="px10" y="py10"/>
            </a:cxn>
            <a:cxn ang="16200000">
              <a:pos x="px11" y="py11"/>
            </a:cxn>
          </a:cxnLst>
          <a:rect l="l" t="t" r="r" b="b"/>
          <a:pathLst>
            <a:path>
              <a:moveTo>
                <a:pt x="l" y="vc"/>
              </a:moveTo>
              <a:arcTo wR="wr" hR="hr" stAng="10800000" swAng="21600000"/>
              <a:close/>
            </a:path>
          </a:pathLst>
        </a:custGeom>
        <a:solidFill>
          <a:srgbClr val="E7F1FF"/>
        </a:solidFill>
        <a:ln w="15875" cap="flat">
          <a:solidFill>
            <a:srgbClr val="315C92"/>
          </a:solidFill>
          <a:round/>
        </a:ln>
      </xdr:spPr>
      <xdr:txBody>
        <a:bodyPr vertOverflow="overflow" horzOverflow="overflow" wrap="square" lIns="38100" tIns="19050" rIns="38100" bIns="19050" rtlCol="0" anchor="ctr">
          <a:noAutofit/>
        </a:bodyPr>
        <a:lstStyle/>
        <a:p>
          <a:pPr algn="ctr">
            <a:lnSpc>
              <a:spcPct val="95000"/>
            </a:lnSpc>
          </a:pPr>
          <a:r>
            <a:rPr lang="ja-JP" altLang="en-US" sz="850" b="1" dirty="0">
              <a:solidFill>
                <a:srgbClr val="262626"/>
              </a:solidFill>
              <a:latin typeface="Meiryo UI"/>
              <a:ea typeface="Meiryo UI"/>
              <a:cs typeface="Meiryo UI"/>
            </a:rPr>
            <a:t>利用者</a:t>
          </a:r>
          <a:endParaRPr lang="ja-JP" altLang="en-US" sz="850" dirty="0">
            <a:latin typeface="Meiryo UI"/>
            <a:ea typeface="Meiryo UI"/>
          </a:endParaRPr>
        </a:p>
      </xdr:txBody>
    </xdr:sp>
    <xdr:clientData/>
  </xdr:twoCellAnchor>
  <xdr:twoCellAnchor editAs="oneCell">
    <xdr:from>
      <xdr:col>37</xdr:col>
      <xdr:colOff>0</xdr:colOff>
      <xdr:row>44</xdr:row>
      <xdr:rowOff>0</xdr:rowOff>
    </xdr:from>
    <xdr:to>
      <xdr:col>41</xdr:col>
      <xdr:colOff>0</xdr:colOff>
      <xdr:row>48</xdr:row>
      <xdr:rowOff>0</xdr:rowOff>
    </xdr:to>
    <xdr:sp macro="" textlink="">
      <xdr:nvSpPr>
        <xdr:cNvPr id="48" name="ノード: 円柱・標準（ルートA）">
          <a:extLst>
            <a:ext uri="{FF2B5EF4-FFF2-40B4-BE49-F238E27FC236}">
              <a16:creationId xmlns:a16="http://schemas.microsoft.com/office/drawing/2014/main" id="{00000000-0008-0000-0400-000030000000}"/>
            </a:ext>
          </a:extLst>
        </xdr:cNvPr>
        <xdr:cNvSpPr/>
      </xdr:nvSpPr>
      <xdr:spPr>
        <a:xfrm>
          <a:off x="7048500" y="8382000"/>
          <a:ext cx="762000" cy="762000"/>
        </a:xfrm>
        <a:custGeom>
          <a:avLst/>
          <a:gdLst>
            <a:gd name="x1" fmla="*/ w 1 4"/>
            <a:gd name="x2" fmla="*/ w 1 2"/>
            <a:gd name="x3" fmla="*/ w 3 4"/>
            <a:gd name="y1" fmla="*/ h 1 4"/>
            <a:gd name="y2" fmla="*/ h 1 2"/>
            <a:gd name="y3" fmla="*/ h 3 4"/>
            <a:gd name="smin" fmla="min w h"/>
            <a:gd name="ry" fmla="*/ smin 1 8"/>
            <a:gd name="wr" fmla="*/ w 1 2"/>
            <a:gd name="ty" fmla="*/ ry 13397 100000"/>
            <a:gd name="by" fmla="+- b 0 ty"/>
            <a:gd name="y4" fmla="+- b 0 ry"/>
            <a:gd name="ry2" fmla="*/ ry 2 1"/>
          </a:gdLst>
          <a:ahLst/>
          <a:cxnLst>
            <a:cxn ang="16200000">
              <a:pos x="x2" y="t"/>
            </a:cxn>
            <a:cxn ang="16200000">
              <a:pos x="x3" y="ty"/>
            </a:cxn>
            <a:cxn ang="0">
              <a:pos x="r" y="y1"/>
            </a:cxn>
            <a:cxn ang="0">
              <a:pos x="r" y="y2"/>
            </a:cxn>
            <a:cxn ang="0">
              <a:pos x="r" y="y3"/>
            </a:cxn>
            <a:cxn ang="5400000">
              <a:pos x="x3" y="by"/>
            </a:cxn>
            <a:cxn ang="5400000">
              <a:pos x="x2" y="b"/>
            </a:cxn>
            <a:cxn ang="5400000">
              <a:pos x="x1" y="by"/>
            </a:cxn>
            <a:cxn ang="10800000">
              <a:pos x="l" y="y3"/>
            </a:cxn>
            <a:cxn ang="10800000">
              <a:pos x="l" y="y2"/>
            </a:cxn>
            <a:cxn ang="10800000">
              <a:pos x="l" y="y1"/>
            </a:cxn>
            <a:cxn ang="16200000">
              <a:pos x="x1" y="ty"/>
            </a:cxn>
          </a:cxnLst>
          <a:rect l="l" t="t" r="r" b="b"/>
          <a:pathLst>
            <a:path stroke="0" extrusionOk="0">
              <a:moveTo>
                <a:pt x="l" y="ry"/>
              </a:moveTo>
              <a:arcTo wR="wr" hR="ry" stAng="10800000" swAng="-10800000"/>
              <a:lnTo>
                <a:pt x="r" y="y4"/>
              </a:lnTo>
              <a:arcTo wR="wr" hR="ry" stAng="0" swAng="10800000"/>
              <a:close/>
            </a:path>
            <a:path fill="lighten" stroke="0" extrusionOk="0">
              <a:moveTo>
                <a:pt x="l" y="ry"/>
              </a:moveTo>
              <a:arcTo wR="wr" hR="ry" stAng="10800000" swAng="10800000"/>
              <a:arcTo wR="wr" hR="ry" stAng="0" swAng="10800000"/>
              <a:close/>
            </a:path>
            <a:path fill="none" extrusionOk="0">
              <a:moveTo>
                <a:pt x="r" y="ry"/>
              </a:moveTo>
              <a:arcTo wR="wr" hR="ry" stAng="0" swAng="10800000"/>
              <a:arcTo wR="wr" hR="ry" stAng="10800000" swAng="10800000"/>
              <a:lnTo>
                <a:pt x="r" y="y4"/>
              </a:lnTo>
              <a:arcTo wR="wr" hR="ry" stAng="0" swAng="10800000"/>
              <a:lnTo>
                <a:pt x="l" y="ry"/>
              </a:lnTo>
            </a:path>
          </a:pathLst>
        </a:custGeom>
        <a:solidFill>
          <a:srgbClr val="E7F1FF"/>
        </a:solidFill>
        <a:ln w="15875" cap="flat">
          <a:solidFill>
            <a:srgbClr val="315C92"/>
          </a:solidFill>
          <a:round/>
        </a:ln>
      </xdr:spPr>
      <xdr:txBody>
        <a:bodyPr vertOverflow="overflow" horzOverflow="overflow" wrap="square" lIns="25400" tIns="76200" rIns="25400" bIns="25400" rtlCol="0" anchor="ctr">
          <a:noAutofit/>
        </a:bodyPr>
        <a:lstStyle/>
        <a:p>
          <a:pPr algn="ctr">
            <a:lnSpc>
              <a:spcPct val="95000"/>
            </a:lnSpc>
          </a:pPr>
          <a:r>
            <a:rPr lang="ja-JP" altLang="en-US" sz="850" b="1" dirty="0">
              <a:solidFill>
                <a:srgbClr val="262626"/>
              </a:solidFill>
              <a:latin typeface="Meiryo UI"/>
              <a:ea typeface="Meiryo UI"/>
              <a:cs typeface="Meiryo UI"/>
            </a:rPr>
            <a:t>DB</a:t>
          </a:r>
          <a:endParaRPr lang="ja-JP" altLang="en-US" sz="850" dirty="0">
            <a:latin typeface="Meiryo UI"/>
            <a:ea typeface="Meiryo UI"/>
          </a:endParaRPr>
        </a:p>
        <a:p>
          <a:pPr algn="ctr">
            <a:lnSpc>
              <a:spcPct val="95000"/>
            </a:lnSpc>
            <a:spcBef>
              <a:spcPts val="50"/>
            </a:spcBef>
          </a:pPr>
          <a:r>
            <a:rPr lang="ja-JP" altLang="en-US" sz="700" b="0" dirty="0">
              <a:solidFill>
                <a:srgbClr val="595959"/>
              </a:solidFill>
              <a:latin typeface="Meiryo UI"/>
              <a:ea typeface="Meiryo UI"/>
              <a:cs typeface="Meiryo UI"/>
            </a:rPr>
            <a:t>ストレージ</a:t>
          </a:r>
          <a:endParaRPr lang="ja-JP" altLang="en-US" sz="700" dirty="0">
            <a:latin typeface="Meiryo UI"/>
            <a:ea typeface="Meiryo UI"/>
          </a:endParaRPr>
        </a:p>
      </xdr:txBody>
    </xdr:sp>
    <xdr:clientData/>
  </xdr:twoCellAnchor>
  <xdr:twoCellAnchor editAs="oneCell">
    <xdr:from>
      <xdr:col>43</xdr:col>
      <xdr:colOff>0</xdr:colOff>
      <xdr:row>44</xdr:row>
      <xdr:rowOff>0</xdr:rowOff>
    </xdr:from>
    <xdr:to>
      <xdr:col>47</xdr:col>
      <xdr:colOff>0</xdr:colOff>
      <xdr:row>48</xdr:row>
      <xdr:rowOff>0</xdr:rowOff>
    </xdr:to>
    <xdr:sp macro="" textlink="">
      <xdr:nvSpPr>
        <xdr:cNvPr id="49" name="ノード: 角丸・標準（ルートB）">
          <a:extLst>
            <a:ext uri="{FF2B5EF4-FFF2-40B4-BE49-F238E27FC236}">
              <a16:creationId xmlns:a16="http://schemas.microsoft.com/office/drawing/2014/main" id="{00000000-0008-0000-0400-000031000000}"/>
            </a:ext>
          </a:extLst>
        </xdr:cNvPr>
        <xdr:cNvSpPr/>
      </xdr:nvSpPr>
      <xdr:spPr>
        <a:xfrm>
          <a:off x="8191500" y="8382000"/>
          <a:ext cx="762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E3F5EF"/>
        </a:solidFill>
        <a:ln w="15875" cap="flat">
          <a:solidFill>
            <a:srgbClr val="247966"/>
          </a:solidFill>
          <a:round/>
        </a:ln>
      </xdr:spPr>
      <xdr:txBody>
        <a:bodyPr vertOverflow="overflow" horzOverflow="overflow" wrap="square" lIns="38100" tIns="19050" rIns="38100" bIns="19050" rtlCol="0" anchor="ctr">
          <a:noAutofit/>
        </a:bodyPr>
        <a:lstStyle/>
        <a:p>
          <a:pPr algn="ctr">
            <a:lnSpc>
              <a:spcPct val="95000"/>
            </a:lnSpc>
          </a:pPr>
          <a:r>
            <a:rPr lang="ja-JP" altLang="en-US" sz="850" b="1" dirty="0">
              <a:solidFill>
                <a:srgbClr val="262626"/>
              </a:solidFill>
              <a:latin typeface="Meiryo UI"/>
              <a:ea typeface="Meiryo UI"/>
              <a:cs typeface="Meiryo UI"/>
            </a:rPr>
            <a:t>小ノード</a:t>
          </a:r>
          <a:endParaRPr lang="ja-JP" altLang="en-US" sz="850" dirty="0">
            <a:latin typeface="Meiryo UI"/>
            <a:ea typeface="Meiryo UI"/>
          </a:endParaRPr>
        </a:p>
      </xdr:txBody>
    </xdr:sp>
    <xdr:clientData/>
  </xdr:twoCellAnchor>
  <xdr:twoCellAnchor editAs="oneCell">
    <xdr:from>
      <xdr:col>48</xdr:col>
      <xdr:colOff>0</xdr:colOff>
      <xdr:row>44</xdr:row>
      <xdr:rowOff>0</xdr:rowOff>
    </xdr:from>
    <xdr:to>
      <xdr:col>52</xdr:col>
      <xdr:colOff>0</xdr:colOff>
      <xdr:row>48</xdr:row>
      <xdr:rowOff>0</xdr:rowOff>
    </xdr:to>
    <xdr:sp macro="" textlink="">
      <xdr:nvSpPr>
        <xdr:cNvPr id="50" name="ノード: 円・標準（ルートB）">
          <a:extLst>
            <a:ext uri="{FF2B5EF4-FFF2-40B4-BE49-F238E27FC236}">
              <a16:creationId xmlns:a16="http://schemas.microsoft.com/office/drawing/2014/main" id="{00000000-0008-0000-0400-000032000000}"/>
            </a:ext>
          </a:extLst>
        </xdr:cNvPr>
        <xdr:cNvSpPr/>
      </xdr:nvSpPr>
      <xdr:spPr>
        <a:xfrm>
          <a:off x="9144000" y="8382000"/>
          <a:ext cx="762000" cy="762000"/>
        </a:xfrm>
        <a:custGeom>
          <a:avLst/>
          <a:gdLst>
            <a:gd name="wr" fmla="*/ w 1 2"/>
            <a:gd name="hr" fmla="*/ h 1 2"/>
            <a:gd name="dx0" fmla="sin wr 0"/>
            <a:gd name="dy0" fmla="cos hr 0"/>
            <a:gd name="px0" fmla="+- hc dx0 0"/>
            <a:gd name="py0" fmla="+- vc 0 dy0"/>
            <a:gd name="dx1" fmla="sin wr 1800000"/>
            <a:gd name="dy1" fmla="cos hr 1800000"/>
            <a:gd name="px1" fmla="+- hc dx1 0"/>
            <a:gd name="py1" fmla="+- vc 0 dy1"/>
            <a:gd name="dx2" fmla="sin wr 3600000"/>
            <a:gd name="dy2" fmla="cos hr 3600000"/>
            <a:gd name="px2" fmla="+- hc dx2 0"/>
            <a:gd name="py2" fmla="+- vc 0 dy2"/>
            <a:gd name="dx3" fmla="sin wr 5400000"/>
            <a:gd name="dy3" fmla="cos hr 5400000"/>
            <a:gd name="px3" fmla="+- hc dx3 0"/>
            <a:gd name="py3" fmla="+- vc 0 dy3"/>
            <a:gd name="dx4" fmla="sin wr 7200000"/>
            <a:gd name="dy4" fmla="cos hr 7200000"/>
            <a:gd name="px4" fmla="+- hc dx4 0"/>
            <a:gd name="py4" fmla="+- vc 0 dy4"/>
            <a:gd name="dx5" fmla="sin wr 9000000"/>
            <a:gd name="dy5" fmla="cos hr 9000000"/>
            <a:gd name="px5" fmla="+- hc dx5 0"/>
            <a:gd name="py5" fmla="+- vc 0 dy5"/>
            <a:gd name="dx6" fmla="sin wr 10800000"/>
            <a:gd name="dy6" fmla="cos hr 10800000"/>
            <a:gd name="px6" fmla="+- hc dx6 0"/>
            <a:gd name="py6" fmla="+- vc 0 dy6"/>
            <a:gd name="dx7" fmla="sin wr 12600000"/>
            <a:gd name="dy7" fmla="cos hr 12600000"/>
            <a:gd name="px7" fmla="+- hc dx7 0"/>
            <a:gd name="py7" fmla="+- vc 0 dy7"/>
            <a:gd name="dx8" fmla="sin wr 14400000"/>
            <a:gd name="dy8" fmla="cos hr 14400000"/>
            <a:gd name="px8" fmla="+- hc dx8 0"/>
            <a:gd name="py8" fmla="+- vc 0 dy8"/>
            <a:gd name="dx9" fmla="sin wr 16200000"/>
            <a:gd name="dy9" fmla="cos hr 16200000"/>
            <a:gd name="px9" fmla="+- hc dx9 0"/>
            <a:gd name="py9" fmla="+- vc 0 dy9"/>
            <a:gd name="dx10" fmla="sin wr 18000000"/>
            <a:gd name="dy10" fmla="cos hr 18000000"/>
            <a:gd name="px10" fmla="+- hc dx10 0"/>
            <a:gd name="py10" fmla="+- vc 0 dy10"/>
            <a:gd name="dx11" fmla="sin wr 19800000"/>
            <a:gd name="dy11" fmla="cos hr 19800000"/>
            <a:gd name="px11" fmla="+- hc dx11 0"/>
            <a:gd name="py11" fmla="+- vc 0 dy11"/>
          </a:gdLst>
          <a:ahLst/>
          <a:cxnLst>
            <a:cxn ang="16200000">
              <a:pos x="px0" y="py0"/>
            </a:cxn>
            <a:cxn ang="16200000">
              <a:pos x="px1" y="py1"/>
            </a:cxn>
            <a:cxn ang="0">
              <a:pos x="px2" y="py2"/>
            </a:cxn>
            <a:cxn ang="0">
              <a:pos x="px3" y="py3"/>
            </a:cxn>
            <a:cxn ang="0">
              <a:pos x="px4" y="py4"/>
            </a:cxn>
            <a:cxn ang="5400000">
              <a:pos x="px5" y="py5"/>
            </a:cxn>
            <a:cxn ang="5400000">
              <a:pos x="px6" y="py6"/>
            </a:cxn>
            <a:cxn ang="5400000">
              <a:pos x="px7" y="py7"/>
            </a:cxn>
            <a:cxn ang="10800000">
              <a:pos x="px8" y="py8"/>
            </a:cxn>
            <a:cxn ang="10800000">
              <a:pos x="px9" y="py9"/>
            </a:cxn>
            <a:cxn ang="10800000">
              <a:pos x="px10" y="py10"/>
            </a:cxn>
            <a:cxn ang="16200000">
              <a:pos x="px11" y="py11"/>
            </a:cxn>
          </a:cxnLst>
          <a:rect l="l" t="t" r="r" b="b"/>
          <a:pathLst>
            <a:path>
              <a:moveTo>
                <a:pt x="l" y="vc"/>
              </a:moveTo>
              <a:arcTo wR="wr" hR="hr" stAng="10800000" swAng="21600000"/>
              <a:close/>
            </a:path>
          </a:pathLst>
        </a:custGeom>
        <a:solidFill>
          <a:srgbClr val="E3F5EF"/>
        </a:solidFill>
        <a:ln w="15875" cap="flat">
          <a:solidFill>
            <a:srgbClr val="247966"/>
          </a:solidFill>
          <a:round/>
        </a:ln>
      </xdr:spPr>
      <xdr:txBody>
        <a:bodyPr vertOverflow="overflow" horzOverflow="overflow" wrap="square" lIns="38100" tIns="19050" rIns="38100" bIns="19050" rtlCol="0" anchor="ctr">
          <a:noAutofit/>
        </a:bodyPr>
        <a:lstStyle/>
        <a:p>
          <a:pPr algn="ctr">
            <a:lnSpc>
              <a:spcPct val="95000"/>
            </a:lnSpc>
          </a:pPr>
          <a:r>
            <a:rPr lang="ja-JP" altLang="en-US" sz="850" b="1" dirty="0">
              <a:solidFill>
                <a:srgbClr val="262626"/>
              </a:solidFill>
              <a:latin typeface="Meiryo UI"/>
              <a:ea typeface="Meiryo UI"/>
              <a:cs typeface="Meiryo UI"/>
            </a:rPr>
            <a:t>利用者</a:t>
          </a:r>
          <a:endParaRPr lang="ja-JP" altLang="en-US" sz="850" dirty="0">
            <a:latin typeface="Meiryo UI"/>
            <a:ea typeface="Meiryo UI"/>
          </a:endParaRPr>
        </a:p>
      </xdr:txBody>
    </xdr:sp>
    <xdr:clientData/>
  </xdr:twoCellAnchor>
  <xdr:twoCellAnchor editAs="oneCell">
    <xdr:from>
      <xdr:col>53</xdr:col>
      <xdr:colOff>0</xdr:colOff>
      <xdr:row>44</xdr:row>
      <xdr:rowOff>0</xdr:rowOff>
    </xdr:from>
    <xdr:to>
      <xdr:col>57</xdr:col>
      <xdr:colOff>0</xdr:colOff>
      <xdr:row>48</xdr:row>
      <xdr:rowOff>0</xdr:rowOff>
    </xdr:to>
    <xdr:sp macro="" textlink="">
      <xdr:nvSpPr>
        <xdr:cNvPr id="51" name="ノード: 円柱・標準（ルートB）">
          <a:extLst>
            <a:ext uri="{FF2B5EF4-FFF2-40B4-BE49-F238E27FC236}">
              <a16:creationId xmlns:a16="http://schemas.microsoft.com/office/drawing/2014/main" id="{00000000-0008-0000-0400-000033000000}"/>
            </a:ext>
          </a:extLst>
        </xdr:cNvPr>
        <xdr:cNvSpPr/>
      </xdr:nvSpPr>
      <xdr:spPr>
        <a:xfrm>
          <a:off x="10096500" y="8382000"/>
          <a:ext cx="762000" cy="762000"/>
        </a:xfrm>
        <a:custGeom>
          <a:avLst/>
          <a:gdLst>
            <a:gd name="x1" fmla="*/ w 1 4"/>
            <a:gd name="x2" fmla="*/ w 1 2"/>
            <a:gd name="x3" fmla="*/ w 3 4"/>
            <a:gd name="y1" fmla="*/ h 1 4"/>
            <a:gd name="y2" fmla="*/ h 1 2"/>
            <a:gd name="y3" fmla="*/ h 3 4"/>
            <a:gd name="smin" fmla="min w h"/>
            <a:gd name="ry" fmla="*/ smin 1 8"/>
            <a:gd name="wr" fmla="*/ w 1 2"/>
            <a:gd name="ty" fmla="*/ ry 13397 100000"/>
            <a:gd name="by" fmla="+- b 0 ty"/>
            <a:gd name="y4" fmla="+- b 0 ry"/>
            <a:gd name="ry2" fmla="*/ ry 2 1"/>
          </a:gdLst>
          <a:ahLst/>
          <a:cxnLst>
            <a:cxn ang="16200000">
              <a:pos x="x2" y="t"/>
            </a:cxn>
            <a:cxn ang="16200000">
              <a:pos x="x3" y="ty"/>
            </a:cxn>
            <a:cxn ang="0">
              <a:pos x="r" y="y1"/>
            </a:cxn>
            <a:cxn ang="0">
              <a:pos x="r" y="y2"/>
            </a:cxn>
            <a:cxn ang="0">
              <a:pos x="r" y="y3"/>
            </a:cxn>
            <a:cxn ang="5400000">
              <a:pos x="x3" y="by"/>
            </a:cxn>
            <a:cxn ang="5400000">
              <a:pos x="x2" y="b"/>
            </a:cxn>
            <a:cxn ang="5400000">
              <a:pos x="x1" y="by"/>
            </a:cxn>
            <a:cxn ang="10800000">
              <a:pos x="l" y="y3"/>
            </a:cxn>
            <a:cxn ang="10800000">
              <a:pos x="l" y="y2"/>
            </a:cxn>
            <a:cxn ang="10800000">
              <a:pos x="l" y="y1"/>
            </a:cxn>
            <a:cxn ang="16200000">
              <a:pos x="x1" y="ty"/>
            </a:cxn>
          </a:cxnLst>
          <a:rect l="l" t="t" r="r" b="b"/>
          <a:pathLst>
            <a:path stroke="0" extrusionOk="0">
              <a:moveTo>
                <a:pt x="l" y="ry"/>
              </a:moveTo>
              <a:arcTo wR="wr" hR="ry" stAng="10800000" swAng="-10800000"/>
              <a:lnTo>
                <a:pt x="r" y="y4"/>
              </a:lnTo>
              <a:arcTo wR="wr" hR="ry" stAng="0" swAng="10800000"/>
              <a:close/>
            </a:path>
            <a:path fill="lighten" stroke="0" extrusionOk="0">
              <a:moveTo>
                <a:pt x="l" y="ry"/>
              </a:moveTo>
              <a:arcTo wR="wr" hR="ry" stAng="10800000" swAng="10800000"/>
              <a:arcTo wR="wr" hR="ry" stAng="0" swAng="10800000"/>
              <a:close/>
            </a:path>
            <a:path fill="none" extrusionOk="0">
              <a:moveTo>
                <a:pt x="r" y="ry"/>
              </a:moveTo>
              <a:arcTo wR="wr" hR="ry" stAng="0" swAng="10800000"/>
              <a:arcTo wR="wr" hR="ry" stAng="10800000" swAng="10800000"/>
              <a:lnTo>
                <a:pt x="r" y="y4"/>
              </a:lnTo>
              <a:arcTo wR="wr" hR="ry" stAng="0" swAng="10800000"/>
              <a:lnTo>
                <a:pt x="l" y="ry"/>
              </a:lnTo>
            </a:path>
          </a:pathLst>
        </a:custGeom>
        <a:solidFill>
          <a:srgbClr val="E3F5EF"/>
        </a:solidFill>
        <a:ln w="15875" cap="flat">
          <a:solidFill>
            <a:srgbClr val="247966"/>
          </a:solidFill>
          <a:round/>
        </a:ln>
      </xdr:spPr>
      <xdr:txBody>
        <a:bodyPr vertOverflow="overflow" horzOverflow="overflow" wrap="square" lIns="25400" tIns="76200" rIns="25400" bIns="25400" rtlCol="0" anchor="ctr">
          <a:noAutofit/>
        </a:bodyPr>
        <a:lstStyle/>
        <a:p>
          <a:pPr algn="ctr">
            <a:lnSpc>
              <a:spcPct val="95000"/>
            </a:lnSpc>
          </a:pPr>
          <a:r>
            <a:rPr lang="ja-JP" altLang="en-US" sz="850" b="1" dirty="0">
              <a:solidFill>
                <a:srgbClr val="262626"/>
              </a:solidFill>
              <a:latin typeface="Meiryo UI"/>
              <a:ea typeface="Meiryo UI"/>
              <a:cs typeface="Meiryo UI"/>
            </a:rPr>
            <a:t>DB</a:t>
          </a:r>
          <a:endParaRPr lang="ja-JP" altLang="en-US" sz="850" dirty="0">
            <a:latin typeface="Meiryo UI"/>
            <a:ea typeface="Meiryo UI"/>
          </a:endParaRPr>
        </a:p>
        <a:p>
          <a:pPr algn="ctr">
            <a:lnSpc>
              <a:spcPct val="95000"/>
            </a:lnSpc>
            <a:spcBef>
              <a:spcPts val="50"/>
            </a:spcBef>
          </a:pPr>
          <a:r>
            <a:rPr lang="ja-JP" altLang="en-US" sz="700" b="0" dirty="0">
              <a:solidFill>
                <a:srgbClr val="595959"/>
              </a:solidFill>
              <a:latin typeface="Meiryo UI"/>
              <a:ea typeface="Meiryo UI"/>
              <a:cs typeface="Meiryo UI"/>
            </a:rPr>
            <a:t>ストレージ</a:t>
          </a:r>
          <a:endParaRPr lang="ja-JP" altLang="en-US" sz="700" dirty="0">
            <a:latin typeface="Meiryo UI"/>
            <a:ea typeface="Meiryo UI"/>
          </a:endParaRPr>
        </a:p>
      </xdr:txBody>
    </xdr:sp>
    <xdr:clientData/>
  </xdr:twoCellAnchor>
  <xdr:twoCellAnchor editAs="oneCell">
    <xdr:from>
      <xdr:col>59</xdr:col>
      <xdr:colOff>0</xdr:colOff>
      <xdr:row>44</xdr:row>
      <xdr:rowOff>0</xdr:rowOff>
    </xdr:from>
    <xdr:to>
      <xdr:col>63</xdr:col>
      <xdr:colOff>0</xdr:colOff>
      <xdr:row>48</xdr:row>
      <xdr:rowOff>0</xdr:rowOff>
    </xdr:to>
    <xdr:sp macro="" textlink="">
      <xdr:nvSpPr>
        <xdr:cNvPr id="52" name="ノード: 角丸・標準（ルートC）">
          <a:extLst>
            <a:ext uri="{FF2B5EF4-FFF2-40B4-BE49-F238E27FC236}">
              <a16:creationId xmlns:a16="http://schemas.microsoft.com/office/drawing/2014/main" id="{00000000-0008-0000-0400-000034000000}"/>
            </a:ext>
          </a:extLst>
        </xdr:cNvPr>
        <xdr:cNvSpPr/>
      </xdr:nvSpPr>
      <xdr:spPr>
        <a:xfrm>
          <a:off x="11239500" y="8382000"/>
          <a:ext cx="762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FDECE4"/>
        </a:solidFill>
        <a:ln w="15875" cap="flat">
          <a:solidFill>
            <a:srgbClr val="C46B39"/>
          </a:solidFill>
          <a:round/>
        </a:ln>
      </xdr:spPr>
      <xdr:txBody>
        <a:bodyPr vertOverflow="overflow" horzOverflow="overflow" wrap="square" lIns="38100" tIns="19050" rIns="38100" bIns="19050" rtlCol="0" anchor="ctr">
          <a:noAutofit/>
        </a:bodyPr>
        <a:lstStyle/>
        <a:p>
          <a:pPr algn="ctr">
            <a:lnSpc>
              <a:spcPct val="95000"/>
            </a:lnSpc>
          </a:pPr>
          <a:r>
            <a:rPr lang="ja-JP" altLang="en-US" sz="850" b="1" dirty="0">
              <a:solidFill>
                <a:srgbClr val="262626"/>
              </a:solidFill>
              <a:latin typeface="Meiryo UI"/>
              <a:ea typeface="Meiryo UI"/>
              <a:cs typeface="Meiryo UI"/>
            </a:rPr>
            <a:t>小ノード</a:t>
          </a:r>
          <a:endParaRPr lang="ja-JP" altLang="en-US" sz="850" dirty="0">
            <a:latin typeface="Meiryo UI"/>
            <a:ea typeface="Meiryo UI"/>
          </a:endParaRPr>
        </a:p>
      </xdr:txBody>
    </xdr:sp>
    <xdr:clientData/>
  </xdr:twoCellAnchor>
  <xdr:twoCellAnchor editAs="oneCell">
    <xdr:from>
      <xdr:col>64</xdr:col>
      <xdr:colOff>0</xdr:colOff>
      <xdr:row>44</xdr:row>
      <xdr:rowOff>0</xdr:rowOff>
    </xdr:from>
    <xdr:to>
      <xdr:col>68</xdr:col>
      <xdr:colOff>0</xdr:colOff>
      <xdr:row>48</xdr:row>
      <xdr:rowOff>0</xdr:rowOff>
    </xdr:to>
    <xdr:sp macro="" textlink="">
      <xdr:nvSpPr>
        <xdr:cNvPr id="53" name="ノード: 円・標準（ルートC）">
          <a:extLst>
            <a:ext uri="{FF2B5EF4-FFF2-40B4-BE49-F238E27FC236}">
              <a16:creationId xmlns:a16="http://schemas.microsoft.com/office/drawing/2014/main" id="{00000000-0008-0000-0400-000035000000}"/>
            </a:ext>
          </a:extLst>
        </xdr:cNvPr>
        <xdr:cNvSpPr/>
      </xdr:nvSpPr>
      <xdr:spPr>
        <a:xfrm>
          <a:off x="12192000" y="8382000"/>
          <a:ext cx="762000" cy="762000"/>
        </a:xfrm>
        <a:custGeom>
          <a:avLst/>
          <a:gdLst>
            <a:gd name="wr" fmla="*/ w 1 2"/>
            <a:gd name="hr" fmla="*/ h 1 2"/>
            <a:gd name="dx0" fmla="sin wr 0"/>
            <a:gd name="dy0" fmla="cos hr 0"/>
            <a:gd name="px0" fmla="+- hc dx0 0"/>
            <a:gd name="py0" fmla="+- vc 0 dy0"/>
            <a:gd name="dx1" fmla="sin wr 1800000"/>
            <a:gd name="dy1" fmla="cos hr 1800000"/>
            <a:gd name="px1" fmla="+- hc dx1 0"/>
            <a:gd name="py1" fmla="+- vc 0 dy1"/>
            <a:gd name="dx2" fmla="sin wr 3600000"/>
            <a:gd name="dy2" fmla="cos hr 3600000"/>
            <a:gd name="px2" fmla="+- hc dx2 0"/>
            <a:gd name="py2" fmla="+- vc 0 dy2"/>
            <a:gd name="dx3" fmla="sin wr 5400000"/>
            <a:gd name="dy3" fmla="cos hr 5400000"/>
            <a:gd name="px3" fmla="+- hc dx3 0"/>
            <a:gd name="py3" fmla="+- vc 0 dy3"/>
            <a:gd name="dx4" fmla="sin wr 7200000"/>
            <a:gd name="dy4" fmla="cos hr 7200000"/>
            <a:gd name="px4" fmla="+- hc dx4 0"/>
            <a:gd name="py4" fmla="+- vc 0 dy4"/>
            <a:gd name="dx5" fmla="sin wr 9000000"/>
            <a:gd name="dy5" fmla="cos hr 9000000"/>
            <a:gd name="px5" fmla="+- hc dx5 0"/>
            <a:gd name="py5" fmla="+- vc 0 dy5"/>
            <a:gd name="dx6" fmla="sin wr 10800000"/>
            <a:gd name="dy6" fmla="cos hr 10800000"/>
            <a:gd name="px6" fmla="+- hc dx6 0"/>
            <a:gd name="py6" fmla="+- vc 0 dy6"/>
            <a:gd name="dx7" fmla="sin wr 12600000"/>
            <a:gd name="dy7" fmla="cos hr 12600000"/>
            <a:gd name="px7" fmla="+- hc dx7 0"/>
            <a:gd name="py7" fmla="+- vc 0 dy7"/>
            <a:gd name="dx8" fmla="sin wr 14400000"/>
            <a:gd name="dy8" fmla="cos hr 14400000"/>
            <a:gd name="px8" fmla="+- hc dx8 0"/>
            <a:gd name="py8" fmla="+- vc 0 dy8"/>
            <a:gd name="dx9" fmla="sin wr 16200000"/>
            <a:gd name="dy9" fmla="cos hr 16200000"/>
            <a:gd name="px9" fmla="+- hc dx9 0"/>
            <a:gd name="py9" fmla="+- vc 0 dy9"/>
            <a:gd name="dx10" fmla="sin wr 18000000"/>
            <a:gd name="dy10" fmla="cos hr 18000000"/>
            <a:gd name="px10" fmla="+- hc dx10 0"/>
            <a:gd name="py10" fmla="+- vc 0 dy10"/>
            <a:gd name="dx11" fmla="sin wr 19800000"/>
            <a:gd name="dy11" fmla="cos hr 19800000"/>
            <a:gd name="px11" fmla="+- hc dx11 0"/>
            <a:gd name="py11" fmla="+- vc 0 dy11"/>
          </a:gdLst>
          <a:ahLst/>
          <a:cxnLst>
            <a:cxn ang="16200000">
              <a:pos x="px0" y="py0"/>
            </a:cxn>
            <a:cxn ang="16200000">
              <a:pos x="px1" y="py1"/>
            </a:cxn>
            <a:cxn ang="0">
              <a:pos x="px2" y="py2"/>
            </a:cxn>
            <a:cxn ang="0">
              <a:pos x="px3" y="py3"/>
            </a:cxn>
            <a:cxn ang="0">
              <a:pos x="px4" y="py4"/>
            </a:cxn>
            <a:cxn ang="5400000">
              <a:pos x="px5" y="py5"/>
            </a:cxn>
            <a:cxn ang="5400000">
              <a:pos x="px6" y="py6"/>
            </a:cxn>
            <a:cxn ang="5400000">
              <a:pos x="px7" y="py7"/>
            </a:cxn>
            <a:cxn ang="10800000">
              <a:pos x="px8" y="py8"/>
            </a:cxn>
            <a:cxn ang="10800000">
              <a:pos x="px9" y="py9"/>
            </a:cxn>
            <a:cxn ang="10800000">
              <a:pos x="px10" y="py10"/>
            </a:cxn>
            <a:cxn ang="16200000">
              <a:pos x="px11" y="py11"/>
            </a:cxn>
          </a:cxnLst>
          <a:rect l="l" t="t" r="r" b="b"/>
          <a:pathLst>
            <a:path>
              <a:moveTo>
                <a:pt x="l" y="vc"/>
              </a:moveTo>
              <a:arcTo wR="wr" hR="hr" stAng="10800000" swAng="21600000"/>
              <a:close/>
            </a:path>
          </a:pathLst>
        </a:custGeom>
        <a:solidFill>
          <a:srgbClr val="FDECE4"/>
        </a:solidFill>
        <a:ln w="15875" cap="flat">
          <a:solidFill>
            <a:srgbClr val="C46B39"/>
          </a:solidFill>
          <a:round/>
        </a:ln>
      </xdr:spPr>
      <xdr:txBody>
        <a:bodyPr vertOverflow="overflow" horzOverflow="overflow" wrap="square" lIns="38100" tIns="19050" rIns="38100" bIns="19050" rtlCol="0" anchor="ctr">
          <a:noAutofit/>
        </a:bodyPr>
        <a:lstStyle/>
        <a:p>
          <a:pPr algn="ctr">
            <a:lnSpc>
              <a:spcPct val="95000"/>
            </a:lnSpc>
          </a:pPr>
          <a:r>
            <a:rPr lang="ja-JP" altLang="en-US" sz="850" b="1" dirty="0">
              <a:solidFill>
                <a:srgbClr val="262626"/>
              </a:solidFill>
              <a:latin typeface="Meiryo UI"/>
              <a:ea typeface="Meiryo UI"/>
              <a:cs typeface="Meiryo UI"/>
            </a:rPr>
            <a:t>利用者</a:t>
          </a:r>
          <a:endParaRPr lang="ja-JP" altLang="en-US" sz="850" dirty="0">
            <a:latin typeface="Meiryo UI"/>
            <a:ea typeface="Meiryo UI"/>
          </a:endParaRPr>
        </a:p>
      </xdr:txBody>
    </xdr:sp>
    <xdr:clientData/>
  </xdr:twoCellAnchor>
  <xdr:twoCellAnchor editAs="oneCell">
    <xdr:from>
      <xdr:col>69</xdr:col>
      <xdr:colOff>0</xdr:colOff>
      <xdr:row>44</xdr:row>
      <xdr:rowOff>0</xdr:rowOff>
    </xdr:from>
    <xdr:to>
      <xdr:col>73</xdr:col>
      <xdr:colOff>0</xdr:colOff>
      <xdr:row>48</xdr:row>
      <xdr:rowOff>0</xdr:rowOff>
    </xdr:to>
    <xdr:sp macro="" textlink="">
      <xdr:nvSpPr>
        <xdr:cNvPr id="54" name="ノード: 円柱・標準（ルートC）">
          <a:extLst>
            <a:ext uri="{FF2B5EF4-FFF2-40B4-BE49-F238E27FC236}">
              <a16:creationId xmlns:a16="http://schemas.microsoft.com/office/drawing/2014/main" id="{00000000-0008-0000-0400-000036000000}"/>
            </a:ext>
          </a:extLst>
        </xdr:cNvPr>
        <xdr:cNvSpPr/>
      </xdr:nvSpPr>
      <xdr:spPr>
        <a:xfrm>
          <a:off x="13144500" y="8382000"/>
          <a:ext cx="762000" cy="762000"/>
        </a:xfrm>
        <a:custGeom>
          <a:avLst/>
          <a:gdLst>
            <a:gd name="x1" fmla="*/ w 1 4"/>
            <a:gd name="x2" fmla="*/ w 1 2"/>
            <a:gd name="x3" fmla="*/ w 3 4"/>
            <a:gd name="y1" fmla="*/ h 1 4"/>
            <a:gd name="y2" fmla="*/ h 1 2"/>
            <a:gd name="y3" fmla="*/ h 3 4"/>
            <a:gd name="smin" fmla="min w h"/>
            <a:gd name="ry" fmla="*/ smin 1 8"/>
            <a:gd name="wr" fmla="*/ w 1 2"/>
            <a:gd name="ty" fmla="*/ ry 13397 100000"/>
            <a:gd name="by" fmla="+- b 0 ty"/>
            <a:gd name="y4" fmla="+- b 0 ry"/>
            <a:gd name="ry2" fmla="*/ ry 2 1"/>
          </a:gdLst>
          <a:ahLst/>
          <a:cxnLst>
            <a:cxn ang="16200000">
              <a:pos x="x2" y="t"/>
            </a:cxn>
            <a:cxn ang="16200000">
              <a:pos x="x3" y="ty"/>
            </a:cxn>
            <a:cxn ang="0">
              <a:pos x="r" y="y1"/>
            </a:cxn>
            <a:cxn ang="0">
              <a:pos x="r" y="y2"/>
            </a:cxn>
            <a:cxn ang="0">
              <a:pos x="r" y="y3"/>
            </a:cxn>
            <a:cxn ang="5400000">
              <a:pos x="x3" y="by"/>
            </a:cxn>
            <a:cxn ang="5400000">
              <a:pos x="x2" y="b"/>
            </a:cxn>
            <a:cxn ang="5400000">
              <a:pos x="x1" y="by"/>
            </a:cxn>
            <a:cxn ang="10800000">
              <a:pos x="l" y="y3"/>
            </a:cxn>
            <a:cxn ang="10800000">
              <a:pos x="l" y="y2"/>
            </a:cxn>
            <a:cxn ang="10800000">
              <a:pos x="l" y="y1"/>
            </a:cxn>
            <a:cxn ang="16200000">
              <a:pos x="x1" y="ty"/>
            </a:cxn>
          </a:cxnLst>
          <a:rect l="l" t="t" r="r" b="b"/>
          <a:pathLst>
            <a:path stroke="0" extrusionOk="0">
              <a:moveTo>
                <a:pt x="l" y="ry"/>
              </a:moveTo>
              <a:arcTo wR="wr" hR="ry" stAng="10800000" swAng="-10800000"/>
              <a:lnTo>
                <a:pt x="r" y="y4"/>
              </a:lnTo>
              <a:arcTo wR="wr" hR="ry" stAng="0" swAng="10800000"/>
              <a:close/>
            </a:path>
            <a:path fill="lighten" stroke="0" extrusionOk="0">
              <a:moveTo>
                <a:pt x="l" y="ry"/>
              </a:moveTo>
              <a:arcTo wR="wr" hR="ry" stAng="10800000" swAng="10800000"/>
              <a:arcTo wR="wr" hR="ry" stAng="0" swAng="10800000"/>
              <a:close/>
            </a:path>
            <a:path fill="none" extrusionOk="0">
              <a:moveTo>
                <a:pt x="r" y="ry"/>
              </a:moveTo>
              <a:arcTo wR="wr" hR="ry" stAng="0" swAng="10800000"/>
              <a:arcTo wR="wr" hR="ry" stAng="10800000" swAng="10800000"/>
              <a:lnTo>
                <a:pt x="r" y="y4"/>
              </a:lnTo>
              <a:arcTo wR="wr" hR="ry" stAng="0" swAng="10800000"/>
              <a:lnTo>
                <a:pt x="l" y="ry"/>
              </a:lnTo>
            </a:path>
          </a:pathLst>
        </a:custGeom>
        <a:solidFill>
          <a:srgbClr val="FDECE4"/>
        </a:solidFill>
        <a:ln w="15875" cap="flat">
          <a:solidFill>
            <a:srgbClr val="C46B39"/>
          </a:solidFill>
          <a:round/>
        </a:ln>
      </xdr:spPr>
      <xdr:txBody>
        <a:bodyPr vertOverflow="overflow" horzOverflow="overflow" wrap="square" lIns="25400" tIns="76200" rIns="25400" bIns="25400" rtlCol="0" anchor="ctr">
          <a:noAutofit/>
        </a:bodyPr>
        <a:lstStyle/>
        <a:p>
          <a:pPr algn="ctr">
            <a:lnSpc>
              <a:spcPct val="95000"/>
            </a:lnSpc>
          </a:pPr>
          <a:r>
            <a:rPr lang="ja-JP" altLang="en-US" sz="850" b="1" dirty="0">
              <a:solidFill>
                <a:srgbClr val="262626"/>
              </a:solidFill>
              <a:latin typeface="Meiryo UI"/>
              <a:ea typeface="Meiryo UI"/>
              <a:cs typeface="Meiryo UI"/>
            </a:rPr>
            <a:t>DB</a:t>
          </a:r>
          <a:endParaRPr lang="ja-JP" altLang="en-US" sz="850" dirty="0">
            <a:latin typeface="Meiryo UI"/>
            <a:ea typeface="Meiryo UI"/>
          </a:endParaRPr>
        </a:p>
        <a:p>
          <a:pPr algn="ctr">
            <a:lnSpc>
              <a:spcPct val="95000"/>
            </a:lnSpc>
            <a:spcBef>
              <a:spcPts val="50"/>
            </a:spcBef>
          </a:pPr>
          <a:r>
            <a:rPr lang="ja-JP" altLang="en-US" sz="700" b="0" dirty="0">
              <a:solidFill>
                <a:srgbClr val="595959"/>
              </a:solidFill>
              <a:latin typeface="Meiryo UI"/>
              <a:ea typeface="Meiryo UI"/>
              <a:cs typeface="Meiryo UI"/>
            </a:rPr>
            <a:t>ストレージ</a:t>
          </a:r>
          <a:endParaRPr lang="ja-JP" altLang="en-US" sz="700" dirty="0">
            <a:latin typeface="Meiryo UI"/>
            <a:ea typeface="Meiryo UI"/>
          </a:endParaRPr>
        </a:p>
      </xdr:txBody>
    </xdr:sp>
    <xdr:clientData/>
  </xdr:twoCellAnchor>
  <xdr:twoCellAnchor editAs="oneCell">
    <xdr:from>
      <xdr:col>11</xdr:col>
      <xdr:colOff>0</xdr:colOff>
      <xdr:row>50</xdr:row>
      <xdr:rowOff>0</xdr:rowOff>
    </xdr:from>
    <xdr:to>
      <xdr:col>19</xdr:col>
      <xdr:colOff>0</xdr:colOff>
      <xdr:row>54</xdr:row>
      <xdr:rowOff>0</xdr:rowOff>
    </xdr:to>
    <xdr:sp macro="" textlink="">
      <xdr:nvSpPr>
        <xdr:cNvPr id="55" name="ノード: カプセル・標準（共通）">
          <a:extLst>
            <a:ext uri="{FF2B5EF4-FFF2-40B4-BE49-F238E27FC236}">
              <a16:creationId xmlns:a16="http://schemas.microsoft.com/office/drawing/2014/main" id="{00000000-0008-0000-0400-000037000000}"/>
            </a:ext>
          </a:extLst>
        </xdr:cNvPr>
        <xdr:cNvSpPr/>
      </xdr:nvSpPr>
      <xdr:spPr>
        <a:xfrm>
          <a:off x="2095500" y="9525000"/>
          <a:ext cx="1524000" cy="762000"/>
        </a:xfrm>
        <a:custGeom>
          <a:avLst/>
          <a:gdLst>
            <a:gd name="x1" fmla="*/ w 1 4"/>
            <a:gd name="x2" fmla="*/ w 1 2"/>
            <a:gd name="x3" fmla="*/ w 3 4"/>
            <a:gd name="y1" fmla="*/ h 1 4"/>
            <a:gd name="y2" fmla="*/ h 1 2"/>
            <a:gd name="y3" fmla="*/ h 3 4"/>
            <a:gd name="smin" fmla="min w h"/>
            <a:gd name="rr" fmla="*/ smin 1 2"/>
            <a:gd name="rx" fmla="+- r 0 rr"/>
            <a:gd name="k" fmla="*/ rr 13397 100000"/>
            <a:gd name="rk" fmla="+- r 0 k"/>
          </a:gdLst>
          <a:ahLst/>
          <a:cxnLst>
            <a:cxn ang="16200000">
              <a:pos x="x2" y="t"/>
            </a:cxn>
            <a:cxn ang="16200000">
              <a:pos x="x3" y="t"/>
            </a:cxn>
            <a:cxn ang="0">
              <a:pos x="rk" y="y1"/>
            </a:cxn>
            <a:cxn ang="0">
              <a:pos x="r" y="y2"/>
            </a:cxn>
            <a:cxn ang="0">
              <a:pos x="rk" y="y3"/>
            </a:cxn>
            <a:cxn ang="5400000">
              <a:pos x="x3" y="b"/>
            </a:cxn>
            <a:cxn ang="5400000">
              <a:pos x="x2" y="b"/>
            </a:cxn>
            <a:cxn ang="5400000">
              <a:pos x="x1" y="b"/>
            </a:cxn>
            <a:cxn ang="10800000">
              <a:pos x="k" y="y3"/>
            </a:cxn>
            <a:cxn ang="10800000">
              <a:pos x="l" y="y2"/>
            </a:cxn>
            <a:cxn ang="10800000">
              <a:pos x="k" y="y1"/>
            </a:cxn>
            <a:cxn ang="16200000">
              <a:pos x="x1" y="t"/>
            </a:cxn>
          </a:cxnLst>
          <a:rect l="l" t="t" r="r" b="b"/>
          <a:pathLst>
            <a:path>
              <a:moveTo>
                <a:pt x="rr" y="t"/>
              </a:moveTo>
              <a:lnTo>
                <a:pt x="rx" y="t"/>
              </a:lnTo>
              <a:arcTo wR="rr" hR="rr" stAng="16200000" swAng="10800000"/>
              <a:lnTo>
                <a:pt x="rr" y="b"/>
              </a:lnTo>
              <a:arcTo wR="rr" hR="rr" stAng="5400000" swAng="10800000"/>
              <a:close/>
            </a:path>
          </a:pathLst>
        </a:custGeom>
        <a:solidFill>
          <a:srgbClr val="FFFFFF"/>
        </a:solidFill>
        <a:ln w="12700" cap="flat">
          <a:solidFill>
            <a:srgbClr val="404040"/>
          </a:solidFill>
          <a:round/>
        </a:ln>
      </xdr:spPr>
      <xdr:txBody>
        <a:bodyPr vertOverflow="overflow" horzOverflow="overflow" wrap="square" lIns="101600" tIns="12700" rIns="101600" bIns="12700" rtlCol="0" anchor="ctr">
          <a:noAutofit/>
        </a:bodyPr>
        <a:lstStyle/>
        <a:p>
          <a:pPr algn="ctr">
            <a:lnSpc>
              <a:spcPct val="95000"/>
            </a:lnSpc>
          </a:pPr>
          <a:r>
            <a:rPr lang="ja-JP" altLang="en-US" sz="950" b="1" dirty="0">
              <a:solidFill>
                <a:srgbClr val="262626"/>
              </a:solidFill>
              <a:latin typeface="Meiryo UI"/>
              <a:ea typeface="Meiryo UI"/>
              <a:cs typeface="Meiryo UI"/>
            </a:rPr>
            <a:t>API・キュー</a:t>
          </a:r>
          <a:endParaRPr lang="ja-JP" altLang="en-US" sz="950" dirty="0">
            <a:latin typeface="Meiryo UI"/>
            <a:ea typeface="Meiryo UI"/>
          </a:endParaRPr>
        </a:p>
        <a:p>
          <a:pPr algn="ctr">
            <a:lnSpc>
              <a:spcPct val="95000"/>
            </a:lnSpc>
            <a:spcBef>
              <a:spcPts val="50"/>
            </a:spcBef>
          </a:pPr>
          <a:r>
            <a:rPr lang="ja-JP" altLang="en-US" sz="750" b="0" dirty="0">
              <a:solidFill>
                <a:srgbClr val="595959"/>
              </a:solidFill>
              <a:latin typeface="Meiryo UI"/>
              <a:ea typeface="Meiryo UI"/>
              <a:cs typeface="Meiryo UI"/>
            </a:rPr>
            <a:t>イベント</a:t>
          </a:r>
          <a:endParaRPr lang="ja-JP" altLang="en-US" sz="750" dirty="0">
            <a:latin typeface="Meiryo UI"/>
            <a:ea typeface="Meiryo UI"/>
          </a:endParaRPr>
        </a:p>
      </xdr:txBody>
    </xdr:sp>
    <xdr:clientData/>
  </xdr:twoCellAnchor>
  <xdr:twoCellAnchor editAs="oneCell">
    <xdr:from>
      <xdr:col>21</xdr:col>
      <xdr:colOff>0</xdr:colOff>
      <xdr:row>50</xdr:row>
      <xdr:rowOff>0</xdr:rowOff>
    </xdr:from>
    <xdr:to>
      <xdr:col>25</xdr:col>
      <xdr:colOff>0</xdr:colOff>
      <xdr:row>54</xdr:row>
      <xdr:rowOff>0</xdr:rowOff>
    </xdr:to>
    <xdr:sp macro="" textlink="">
      <xdr:nvSpPr>
        <xdr:cNvPr id="56" name="ノード: ファイル・標準（共通）">
          <a:extLst>
            <a:ext uri="{FF2B5EF4-FFF2-40B4-BE49-F238E27FC236}">
              <a16:creationId xmlns:a16="http://schemas.microsoft.com/office/drawing/2014/main" id="{00000000-0008-0000-0400-000038000000}"/>
            </a:ext>
          </a:extLst>
        </xdr:cNvPr>
        <xdr:cNvSpPr/>
      </xdr:nvSpPr>
      <xdr:spPr>
        <a:xfrm>
          <a:off x="4000500" y="9525000"/>
          <a:ext cx="762000" cy="762000"/>
        </a:xfrm>
        <a:custGeom>
          <a:avLst/>
          <a:gdLst>
            <a:gd name="x1" fmla="*/ w 1 4"/>
            <a:gd name="x2" fmla="*/ w 1 2"/>
            <a:gd name="x3" fmla="*/ w 3 4"/>
            <a:gd name="y1" fmla="*/ h 1 4"/>
            <a:gd name="y2" fmla="*/ h 1 2"/>
            <a:gd name="y3" fmla="*/ h 3 4"/>
            <a:gd name="smin" fmla="min w h"/>
            <a:gd name="fq" fmla="*/ smin 1 4"/>
            <a:gd name="f" fmla="min 127000 fq"/>
            <a:gd name="fx" fmla="+- r 0 f"/>
            <a:gd name="fy" fmla="+- t f 0"/>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fx" y="t"/>
              </a:lnTo>
              <a:lnTo>
                <a:pt x="r" y="fy"/>
              </a:lnTo>
              <a:lnTo>
                <a:pt x="r" y="b"/>
              </a:lnTo>
              <a:lnTo>
                <a:pt x="l" y="b"/>
              </a:lnTo>
              <a:close/>
            </a:path>
            <a:path fill="darkenLess" extrusionOk="0">
              <a:moveTo>
                <a:pt x="fx" y="t"/>
              </a:moveTo>
              <a:lnTo>
                <a:pt x="fx" y="fy"/>
              </a:lnTo>
              <a:lnTo>
                <a:pt x="r" y="fy"/>
              </a:lnTo>
              <a:close/>
            </a:path>
          </a:pathLst>
        </a:custGeom>
        <a:solidFill>
          <a:srgbClr val="FFFFFF"/>
        </a:solidFill>
        <a:ln w="12700" cap="flat">
          <a:solidFill>
            <a:srgbClr val="404040"/>
          </a:solidFill>
          <a:round/>
        </a:ln>
      </xdr:spPr>
      <xdr:txBody>
        <a:bodyPr vertOverflow="overflow" horzOverflow="overflow" wrap="square" lIns="25400" tIns="50800" rIns="50800" bIns="25400" rtlCol="0" anchor="ctr">
          <a:noAutofit/>
        </a:bodyPr>
        <a:lstStyle/>
        <a:p>
          <a:pPr algn="ctr">
            <a:lnSpc>
              <a:spcPct val="95000"/>
            </a:lnSpc>
          </a:pPr>
          <a:r>
            <a:rPr lang="ja-JP" altLang="en-US" sz="850" b="1" dirty="0">
              <a:solidFill>
                <a:srgbClr val="262626"/>
              </a:solidFill>
              <a:latin typeface="Meiryo UI"/>
              <a:ea typeface="Meiryo UI"/>
              <a:cs typeface="Meiryo UI"/>
            </a:rPr>
            <a:t>ファイル</a:t>
          </a:r>
          <a:endParaRPr lang="ja-JP" altLang="en-US" sz="850" dirty="0">
            <a:latin typeface="Meiryo UI"/>
            <a:ea typeface="Meiryo UI"/>
          </a:endParaRPr>
        </a:p>
        <a:p>
          <a:pPr algn="ctr">
            <a:lnSpc>
              <a:spcPct val="95000"/>
            </a:lnSpc>
            <a:spcBef>
              <a:spcPts val="50"/>
            </a:spcBef>
          </a:pPr>
          <a:r>
            <a:rPr lang="ja-JP" altLang="en-US" sz="700" b="0" dirty="0">
              <a:solidFill>
                <a:srgbClr val="595959"/>
              </a:solidFill>
              <a:latin typeface="Meiryo UI"/>
              <a:ea typeface="Meiryo UI"/>
              <a:cs typeface="Meiryo UI"/>
            </a:rPr>
            <a:t>CSV</a:t>
          </a:r>
          <a:endParaRPr lang="ja-JP" altLang="en-US" sz="700" dirty="0">
            <a:latin typeface="Meiryo UI"/>
            <a:ea typeface="Meiryo UI"/>
          </a:endParaRPr>
        </a:p>
      </xdr:txBody>
    </xdr:sp>
    <xdr:clientData/>
  </xdr:twoCellAnchor>
  <xdr:twoCellAnchor editAs="oneCell">
    <xdr:from>
      <xdr:col>27</xdr:col>
      <xdr:colOff>0</xdr:colOff>
      <xdr:row>50</xdr:row>
      <xdr:rowOff>0</xdr:rowOff>
    </xdr:from>
    <xdr:to>
      <xdr:col>35</xdr:col>
      <xdr:colOff>0</xdr:colOff>
      <xdr:row>54</xdr:row>
      <xdr:rowOff>0</xdr:rowOff>
    </xdr:to>
    <xdr:sp macro="" textlink="">
      <xdr:nvSpPr>
        <xdr:cNvPr id="57" name="ノード: カプセル・標準（ルートA）">
          <a:extLst>
            <a:ext uri="{FF2B5EF4-FFF2-40B4-BE49-F238E27FC236}">
              <a16:creationId xmlns:a16="http://schemas.microsoft.com/office/drawing/2014/main" id="{00000000-0008-0000-0400-000039000000}"/>
            </a:ext>
          </a:extLst>
        </xdr:cNvPr>
        <xdr:cNvSpPr/>
      </xdr:nvSpPr>
      <xdr:spPr>
        <a:xfrm>
          <a:off x="5143500" y="9525000"/>
          <a:ext cx="1524000" cy="762000"/>
        </a:xfrm>
        <a:custGeom>
          <a:avLst/>
          <a:gdLst>
            <a:gd name="x1" fmla="*/ w 1 4"/>
            <a:gd name="x2" fmla="*/ w 1 2"/>
            <a:gd name="x3" fmla="*/ w 3 4"/>
            <a:gd name="y1" fmla="*/ h 1 4"/>
            <a:gd name="y2" fmla="*/ h 1 2"/>
            <a:gd name="y3" fmla="*/ h 3 4"/>
            <a:gd name="smin" fmla="min w h"/>
            <a:gd name="rr" fmla="*/ smin 1 2"/>
            <a:gd name="rx" fmla="+- r 0 rr"/>
            <a:gd name="k" fmla="*/ rr 13397 100000"/>
            <a:gd name="rk" fmla="+- r 0 k"/>
          </a:gdLst>
          <a:ahLst/>
          <a:cxnLst>
            <a:cxn ang="16200000">
              <a:pos x="x2" y="t"/>
            </a:cxn>
            <a:cxn ang="16200000">
              <a:pos x="x3" y="t"/>
            </a:cxn>
            <a:cxn ang="0">
              <a:pos x="rk" y="y1"/>
            </a:cxn>
            <a:cxn ang="0">
              <a:pos x="r" y="y2"/>
            </a:cxn>
            <a:cxn ang="0">
              <a:pos x="rk" y="y3"/>
            </a:cxn>
            <a:cxn ang="5400000">
              <a:pos x="x3" y="b"/>
            </a:cxn>
            <a:cxn ang="5400000">
              <a:pos x="x2" y="b"/>
            </a:cxn>
            <a:cxn ang="5400000">
              <a:pos x="x1" y="b"/>
            </a:cxn>
            <a:cxn ang="10800000">
              <a:pos x="k" y="y3"/>
            </a:cxn>
            <a:cxn ang="10800000">
              <a:pos x="l" y="y2"/>
            </a:cxn>
            <a:cxn ang="10800000">
              <a:pos x="k" y="y1"/>
            </a:cxn>
            <a:cxn ang="16200000">
              <a:pos x="x1" y="t"/>
            </a:cxn>
          </a:cxnLst>
          <a:rect l="l" t="t" r="r" b="b"/>
          <a:pathLst>
            <a:path>
              <a:moveTo>
                <a:pt x="rr" y="t"/>
              </a:moveTo>
              <a:lnTo>
                <a:pt x="rx" y="t"/>
              </a:lnTo>
              <a:arcTo wR="rr" hR="rr" stAng="16200000" swAng="10800000"/>
              <a:lnTo>
                <a:pt x="rr" y="b"/>
              </a:lnTo>
              <a:arcTo wR="rr" hR="rr" stAng="5400000" swAng="10800000"/>
              <a:close/>
            </a:path>
          </a:pathLst>
        </a:custGeom>
        <a:solidFill>
          <a:srgbClr val="E7F1FF"/>
        </a:solidFill>
        <a:ln w="15875" cap="flat">
          <a:solidFill>
            <a:srgbClr val="315C92"/>
          </a:solidFill>
          <a:round/>
        </a:ln>
      </xdr:spPr>
      <xdr:txBody>
        <a:bodyPr vertOverflow="overflow" horzOverflow="overflow" wrap="square" lIns="101600" tIns="12700" rIns="101600" bIns="12700" rtlCol="0" anchor="ctr">
          <a:noAutofit/>
        </a:bodyPr>
        <a:lstStyle/>
        <a:p>
          <a:pPr algn="ctr">
            <a:lnSpc>
              <a:spcPct val="95000"/>
            </a:lnSpc>
          </a:pPr>
          <a:r>
            <a:rPr lang="ja-JP" altLang="en-US" sz="950" b="1" dirty="0">
              <a:solidFill>
                <a:srgbClr val="262626"/>
              </a:solidFill>
              <a:latin typeface="Meiryo UI"/>
              <a:ea typeface="Meiryo UI"/>
              <a:cs typeface="Meiryo UI"/>
            </a:rPr>
            <a:t>API・キュー</a:t>
          </a:r>
          <a:endParaRPr lang="ja-JP" altLang="en-US" sz="950" dirty="0">
            <a:latin typeface="Meiryo UI"/>
            <a:ea typeface="Meiryo UI"/>
          </a:endParaRPr>
        </a:p>
        <a:p>
          <a:pPr algn="ctr">
            <a:lnSpc>
              <a:spcPct val="95000"/>
            </a:lnSpc>
            <a:spcBef>
              <a:spcPts val="50"/>
            </a:spcBef>
          </a:pPr>
          <a:r>
            <a:rPr lang="ja-JP" altLang="en-US" sz="750" b="0" dirty="0">
              <a:solidFill>
                <a:srgbClr val="595959"/>
              </a:solidFill>
              <a:latin typeface="Meiryo UI"/>
              <a:ea typeface="Meiryo UI"/>
              <a:cs typeface="Meiryo UI"/>
            </a:rPr>
            <a:t>イベント</a:t>
          </a:r>
          <a:endParaRPr lang="ja-JP" altLang="en-US" sz="750" dirty="0">
            <a:latin typeface="Meiryo UI"/>
            <a:ea typeface="Meiryo UI"/>
          </a:endParaRPr>
        </a:p>
      </xdr:txBody>
    </xdr:sp>
    <xdr:clientData/>
  </xdr:twoCellAnchor>
  <xdr:twoCellAnchor editAs="oneCell">
    <xdr:from>
      <xdr:col>37</xdr:col>
      <xdr:colOff>0</xdr:colOff>
      <xdr:row>50</xdr:row>
      <xdr:rowOff>0</xdr:rowOff>
    </xdr:from>
    <xdr:to>
      <xdr:col>41</xdr:col>
      <xdr:colOff>0</xdr:colOff>
      <xdr:row>54</xdr:row>
      <xdr:rowOff>0</xdr:rowOff>
    </xdr:to>
    <xdr:sp macro="" textlink="">
      <xdr:nvSpPr>
        <xdr:cNvPr id="58" name="ノード: ファイル・標準（ルートA）">
          <a:extLst>
            <a:ext uri="{FF2B5EF4-FFF2-40B4-BE49-F238E27FC236}">
              <a16:creationId xmlns:a16="http://schemas.microsoft.com/office/drawing/2014/main" id="{00000000-0008-0000-0400-00003A000000}"/>
            </a:ext>
          </a:extLst>
        </xdr:cNvPr>
        <xdr:cNvSpPr/>
      </xdr:nvSpPr>
      <xdr:spPr>
        <a:xfrm>
          <a:off x="7048500" y="9525000"/>
          <a:ext cx="762000" cy="762000"/>
        </a:xfrm>
        <a:custGeom>
          <a:avLst/>
          <a:gdLst>
            <a:gd name="x1" fmla="*/ w 1 4"/>
            <a:gd name="x2" fmla="*/ w 1 2"/>
            <a:gd name="x3" fmla="*/ w 3 4"/>
            <a:gd name="y1" fmla="*/ h 1 4"/>
            <a:gd name="y2" fmla="*/ h 1 2"/>
            <a:gd name="y3" fmla="*/ h 3 4"/>
            <a:gd name="smin" fmla="min w h"/>
            <a:gd name="fq" fmla="*/ smin 1 4"/>
            <a:gd name="f" fmla="min 127000 fq"/>
            <a:gd name="fx" fmla="+- r 0 f"/>
            <a:gd name="fy" fmla="+- t f 0"/>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fx" y="t"/>
              </a:lnTo>
              <a:lnTo>
                <a:pt x="r" y="fy"/>
              </a:lnTo>
              <a:lnTo>
                <a:pt x="r" y="b"/>
              </a:lnTo>
              <a:lnTo>
                <a:pt x="l" y="b"/>
              </a:lnTo>
              <a:close/>
            </a:path>
            <a:path fill="darkenLess" extrusionOk="0">
              <a:moveTo>
                <a:pt x="fx" y="t"/>
              </a:moveTo>
              <a:lnTo>
                <a:pt x="fx" y="fy"/>
              </a:lnTo>
              <a:lnTo>
                <a:pt x="r" y="fy"/>
              </a:lnTo>
              <a:close/>
            </a:path>
          </a:pathLst>
        </a:custGeom>
        <a:solidFill>
          <a:srgbClr val="E7F1FF"/>
        </a:solidFill>
        <a:ln w="15875" cap="flat">
          <a:solidFill>
            <a:srgbClr val="315C92"/>
          </a:solidFill>
          <a:round/>
        </a:ln>
      </xdr:spPr>
      <xdr:txBody>
        <a:bodyPr vertOverflow="overflow" horzOverflow="overflow" wrap="square" lIns="25400" tIns="50800" rIns="50800" bIns="25400" rtlCol="0" anchor="ctr">
          <a:noAutofit/>
        </a:bodyPr>
        <a:lstStyle/>
        <a:p>
          <a:pPr algn="ctr">
            <a:lnSpc>
              <a:spcPct val="95000"/>
            </a:lnSpc>
          </a:pPr>
          <a:r>
            <a:rPr lang="ja-JP" altLang="en-US" sz="850" b="1" dirty="0">
              <a:solidFill>
                <a:srgbClr val="262626"/>
              </a:solidFill>
              <a:latin typeface="Meiryo UI"/>
              <a:ea typeface="Meiryo UI"/>
              <a:cs typeface="Meiryo UI"/>
            </a:rPr>
            <a:t>ファイル</a:t>
          </a:r>
          <a:endParaRPr lang="ja-JP" altLang="en-US" sz="850" dirty="0">
            <a:latin typeface="Meiryo UI"/>
            <a:ea typeface="Meiryo UI"/>
          </a:endParaRPr>
        </a:p>
        <a:p>
          <a:pPr algn="ctr">
            <a:lnSpc>
              <a:spcPct val="95000"/>
            </a:lnSpc>
            <a:spcBef>
              <a:spcPts val="50"/>
            </a:spcBef>
          </a:pPr>
          <a:r>
            <a:rPr lang="ja-JP" altLang="en-US" sz="700" b="0" dirty="0">
              <a:solidFill>
                <a:srgbClr val="595959"/>
              </a:solidFill>
              <a:latin typeface="Meiryo UI"/>
              <a:ea typeface="Meiryo UI"/>
              <a:cs typeface="Meiryo UI"/>
            </a:rPr>
            <a:t>CSV</a:t>
          </a:r>
          <a:endParaRPr lang="ja-JP" altLang="en-US" sz="700" dirty="0">
            <a:latin typeface="Meiryo UI"/>
            <a:ea typeface="Meiryo UI"/>
          </a:endParaRPr>
        </a:p>
      </xdr:txBody>
    </xdr:sp>
    <xdr:clientData/>
  </xdr:twoCellAnchor>
  <xdr:twoCellAnchor editAs="oneCell">
    <xdr:from>
      <xdr:col>43</xdr:col>
      <xdr:colOff>0</xdr:colOff>
      <xdr:row>50</xdr:row>
      <xdr:rowOff>0</xdr:rowOff>
    </xdr:from>
    <xdr:to>
      <xdr:col>51</xdr:col>
      <xdr:colOff>0</xdr:colOff>
      <xdr:row>54</xdr:row>
      <xdr:rowOff>0</xdr:rowOff>
    </xdr:to>
    <xdr:sp macro="" textlink="">
      <xdr:nvSpPr>
        <xdr:cNvPr id="59" name="ノード: カプセル・標準（ルートB）">
          <a:extLst>
            <a:ext uri="{FF2B5EF4-FFF2-40B4-BE49-F238E27FC236}">
              <a16:creationId xmlns:a16="http://schemas.microsoft.com/office/drawing/2014/main" id="{00000000-0008-0000-0400-00003B000000}"/>
            </a:ext>
          </a:extLst>
        </xdr:cNvPr>
        <xdr:cNvSpPr/>
      </xdr:nvSpPr>
      <xdr:spPr>
        <a:xfrm>
          <a:off x="8191500" y="9525000"/>
          <a:ext cx="1524000" cy="762000"/>
        </a:xfrm>
        <a:custGeom>
          <a:avLst/>
          <a:gdLst>
            <a:gd name="x1" fmla="*/ w 1 4"/>
            <a:gd name="x2" fmla="*/ w 1 2"/>
            <a:gd name="x3" fmla="*/ w 3 4"/>
            <a:gd name="y1" fmla="*/ h 1 4"/>
            <a:gd name="y2" fmla="*/ h 1 2"/>
            <a:gd name="y3" fmla="*/ h 3 4"/>
            <a:gd name="smin" fmla="min w h"/>
            <a:gd name="rr" fmla="*/ smin 1 2"/>
            <a:gd name="rx" fmla="+- r 0 rr"/>
            <a:gd name="k" fmla="*/ rr 13397 100000"/>
            <a:gd name="rk" fmla="+- r 0 k"/>
          </a:gdLst>
          <a:ahLst/>
          <a:cxnLst>
            <a:cxn ang="16200000">
              <a:pos x="x2" y="t"/>
            </a:cxn>
            <a:cxn ang="16200000">
              <a:pos x="x3" y="t"/>
            </a:cxn>
            <a:cxn ang="0">
              <a:pos x="rk" y="y1"/>
            </a:cxn>
            <a:cxn ang="0">
              <a:pos x="r" y="y2"/>
            </a:cxn>
            <a:cxn ang="0">
              <a:pos x="rk" y="y3"/>
            </a:cxn>
            <a:cxn ang="5400000">
              <a:pos x="x3" y="b"/>
            </a:cxn>
            <a:cxn ang="5400000">
              <a:pos x="x2" y="b"/>
            </a:cxn>
            <a:cxn ang="5400000">
              <a:pos x="x1" y="b"/>
            </a:cxn>
            <a:cxn ang="10800000">
              <a:pos x="k" y="y3"/>
            </a:cxn>
            <a:cxn ang="10800000">
              <a:pos x="l" y="y2"/>
            </a:cxn>
            <a:cxn ang="10800000">
              <a:pos x="k" y="y1"/>
            </a:cxn>
            <a:cxn ang="16200000">
              <a:pos x="x1" y="t"/>
            </a:cxn>
          </a:cxnLst>
          <a:rect l="l" t="t" r="r" b="b"/>
          <a:pathLst>
            <a:path>
              <a:moveTo>
                <a:pt x="rr" y="t"/>
              </a:moveTo>
              <a:lnTo>
                <a:pt x="rx" y="t"/>
              </a:lnTo>
              <a:arcTo wR="rr" hR="rr" stAng="16200000" swAng="10800000"/>
              <a:lnTo>
                <a:pt x="rr" y="b"/>
              </a:lnTo>
              <a:arcTo wR="rr" hR="rr" stAng="5400000" swAng="10800000"/>
              <a:close/>
            </a:path>
          </a:pathLst>
        </a:custGeom>
        <a:solidFill>
          <a:srgbClr val="E3F5EF"/>
        </a:solidFill>
        <a:ln w="15875" cap="flat">
          <a:solidFill>
            <a:srgbClr val="247966"/>
          </a:solidFill>
          <a:round/>
        </a:ln>
      </xdr:spPr>
      <xdr:txBody>
        <a:bodyPr vertOverflow="overflow" horzOverflow="overflow" wrap="square" lIns="101600" tIns="12700" rIns="101600" bIns="12700" rtlCol="0" anchor="ctr">
          <a:noAutofit/>
        </a:bodyPr>
        <a:lstStyle/>
        <a:p>
          <a:pPr algn="ctr">
            <a:lnSpc>
              <a:spcPct val="95000"/>
            </a:lnSpc>
          </a:pPr>
          <a:r>
            <a:rPr lang="ja-JP" altLang="en-US" sz="950" b="1" dirty="0">
              <a:solidFill>
                <a:srgbClr val="262626"/>
              </a:solidFill>
              <a:latin typeface="Meiryo UI"/>
              <a:ea typeface="Meiryo UI"/>
              <a:cs typeface="Meiryo UI"/>
            </a:rPr>
            <a:t>API・キュー</a:t>
          </a:r>
          <a:endParaRPr lang="ja-JP" altLang="en-US" sz="950" dirty="0">
            <a:latin typeface="Meiryo UI"/>
            <a:ea typeface="Meiryo UI"/>
          </a:endParaRPr>
        </a:p>
        <a:p>
          <a:pPr algn="ctr">
            <a:lnSpc>
              <a:spcPct val="95000"/>
            </a:lnSpc>
            <a:spcBef>
              <a:spcPts val="50"/>
            </a:spcBef>
          </a:pPr>
          <a:r>
            <a:rPr lang="ja-JP" altLang="en-US" sz="750" b="0" dirty="0">
              <a:solidFill>
                <a:srgbClr val="595959"/>
              </a:solidFill>
              <a:latin typeface="Meiryo UI"/>
              <a:ea typeface="Meiryo UI"/>
              <a:cs typeface="Meiryo UI"/>
            </a:rPr>
            <a:t>イベント</a:t>
          </a:r>
          <a:endParaRPr lang="ja-JP" altLang="en-US" sz="750" dirty="0">
            <a:latin typeface="Meiryo UI"/>
            <a:ea typeface="Meiryo UI"/>
          </a:endParaRPr>
        </a:p>
      </xdr:txBody>
    </xdr:sp>
    <xdr:clientData/>
  </xdr:twoCellAnchor>
  <xdr:twoCellAnchor editAs="oneCell">
    <xdr:from>
      <xdr:col>53</xdr:col>
      <xdr:colOff>0</xdr:colOff>
      <xdr:row>50</xdr:row>
      <xdr:rowOff>0</xdr:rowOff>
    </xdr:from>
    <xdr:to>
      <xdr:col>57</xdr:col>
      <xdr:colOff>0</xdr:colOff>
      <xdr:row>54</xdr:row>
      <xdr:rowOff>0</xdr:rowOff>
    </xdr:to>
    <xdr:sp macro="" textlink="">
      <xdr:nvSpPr>
        <xdr:cNvPr id="60" name="ノード: ファイル・標準（ルートB）">
          <a:extLst>
            <a:ext uri="{FF2B5EF4-FFF2-40B4-BE49-F238E27FC236}">
              <a16:creationId xmlns:a16="http://schemas.microsoft.com/office/drawing/2014/main" id="{00000000-0008-0000-0400-00003C000000}"/>
            </a:ext>
          </a:extLst>
        </xdr:cNvPr>
        <xdr:cNvSpPr/>
      </xdr:nvSpPr>
      <xdr:spPr>
        <a:xfrm>
          <a:off x="10096500" y="9525000"/>
          <a:ext cx="762000" cy="762000"/>
        </a:xfrm>
        <a:custGeom>
          <a:avLst/>
          <a:gdLst>
            <a:gd name="x1" fmla="*/ w 1 4"/>
            <a:gd name="x2" fmla="*/ w 1 2"/>
            <a:gd name="x3" fmla="*/ w 3 4"/>
            <a:gd name="y1" fmla="*/ h 1 4"/>
            <a:gd name="y2" fmla="*/ h 1 2"/>
            <a:gd name="y3" fmla="*/ h 3 4"/>
            <a:gd name="smin" fmla="min w h"/>
            <a:gd name="fq" fmla="*/ smin 1 4"/>
            <a:gd name="f" fmla="min 127000 fq"/>
            <a:gd name="fx" fmla="+- r 0 f"/>
            <a:gd name="fy" fmla="+- t f 0"/>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fx" y="t"/>
              </a:lnTo>
              <a:lnTo>
                <a:pt x="r" y="fy"/>
              </a:lnTo>
              <a:lnTo>
                <a:pt x="r" y="b"/>
              </a:lnTo>
              <a:lnTo>
                <a:pt x="l" y="b"/>
              </a:lnTo>
              <a:close/>
            </a:path>
            <a:path fill="darkenLess" extrusionOk="0">
              <a:moveTo>
                <a:pt x="fx" y="t"/>
              </a:moveTo>
              <a:lnTo>
                <a:pt x="fx" y="fy"/>
              </a:lnTo>
              <a:lnTo>
                <a:pt x="r" y="fy"/>
              </a:lnTo>
              <a:close/>
            </a:path>
          </a:pathLst>
        </a:custGeom>
        <a:solidFill>
          <a:srgbClr val="E3F5EF"/>
        </a:solidFill>
        <a:ln w="15875" cap="flat">
          <a:solidFill>
            <a:srgbClr val="247966"/>
          </a:solidFill>
          <a:round/>
        </a:ln>
      </xdr:spPr>
      <xdr:txBody>
        <a:bodyPr vertOverflow="overflow" horzOverflow="overflow" wrap="square" lIns="25400" tIns="50800" rIns="50800" bIns="25400" rtlCol="0" anchor="ctr">
          <a:noAutofit/>
        </a:bodyPr>
        <a:lstStyle/>
        <a:p>
          <a:pPr algn="ctr">
            <a:lnSpc>
              <a:spcPct val="95000"/>
            </a:lnSpc>
          </a:pPr>
          <a:r>
            <a:rPr lang="ja-JP" altLang="en-US" sz="850" b="1" dirty="0">
              <a:solidFill>
                <a:srgbClr val="262626"/>
              </a:solidFill>
              <a:latin typeface="Meiryo UI"/>
              <a:ea typeface="Meiryo UI"/>
              <a:cs typeface="Meiryo UI"/>
            </a:rPr>
            <a:t>ファイル</a:t>
          </a:r>
          <a:endParaRPr lang="ja-JP" altLang="en-US" sz="850" dirty="0">
            <a:latin typeface="Meiryo UI"/>
            <a:ea typeface="Meiryo UI"/>
          </a:endParaRPr>
        </a:p>
        <a:p>
          <a:pPr algn="ctr">
            <a:lnSpc>
              <a:spcPct val="95000"/>
            </a:lnSpc>
            <a:spcBef>
              <a:spcPts val="50"/>
            </a:spcBef>
          </a:pPr>
          <a:r>
            <a:rPr lang="ja-JP" altLang="en-US" sz="700" b="0" dirty="0">
              <a:solidFill>
                <a:srgbClr val="595959"/>
              </a:solidFill>
              <a:latin typeface="Meiryo UI"/>
              <a:ea typeface="Meiryo UI"/>
              <a:cs typeface="Meiryo UI"/>
            </a:rPr>
            <a:t>CSV</a:t>
          </a:r>
          <a:endParaRPr lang="ja-JP" altLang="en-US" sz="700" dirty="0">
            <a:latin typeface="Meiryo UI"/>
            <a:ea typeface="Meiryo UI"/>
          </a:endParaRPr>
        </a:p>
      </xdr:txBody>
    </xdr:sp>
    <xdr:clientData/>
  </xdr:twoCellAnchor>
  <xdr:twoCellAnchor editAs="oneCell">
    <xdr:from>
      <xdr:col>59</xdr:col>
      <xdr:colOff>0</xdr:colOff>
      <xdr:row>50</xdr:row>
      <xdr:rowOff>0</xdr:rowOff>
    </xdr:from>
    <xdr:to>
      <xdr:col>67</xdr:col>
      <xdr:colOff>0</xdr:colOff>
      <xdr:row>54</xdr:row>
      <xdr:rowOff>0</xdr:rowOff>
    </xdr:to>
    <xdr:sp macro="" textlink="">
      <xdr:nvSpPr>
        <xdr:cNvPr id="61" name="ノード: カプセル・標準（ルートC）">
          <a:extLst>
            <a:ext uri="{FF2B5EF4-FFF2-40B4-BE49-F238E27FC236}">
              <a16:creationId xmlns:a16="http://schemas.microsoft.com/office/drawing/2014/main" id="{00000000-0008-0000-0400-00003D000000}"/>
            </a:ext>
          </a:extLst>
        </xdr:cNvPr>
        <xdr:cNvSpPr/>
      </xdr:nvSpPr>
      <xdr:spPr>
        <a:xfrm>
          <a:off x="11239500" y="9525000"/>
          <a:ext cx="1524000" cy="762000"/>
        </a:xfrm>
        <a:custGeom>
          <a:avLst/>
          <a:gdLst>
            <a:gd name="x1" fmla="*/ w 1 4"/>
            <a:gd name="x2" fmla="*/ w 1 2"/>
            <a:gd name="x3" fmla="*/ w 3 4"/>
            <a:gd name="y1" fmla="*/ h 1 4"/>
            <a:gd name="y2" fmla="*/ h 1 2"/>
            <a:gd name="y3" fmla="*/ h 3 4"/>
            <a:gd name="smin" fmla="min w h"/>
            <a:gd name="rr" fmla="*/ smin 1 2"/>
            <a:gd name="rx" fmla="+- r 0 rr"/>
            <a:gd name="k" fmla="*/ rr 13397 100000"/>
            <a:gd name="rk" fmla="+- r 0 k"/>
          </a:gdLst>
          <a:ahLst/>
          <a:cxnLst>
            <a:cxn ang="16200000">
              <a:pos x="x2" y="t"/>
            </a:cxn>
            <a:cxn ang="16200000">
              <a:pos x="x3" y="t"/>
            </a:cxn>
            <a:cxn ang="0">
              <a:pos x="rk" y="y1"/>
            </a:cxn>
            <a:cxn ang="0">
              <a:pos x="r" y="y2"/>
            </a:cxn>
            <a:cxn ang="0">
              <a:pos x="rk" y="y3"/>
            </a:cxn>
            <a:cxn ang="5400000">
              <a:pos x="x3" y="b"/>
            </a:cxn>
            <a:cxn ang="5400000">
              <a:pos x="x2" y="b"/>
            </a:cxn>
            <a:cxn ang="5400000">
              <a:pos x="x1" y="b"/>
            </a:cxn>
            <a:cxn ang="10800000">
              <a:pos x="k" y="y3"/>
            </a:cxn>
            <a:cxn ang="10800000">
              <a:pos x="l" y="y2"/>
            </a:cxn>
            <a:cxn ang="10800000">
              <a:pos x="k" y="y1"/>
            </a:cxn>
            <a:cxn ang="16200000">
              <a:pos x="x1" y="t"/>
            </a:cxn>
          </a:cxnLst>
          <a:rect l="l" t="t" r="r" b="b"/>
          <a:pathLst>
            <a:path>
              <a:moveTo>
                <a:pt x="rr" y="t"/>
              </a:moveTo>
              <a:lnTo>
                <a:pt x="rx" y="t"/>
              </a:lnTo>
              <a:arcTo wR="rr" hR="rr" stAng="16200000" swAng="10800000"/>
              <a:lnTo>
                <a:pt x="rr" y="b"/>
              </a:lnTo>
              <a:arcTo wR="rr" hR="rr" stAng="5400000" swAng="10800000"/>
              <a:close/>
            </a:path>
          </a:pathLst>
        </a:custGeom>
        <a:solidFill>
          <a:srgbClr val="FDECE4"/>
        </a:solidFill>
        <a:ln w="15875" cap="flat">
          <a:solidFill>
            <a:srgbClr val="C46B39"/>
          </a:solidFill>
          <a:round/>
        </a:ln>
      </xdr:spPr>
      <xdr:txBody>
        <a:bodyPr vertOverflow="overflow" horzOverflow="overflow" wrap="square" lIns="101600" tIns="12700" rIns="101600" bIns="12700" rtlCol="0" anchor="ctr">
          <a:noAutofit/>
        </a:bodyPr>
        <a:lstStyle/>
        <a:p>
          <a:pPr algn="ctr">
            <a:lnSpc>
              <a:spcPct val="95000"/>
            </a:lnSpc>
          </a:pPr>
          <a:r>
            <a:rPr lang="ja-JP" altLang="en-US" sz="950" b="1" dirty="0">
              <a:solidFill>
                <a:srgbClr val="262626"/>
              </a:solidFill>
              <a:latin typeface="Meiryo UI"/>
              <a:ea typeface="Meiryo UI"/>
              <a:cs typeface="Meiryo UI"/>
            </a:rPr>
            <a:t>API・キュー</a:t>
          </a:r>
          <a:endParaRPr lang="ja-JP" altLang="en-US" sz="950" dirty="0">
            <a:latin typeface="Meiryo UI"/>
            <a:ea typeface="Meiryo UI"/>
          </a:endParaRPr>
        </a:p>
        <a:p>
          <a:pPr algn="ctr">
            <a:lnSpc>
              <a:spcPct val="95000"/>
            </a:lnSpc>
            <a:spcBef>
              <a:spcPts val="50"/>
            </a:spcBef>
          </a:pPr>
          <a:r>
            <a:rPr lang="ja-JP" altLang="en-US" sz="750" b="0" dirty="0">
              <a:solidFill>
                <a:srgbClr val="595959"/>
              </a:solidFill>
              <a:latin typeface="Meiryo UI"/>
              <a:ea typeface="Meiryo UI"/>
              <a:cs typeface="Meiryo UI"/>
            </a:rPr>
            <a:t>イベント</a:t>
          </a:r>
          <a:endParaRPr lang="ja-JP" altLang="en-US" sz="750" dirty="0">
            <a:latin typeface="Meiryo UI"/>
            <a:ea typeface="Meiryo UI"/>
          </a:endParaRPr>
        </a:p>
      </xdr:txBody>
    </xdr:sp>
    <xdr:clientData/>
  </xdr:twoCellAnchor>
  <xdr:twoCellAnchor editAs="oneCell">
    <xdr:from>
      <xdr:col>69</xdr:col>
      <xdr:colOff>0</xdr:colOff>
      <xdr:row>50</xdr:row>
      <xdr:rowOff>0</xdr:rowOff>
    </xdr:from>
    <xdr:to>
      <xdr:col>73</xdr:col>
      <xdr:colOff>0</xdr:colOff>
      <xdr:row>54</xdr:row>
      <xdr:rowOff>0</xdr:rowOff>
    </xdr:to>
    <xdr:sp macro="" textlink="">
      <xdr:nvSpPr>
        <xdr:cNvPr id="62" name="ノード: ファイル・標準（ルートC）">
          <a:extLst>
            <a:ext uri="{FF2B5EF4-FFF2-40B4-BE49-F238E27FC236}">
              <a16:creationId xmlns:a16="http://schemas.microsoft.com/office/drawing/2014/main" id="{00000000-0008-0000-0400-00003E000000}"/>
            </a:ext>
          </a:extLst>
        </xdr:cNvPr>
        <xdr:cNvSpPr/>
      </xdr:nvSpPr>
      <xdr:spPr>
        <a:xfrm>
          <a:off x="13144500" y="9525000"/>
          <a:ext cx="762000" cy="762000"/>
        </a:xfrm>
        <a:custGeom>
          <a:avLst/>
          <a:gdLst>
            <a:gd name="x1" fmla="*/ w 1 4"/>
            <a:gd name="x2" fmla="*/ w 1 2"/>
            <a:gd name="x3" fmla="*/ w 3 4"/>
            <a:gd name="y1" fmla="*/ h 1 4"/>
            <a:gd name="y2" fmla="*/ h 1 2"/>
            <a:gd name="y3" fmla="*/ h 3 4"/>
            <a:gd name="smin" fmla="min w h"/>
            <a:gd name="fq" fmla="*/ smin 1 4"/>
            <a:gd name="f" fmla="min 127000 fq"/>
            <a:gd name="fx" fmla="+- r 0 f"/>
            <a:gd name="fy" fmla="+- t f 0"/>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fx" y="t"/>
              </a:lnTo>
              <a:lnTo>
                <a:pt x="r" y="fy"/>
              </a:lnTo>
              <a:lnTo>
                <a:pt x="r" y="b"/>
              </a:lnTo>
              <a:lnTo>
                <a:pt x="l" y="b"/>
              </a:lnTo>
              <a:close/>
            </a:path>
            <a:path fill="darkenLess" extrusionOk="0">
              <a:moveTo>
                <a:pt x="fx" y="t"/>
              </a:moveTo>
              <a:lnTo>
                <a:pt x="fx" y="fy"/>
              </a:lnTo>
              <a:lnTo>
                <a:pt x="r" y="fy"/>
              </a:lnTo>
              <a:close/>
            </a:path>
          </a:pathLst>
        </a:custGeom>
        <a:solidFill>
          <a:srgbClr val="FDECE4"/>
        </a:solidFill>
        <a:ln w="15875" cap="flat">
          <a:solidFill>
            <a:srgbClr val="C46B39"/>
          </a:solidFill>
          <a:round/>
        </a:ln>
      </xdr:spPr>
      <xdr:txBody>
        <a:bodyPr vertOverflow="overflow" horzOverflow="overflow" wrap="square" lIns="25400" tIns="50800" rIns="50800" bIns="25400" rtlCol="0" anchor="ctr">
          <a:noAutofit/>
        </a:bodyPr>
        <a:lstStyle/>
        <a:p>
          <a:pPr algn="ctr">
            <a:lnSpc>
              <a:spcPct val="95000"/>
            </a:lnSpc>
          </a:pPr>
          <a:r>
            <a:rPr lang="ja-JP" altLang="en-US" sz="850" b="1" dirty="0">
              <a:solidFill>
                <a:srgbClr val="262626"/>
              </a:solidFill>
              <a:latin typeface="Meiryo UI"/>
              <a:ea typeface="Meiryo UI"/>
              <a:cs typeface="Meiryo UI"/>
            </a:rPr>
            <a:t>ファイル</a:t>
          </a:r>
          <a:endParaRPr lang="ja-JP" altLang="en-US" sz="850" dirty="0">
            <a:latin typeface="Meiryo UI"/>
            <a:ea typeface="Meiryo UI"/>
          </a:endParaRPr>
        </a:p>
        <a:p>
          <a:pPr algn="ctr">
            <a:lnSpc>
              <a:spcPct val="95000"/>
            </a:lnSpc>
            <a:spcBef>
              <a:spcPts val="50"/>
            </a:spcBef>
          </a:pPr>
          <a:r>
            <a:rPr lang="ja-JP" altLang="en-US" sz="700" b="0" dirty="0">
              <a:solidFill>
                <a:srgbClr val="595959"/>
              </a:solidFill>
              <a:latin typeface="Meiryo UI"/>
              <a:ea typeface="Meiryo UI"/>
              <a:cs typeface="Meiryo UI"/>
            </a:rPr>
            <a:t>CSV</a:t>
          </a:r>
          <a:endParaRPr lang="ja-JP" altLang="en-US" sz="700" dirty="0">
            <a:latin typeface="Meiryo UI"/>
            <a:ea typeface="Meiryo UI"/>
          </a:endParaRPr>
        </a:p>
      </xdr:txBody>
    </xdr:sp>
    <xdr:clientData/>
  </xdr:twoCellAnchor>
  <xdr:twoCellAnchor editAs="oneCell">
    <xdr:from>
      <xdr:col>11</xdr:col>
      <xdr:colOff>0</xdr:colOff>
      <xdr:row>56</xdr:row>
      <xdr:rowOff>0</xdr:rowOff>
    </xdr:from>
    <xdr:to>
      <xdr:col>23</xdr:col>
      <xdr:colOff>0</xdr:colOff>
      <xdr:row>60</xdr:row>
      <xdr:rowOff>0</xdr:rowOff>
    </xdr:to>
    <xdr:sp macro="" textlink="">
      <xdr:nvSpPr>
        <xdr:cNvPr id="63" name="ノード: 角丸・標準（共通）">
          <a:extLst>
            <a:ext uri="{FF2B5EF4-FFF2-40B4-BE49-F238E27FC236}">
              <a16:creationId xmlns:a16="http://schemas.microsoft.com/office/drawing/2014/main" id="{00000000-0008-0000-0400-00003F000000}"/>
            </a:ext>
          </a:extLst>
        </xdr:cNvPr>
        <xdr:cNvSpPr/>
      </xdr:nvSpPr>
      <xdr:spPr>
        <a:xfrm>
          <a:off x="2095500" y="10668000"/>
          <a:ext cx="2286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FFFFFF"/>
        </a:solidFill>
        <a:ln w="12700" cap="flat">
          <a:solidFill>
            <a:srgbClr val="404040"/>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262626"/>
              </a:solidFill>
              <a:latin typeface="Meiryo UI"/>
              <a:ea typeface="Meiryo UI"/>
              <a:cs typeface="Meiryo UI"/>
            </a:rPr>
            <a:t>ノード名（横長）</a:t>
          </a:r>
          <a:endParaRPr lang="ja-JP" altLang="en-US" sz="950" dirty="0">
            <a:latin typeface="Meiryo UI"/>
            <a:ea typeface="Meiryo UI"/>
          </a:endParaRPr>
        </a:p>
        <a:p>
          <a:pPr algn="ctr">
            <a:lnSpc>
              <a:spcPct val="95000"/>
            </a:lnSpc>
            <a:spcBef>
              <a:spcPts val="50"/>
            </a:spcBef>
          </a:pPr>
          <a:r>
            <a:rPr lang="ja-JP" altLang="en-US" sz="750" b="0" dirty="0">
              <a:solidFill>
                <a:srgbClr val="595959"/>
              </a:solidFill>
              <a:latin typeface="Meiryo UI"/>
              <a:ea typeface="Meiryo UI"/>
              <a:cs typeface="Meiryo UI"/>
            </a:rPr>
            <a:t>役割・概要</a:t>
          </a:r>
          <a:endParaRPr lang="ja-JP" altLang="en-US" sz="750" dirty="0">
            <a:latin typeface="Meiryo UI"/>
            <a:ea typeface="Meiryo UI"/>
          </a:endParaRPr>
        </a:p>
      </xdr:txBody>
    </xdr:sp>
    <xdr:clientData/>
  </xdr:twoCellAnchor>
  <xdr:twoCellAnchor editAs="oneCell">
    <xdr:from>
      <xdr:col>27</xdr:col>
      <xdr:colOff>0</xdr:colOff>
      <xdr:row>56</xdr:row>
      <xdr:rowOff>0</xdr:rowOff>
    </xdr:from>
    <xdr:to>
      <xdr:col>39</xdr:col>
      <xdr:colOff>0</xdr:colOff>
      <xdr:row>60</xdr:row>
      <xdr:rowOff>0</xdr:rowOff>
    </xdr:to>
    <xdr:sp macro="" textlink="">
      <xdr:nvSpPr>
        <xdr:cNvPr id="64" name="ノード: 角丸・標準（ルートA）">
          <a:extLst>
            <a:ext uri="{FF2B5EF4-FFF2-40B4-BE49-F238E27FC236}">
              <a16:creationId xmlns:a16="http://schemas.microsoft.com/office/drawing/2014/main" id="{00000000-0008-0000-0400-000040000000}"/>
            </a:ext>
          </a:extLst>
        </xdr:cNvPr>
        <xdr:cNvSpPr/>
      </xdr:nvSpPr>
      <xdr:spPr>
        <a:xfrm>
          <a:off x="5143500" y="10668000"/>
          <a:ext cx="2286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E7F1FF"/>
        </a:solidFill>
        <a:ln w="15875" cap="flat">
          <a:solidFill>
            <a:srgbClr val="315C92"/>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262626"/>
              </a:solidFill>
              <a:latin typeface="Meiryo UI"/>
              <a:ea typeface="Meiryo UI"/>
              <a:cs typeface="Meiryo UI"/>
            </a:rPr>
            <a:t>ノード名（横長）</a:t>
          </a:r>
          <a:endParaRPr lang="ja-JP" altLang="en-US" sz="950" dirty="0">
            <a:latin typeface="Meiryo UI"/>
            <a:ea typeface="Meiryo UI"/>
          </a:endParaRPr>
        </a:p>
        <a:p>
          <a:pPr algn="ctr">
            <a:lnSpc>
              <a:spcPct val="95000"/>
            </a:lnSpc>
            <a:spcBef>
              <a:spcPts val="50"/>
            </a:spcBef>
          </a:pPr>
          <a:r>
            <a:rPr lang="ja-JP" altLang="en-US" sz="750" b="0" dirty="0">
              <a:solidFill>
                <a:srgbClr val="595959"/>
              </a:solidFill>
              <a:latin typeface="Meiryo UI"/>
              <a:ea typeface="Meiryo UI"/>
              <a:cs typeface="Meiryo UI"/>
            </a:rPr>
            <a:t>役割・概要</a:t>
          </a:r>
          <a:endParaRPr lang="ja-JP" altLang="en-US" sz="750" dirty="0">
            <a:latin typeface="Meiryo UI"/>
            <a:ea typeface="Meiryo UI"/>
          </a:endParaRPr>
        </a:p>
      </xdr:txBody>
    </xdr:sp>
    <xdr:clientData/>
  </xdr:twoCellAnchor>
  <xdr:twoCellAnchor editAs="oneCell">
    <xdr:from>
      <xdr:col>43</xdr:col>
      <xdr:colOff>0</xdr:colOff>
      <xdr:row>56</xdr:row>
      <xdr:rowOff>0</xdr:rowOff>
    </xdr:from>
    <xdr:to>
      <xdr:col>55</xdr:col>
      <xdr:colOff>0</xdr:colOff>
      <xdr:row>60</xdr:row>
      <xdr:rowOff>0</xdr:rowOff>
    </xdr:to>
    <xdr:sp macro="" textlink="">
      <xdr:nvSpPr>
        <xdr:cNvPr id="65" name="ノード: 角丸・標準（ルートB）">
          <a:extLst>
            <a:ext uri="{FF2B5EF4-FFF2-40B4-BE49-F238E27FC236}">
              <a16:creationId xmlns:a16="http://schemas.microsoft.com/office/drawing/2014/main" id="{00000000-0008-0000-0400-000041000000}"/>
            </a:ext>
          </a:extLst>
        </xdr:cNvPr>
        <xdr:cNvSpPr/>
      </xdr:nvSpPr>
      <xdr:spPr>
        <a:xfrm>
          <a:off x="8191500" y="10668000"/>
          <a:ext cx="2286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E3F5EF"/>
        </a:solidFill>
        <a:ln w="15875" cap="flat">
          <a:solidFill>
            <a:srgbClr val="247966"/>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262626"/>
              </a:solidFill>
              <a:latin typeface="Meiryo UI"/>
              <a:ea typeface="Meiryo UI"/>
              <a:cs typeface="Meiryo UI"/>
            </a:rPr>
            <a:t>ノード名（横長）</a:t>
          </a:r>
          <a:endParaRPr lang="ja-JP" altLang="en-US" sz="950" dirty="0">
            <a:latin typeface="Meiryo UI"/>
            <a:ea typeface="Meiryo UI"/>
          </a:endParaRPr>
        </a:p>
        <a:p>
          <a:pPr algn="ctr">
            <a:lnSpc>
              <a:spcPct val="95000"/>
            </a:lnSpc>
            <a:spcBef>
              <a:spcPts val="50"/>
            </a:spcBef>
          </a:pPr>
          <a:r>
            <a:rPr lang="ja-JP" altLang="en-US" sz="750" b="0" dirty="0">
              <a:solidFill>
                <a:srgbClr val="595959"/>
              </a:solidFill>
              <a:latin typeface="Meiryo UI"/>
              <a:ea typeface="Meiryo UI"/>
              <a:cs typeface="Meiryo UI"/>
            </a:rPr>
            <a:t>役割・概要</a:t>
          </a:r>
          <a:endParaRPr lang="ja-JP" altLang="en-US" sz="750" dirty="0">
            <a:latin typeface="Meiryo UI"/>
            <a:ea typeface="Meiryo UI"/>
          </a:endParaRPr>
        </a:p>
      </xdr:txBody>
    </xdr:sp>
    <xdr:clientData/>
  </xdr:twoCellAnchor>
  <xdr:twoCellAnchor editAs="oneCell">
    <xdr:from>
      <xdr:col>59</xdr:col>
      <xdr:colOff>0</xdr:colOff>
      <xdr:row>56</xdr:row>
      <xdr:rowOff>0</xdr:rowOff>
    </xdr:from>
    <xdr:to>
      <xdr:col>71</xdr:col>
      <xdr:colOff>0</xdr:colOff>
      <xdr:row>60</xdr:row>
      <xdr:rowOff>0</xdr:rowOff>
    </xdr:to>
    <xdr:sp macro="" textlink="">
      <xdr:nvSpPr>
        <xdr:cNvPr id="66" name="ノード: 角丸・標準（ルートC）">
          <a:extLst>
            <a:ext uri="{FF2B5EF4-FFF2-40B4-BE49-F238E27FC236}">
              <a16:creationId xmlns:a16="http://schemas.microsoft.com/office/drawing/2014/main" id="{00000000-0008-0000-0400-000042000000}"/>
            </a:ext>
          </a:extLst>
        </xdr:cNvPr>
        <xdr:cNvSpPr/>
      </xdr:nvSpPr>
      <xdr:spPr>
        <a:xfrm>
          <a:off x="11239500" y="10668000"/>
          <a:ext cx="2286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FDECE4"/>
        </a:solidFill>
        <a:ln w="15875" cap="flat">
          <a:solidFill>
            <a:srgbClr val="C46B39"/>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262626"/>
              </a:solidFill>
              <a:latin typeface="Meiryo UI"/>
              <a:ea typeface="Meiryo UI"/>
              <a:cs typeface="Meiryo UI"/>
            </a:rPr>
            <a:t>ノード名（横長）</a:t>
          </a:r>
          <a:endParaRPr lang="ja-JP" altLang="en-US" sz="950" dirty="0">
            <a:latin typeface="Meiryo UI"/>
            <a:ea typeface="Meiryo UI"/>
          </a:endParaRPr>
        </a:p>
        <a:p>
          <a:pPr algn="ctr">
            <a:lnSpc>
              <a:spcPct val="95000"/>
            </a:lnSpc>
            <a:spcBef>
              <a:spcPts val="50"/>
            </a:spcBef>
          </a:pPr>
          <a:r>
            <a:rPr lang="ja-JP" altLang="en-US" sz="750" b="0" dirty="0">
              <a:solidFill>
                <a:srgbClr val="595959"/>
              </a:solidFill>
              <a:latin typeface="Meiryo UI"/>
              <a:ea typeface="Meiryo UI"/>
              <a:cs typeface="Meiryo UI"/>
            </a:rPr>
            <a:t>役割・概要</a:t>
          </a:r>
          <a:endParaRPr lang="ja-JP" altLang="en-US" sz="750" dirty="0">
            <a:latin typeface="Meiryo UI"/>
            <a:ea typeface="Meiryo UI"/>
          </a:endParaRPr>
        </a:p>
      </xdr:txBody>
    </xdr:sp>
    <xdr:clientData/>
  </xdr:twoCellAnchor>
  <xdr:twoCellAnchor editAs="oneCell">
    <xdr:from>
      <xdr:col>11</xdr:col>
      <xdr:colOff>0</xdr:colOff>
      <xdr:row>62</xdr:row>
      <xdr:rowOff>0</xdr:rowOff>
    </xdr:from>
    <xdr:to>
      <xdr:col>23</xdr:col>
      <xdr:colOff>0</xdr:colOff>
      <xdr:row>70</xdr:row>
      <xdr:rowOff>0</xdr:rowOff>
    </xdr:to>
    <xdr:sp macro="" textlink="">
      <xdr:nvSpPr>
        <xdr:cNvPr id="67" name="システム枠（共通）">
          <a:extLst>
            <a:ext uri="{FF2B5EF4-FFF2-40B4-BE49-F238E27FC236}">
              <a16:creationId xmlns:a16="http://schemas.microsoft.com/office/drawing/2014/main" id="{00000000-0008-0000-0400-000043000000}"/>
            </a:ext>
          </a:extLst>
        </xdr:cNvPr>
        <xdr:cNvSpPr/>
      </xdr:nvSpPr>
      <xdr:spPr>
        <a:xfrm>
          <a:off x="2095500" y="11811000"/>
          <a:ext cx="2286000" cy="1524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FAFAFA"/>
        </a:solidFill>
        <a:ln w="12700" cap="flat">
          <a:solidFill>
            <a:srgbClr val="595959"/>
          </a:solidFill>
          <a:round/>
        </a:ln>
      </xdr:spPr>
      <xdr:txBody>
        <a:bodyPr vertOverflow="overflow" horzOverflow="overflow" wrap="square" lIns="76200" tIns="50800" rIns="76200" bIns="50800" rtlCol="0" anchor="t">
          <a:noAutofit/>
        </a:bodyPr>
        <a:lstStyle/>
        <a:p>
          <a:pPr algn="l"/>
          <a:r>
            <a:rPr lang="ja-JP" altLang="en-US" sz="950" b="1" dirty="0">
              <a:solidFill>
                <a:srgbClr val="262626"/>
              </a:solidFill>
              <a:latin typeface="Meiryo UI"/>
              <a:ea typeface="Meiryo UI"/>
              <a:cs typeface="Meiryo UI"/>
            </a:rPr>
            <a:t>システム枠（12×8）</a:t>
          </a:r>
          <a:endParaRPr lang="ja-JP" altLang="en-US" sz="950" dirty="0">
            <a:latin typeface="Meiryo UI"/>
            <a:ea typeface="Meiryo UI"/>
          </a:endParaRPr>
        </a:p>
        <a:p>
          <a:pPr algn="l"/>
          <a:r>
            <a:rPr lang="ja-JP" altLang="en-US" sz="750" b="0" dirty="0">
              <a:solidFill>
                <a:srgbClr val="595959"/>
              </a:solidFill>
              <a:latin typeface="Meiryo UI"/>
              <a:ea typeface="Meiryo UI"/>
              <a:cs typeface="Meiryo UI"/>
            </a:rPr>
            <a:t>中にノードを配置。枠にも12点接続</a:t>
          </a:r>
          <a:endParaRPr lang="ja-JP" altLang="en-US" sz="750" dirty="0">
            <a:latin typeface="Meiryo UI"/>
            <a:ea typeface="Meiryo UI"/>
          </a:endParaRPr>
        </a:p>
      </xdr:txBody>
    </xdr:sp>
    <xdr:clientData/>
  </xdr:twoCellAnchor>
  <xdr:twoCellAnchor editAs="oneCell">
    <xdr:from>
      <xdr:col>27</xdr:col>
      <xdr:colOff>0</xdr:colOff>
      <xdr:row>62</xdr:row>
      <xdr:rowOff>0</xdr:rowOff>
    </xdr:from>
    <xdr:to>
      <xdr:col>39</xdr:col>
      <xdr:colOff>0</xdr:colOff>
      <xdr:row>70</xdr:row>
      <xdr:rowOff>0</xdr:rowOff>
    </xdr:to>
    <xdr:sp macro="" textlink="">
      <xdr:nvSpPr>
        <xdr:cNvPr id="68" name="システム枠（ルートA）">
          <a:extLst>
            <a:ext uri="{FF2B5EF4-FFF2-40B4-BE49-F238E27FC236}">
              <a16:creationId xmlns:a16="http://schemas.microsoft.com/office/drawing/2014/main" id="{00000000-0008-0000-0400-000044000000}"/>
            </a:ext>
          </a:extLst>
        </xdr:cNvPr>
        <xdr:cNvSpPr/>
      </xdr:nvSpPr>
      <xdr:spPr>
        <a:xfrm>
          <a:off x="5143500" y="11811000"/>
          <a:ext cx="2286000" cy="1524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F3F8FF"/>
        </a:solidFill>
        <a:ln w="12700" cap="flat">
          <a:solidFill>
            <a:srgbClr val="315C92"/>
          </a:solidFill>
          <a:round/>
        </a:ln>
      </xdr:spPr>
      <xdr:txBody>
        <a:bodyPr vertOverflow="overflow" horzOverflow="overflow" wrap="square" lIns="76200" tIns="50800" rIns="76200" bIns="50800" rtlCol="0" anchor="t">
          <a:noAutofit/>
        </a:bodyPr>
        <a:lstStyle/>
        <a:p>
          <a:pPr algn="l"/>
          <a:r>
            <a:rPr lang="ja-JP" altLang="en-US" sz="950" b="1" dirty="0">
              <a:solidFill>
                <a:srgbClr val="113866"/>
              </a:solidFill>
              <a:latin typeface="Meiryo UI"/>
              <a:ea typeface="Meiryo UI"/>
              <a:cs typeface="Meiryo UI"/>
            </a:rPr>
            <a:t>システム枠（12×8）</a:t>
          </a:r>
          <a:endParaRPr lang="ja-JP" altLang="en-US" sz="950" dirty="0">
            <a:latin typeface="Meiryo UI"/>
            <a:ea typeface="Meiryo UI"/>
          </a:endParaRPr>
        </a:p>
        <a:p>
          <a:pPr algn="l"/>
          <a:r>
            <a:rPr lang="ja-JP" altLang="en-US" sz="750" b="0" dirty="0">
              <a:solidFill>
                <a:srgbClr val="595959"/>
              </a:solidFill>
              <a:latin typeface="Meiryo UI"/>
              <a:ea typeface="Meiryo UI"/>
              <a:cs typeface="Meiryo UI"/>
            </a:rPr>
            <a:t>中にノードを配置。枠にも12点接続</a:t>
          </a:r>
          <a:endParaRPr lang="ja-JP" altLang="en-US" sz="750" dirty="0">
            <a:latin typeface="Meiryo UI"/>
            <a:ea typeface="Meiryo UI"/>
          </a:endParaRPr>
        </a:p>
      </xdr:txBody>
    </xdr:sp>
    <xdr:clientData/>
  </xdr:twoCellAnchor>
  <xdr:twoCellAnchor editAs="oneCell">
    <xdr:from>
      <xdr:col>43</xdr:col>
      <xdr:colOff>0</xdr:colOff>
      <xdr:row>62</xdr:row>
      <xdr:rowOff>0</xdr:rowOff>
    </xdr:from>
    <xdr:to>
      <xdr:col>55</xdr:col>
      <xdr:colOff>0</xdr:colOff>
      <xdr:row>70</xdr:row>
      <xdr:rowOff>0</xdr:rowOff>
    </xdr:to>
    <xdr:sp macro="" textlink="">
      <xdr:nvSpPr>
        <xdr:cNvPr id="69" name="システム枠（ルートB）">
          <a:extLst>
            <a:ext uri="{FF2B5EF4-FFF2-40B4-BE49-F238E27FC236}">
              <a16:creationId xmlns:a16="http://schemas.microsoft.com/office/drawing/2014/main" id="{00000000-0008-0000-0400-000045000000}"/>
            </a:ext>
          </a:extLst>
        </xdr:cNvPr>
        <xdr:cNvSpPr/>
      </xdr:nvSpPr>
      <xdr:spPr>
        <a:xfrm>
          <a:off x="8191500" y="11811000"/>
          <a:ext cx="2286000" cy="1524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F1FAF7"/>
        </a:solidFill>
        <a:ln w="12700" cap="flat">
          <a:solidFill>
            <a:srgbClr val="247966"/>
          </a:solidFill>
          <a:round/>
        </a:ln>
      </xdr:spPr>
      <xdr:txBody>
        <a:bodyPr vertOverflow="overflow" horzOverflow="overflow" wrap="square" lIns="76200" tIns="50800" rIns="76200" bIns="50800" rtlCol="0" anchor="t">
          <a:noAutofit/>
        </a:bodyPr>
        <a:lstStyle/>
        <a:p>
          <a:pPr algn="l"/>
          <a:r>
            <a:rPr lang="ja-JP" altLang="en-US" sz="950" b="1" dirty="0">
              <a:solidFill>
                <a:srgbClr val="005243"/>
              </a:solidFill>
              <a:latin typeface="Meiryo UI"/>
              <a:ea typeface="Meiryo UI"/>
              <a:cs typeface="Meiryo UI"/>
            </a:rPr>
            <a:t>システム枠（12×8）</a:t>
          </a:r>
          <a:endParaRPr lang="ja-JP" altLang="en-US" sz="950" dirty="0">
            <a:latin typeface="Meiryo UI"/>
            <a:ea typeface="Meiryo UI"/>
          </a:endParaRPr>
        </a:p>
        <a:p>
          <a:pPr algn="l"/>
          <a:r>
            <a:rPr lang="ja-JP" altLang="en-US" sz="750" b="0" dirty="0">
              <a:solidFill>
                <a:srgbClr val="595959"/>
              </a:solidFill>
              <a:latin typeface="Meiryo UI"/>
              <a:ea typeface="Meiryo UI"/>
              <a:cs typeface="Meiryo UI"/>
            </a:rPr>
            <a:t>中にノードを配置。枠にも12点接続</a:t>
          </a:r>
          <a:endParaRPr lang="ja-JP" altLang="en-US" sz="750" dirty="0">
            <a:latin typeface="Meiryo UI"/>
            <a:ea typeface="Meiryo UI"/>
          </a:endParaRPr>
        </a:p>
      </xdr:txBody>
    </xdr:sp>
    <xdr:clientData/>
  </xdr:twoCellAnchor>
  <xdr:twoCellAnchor editAs="oneCell">
    <xdr:from>
      <xdr:col>59</xdr:col>
      <xdr:colOff>0</xdr:colOff>
      <xdr:row>62</xdr:row>
      <xdr:rowOff>0</xdr:rowOff>
    </xdr:from>
    <xdr:to>
      <xdr:col>71</xdr:col>
      <xdr:colOff>0</xdr:colOff>
      <xdr:row>70</xdr:row>
      <xdr:rowOff>0</xdr:rowOff>
    </xdr:to>
    <xdr:sp macro="" textlink="">
      <xdr:nvSpPr>
        <xdr:cNvPr id="70" name="システム枠（ルートC）">
          <a:extLst>
            <a:ext uri="{FF2B5EF4-FFF2-40B4-BE49-F238E27FC236}">
              <a16:creationId xmlns:a16="http://schemas.microsoft.com/office/drawing/2014/main" id="{00000000-0008-0000-0400-000046000000}"/>
            </a:ext>
          </a:extLst>
        </xdr:cNvPr>
        <xdr:cNvSpPr/>
      </xdr:nvSpPr>
      <xdr:spPr>
        <a:xfrm>
          <a:off x="11239500" y="11811000"/>
          <a:ext cx="2286000" cy="1524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FEF6F2"/>
        </a:solidFill>
        <a:ln w="12700" cap="flat">
          <a:solidFill>
            <a:srgbClr val="C46B39"/>
          </a:solidFill>
          <a:round/>
        </a:ln>
      </xdr:spPr>
      <xdr:txBody>
        <a:bodyPr vertOverflow="overflow" horzOverflow="overflow" wrap="square" lIns="76200" tIns="50800" rIns="76200" bIns="50800" rtlCol="0" anchor="t">
          <a:noAutofit/>
        </a:bodyPr>
        <a:lstStyle/>
        <a:p>
          <a:pPr algn="l"/>
          <a:r>
            <a:rPr lang="ja-JP" altLang="en-US" sz="950" b="1" dirty="0">
              <a:solidFill>
                <a:srgbClr val="954717"/>
              </a:solidFill>
              <a:latin typeface="Meiryo UI"/>
              <a:ea typeface="Meiryo UI"/>
              <a:cs typeface="Meiryo UI"/>
            </a:rPr>
            <a:t>システム枠（12×8）</a:t>
          </a:r>
          <a:endParaRPr lang="ja-JP" altLang="en-US" sz="950" dirty="0">
            <a:latin typeface="Meiryo UI"/>
            <a:ea typeface="Meiryo UI"/>
          </a:endParaRPr>
        </a:p>
        <a:p>
          <a:pPr algn="l"/>
          <a:r>
            <a:rPr lang="ja-JP" altLang="en-US" sz="750" b="0" dirty="0">
              <a:solidFill>
                <a:srgbClr val="595959"/>
              </a:solidFill>
              <a:latin typeface="Meiryo UI"/>
              <a:ea typeface="Meiryo UI"/>
              <a:cs typeface="Meiryo UI"/>
            </a:rPr>
            <a:t>中にノードを配置。枠にも12点接続</a:t>
          </a:r>
          <a:endParaRPr lang="ja-JP" altLang="en-US" sz="750" dirty="0">
            <a:latin typeface="Meiryo UI"/>
            <a:ea typeface="Meiryo UI"/>
          </a:endParaRPr>
        </a:p>
      </xdr:txBody>
    </xdr:sp>
    <xdr:clientData/>
  </xdr:twoCellAnchor>
  <xdr:twoCellAnchor editAs="oneCell">
    <xdr:from>
      <xdr:col>11</xdr:col>
      <xdr:colOff>0</xdr:colOff>
      <xdr:row>72</xdr:row>
      <xdr:rowOff>0</xdr:rowOff>
    </xdr:from>
    <xdr:to>
      <xdr:col>19</xdr:col>
      <xdr:colOff>0</xdr:colOff>
      <xdr:row>76</xdr:row>
      <xdr:rowOff>0</xdr:rowOff>
    </xdr:to>
    <xdr:sp macro="" textlink="">
      <xdr:nvSpPr>
        <xdr:cNvPr id="71" name="ノード: 角丸・既存（共通）">
          <a:extLst>
            <a:ext uri="{FF2B5EF4-FFF2-40B4-BE49-F238E27FC236}">
              <a16:creationId xmlns:a16="http://schemas.microsoft.com/office/drawing/2014/main" id="{00000000-0008-0000-0400-000047000000}"/>
            </a:ext>
          </a:extLst>
        </xdr:cNvPr>
        <xdr:cNvSpPr/>
      </xdr:nvSpPr>
      <xdr:spPr>
        <a:xfrm>
          <a:off x="2095500" y="13716000"/>
          <a:ext cx="1524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F2F2F2"/>
        </a:solidFill>
        <a:ln w="12700" cap="flat">
          <a:solidFill>
            <a:srgbClr val="A6A6A6"/>
          </a:solidFill>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7F7F7F"/>
              </a:solidFill>
              <a:latin typeface="Meiryo UI"/>
              <a:ea typeface="Meiryo UI"/>
              <a:cs typeface="Meiryo UI"/>
            </a:rPr>
            <a:t>既存システム</a:t>
          </a:r>
          <a:endParaRPr lang="ja-JP" altLang="en-US" sz="950" dirty="0">
            <a:latin typeface="Meiryo UI"/>
            <a:ea typeface="Meiryo UI"/>
          </a:endParaRPr>
        </a:p>
        <a:p>
          <a:pPr algn="ctr">
            <a:lnSpc>
              <a:spcPct val="95000"/>
            </a:lnSpc>
            <a:spcBef>
              <a:spcPts val="50"/>
            </a:spcBef>
          </a:pPr>
          <a:r>
            <a:rPr lang="ja-JP" altLang="en-US" sz="750" b="0" dirty="0">
              <a:solidFill>
                <a:srgbClr val="A6A6A6"/>
              </a:solidFill>
              <a:latin typeface="Meiryo UI"/>
              <a:ea typeface="Meiryo UI"/>
              <a:cs typeface="Meiryo UI"/>
            </a:rPr>
            <a:t>変更なし・対象外</a:t>
          </a:r>
          <a:endParaRPr lang="ja-JP" altLang="en-US" sz="750" dirty="0">
            <a:latin typeface="Meiryo UI"/>
            <a:ea typeface="Meiryo UI"/>
          </a:endParaRPr>
        </a:p>
      </xdr:txBody>
    </xdr:sp>
    <xdr:clientData/>
  </xdr:twoCellAnchor>
  <xdr:twoCellAnchor editAs="oneCell">
    <xdr:from>
      <xdr:col>27</xdr:col>
      <xdr:colOff>0</xdr:colOff>
      <xdr:row>72</xdr:row>
      <xdr:rowOff>0</xdr:rowOff>
    </xdr:from>
    <xdr:to>
      <xdr:col>35</xdr:col>
      <xdr:colOff>0</xdr:colOff>
      <xdr:row>76</xdr:row>
      <xdr:rowOff>0</xdr:rowOff>
    </xdr:to>
    <xdr:sp macro="" textlink="">
      <xdr:nvSpPr>
        <xdr:cNvPr id="72" name="ノード: 角丸・外部（共通）">
          <a:extLst>
            <a:ext uri="{FF2B5EF4-FFF2-40B4-BE49-F238E27FC236}">
              <a16:creationId xmlns:a16="http://schemas.microsoft.com/office/drawing/2014/main" id="{00000000-0008-0000-0400-000048000000}"/>
            </a:ext>
          </a:extLst>
        </xdr:cNvPr>
        <xdr:cNvSpPr/>
      </xdr:nvSpPr>
      <xdr:spPr>
        <a:xfrm>
          <a:off x="5143500" y="13716000"/>
          <a:ext cx="1524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FFFFFF"/>
        </a:solidFill>
        <a:ln w="12700" cap="flat">
          <a:solidFill>
            <a:srgbClr val="7F7F7F"/>
          </a:solidFill>
          <a:prstDash val="dash"/>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262626"/>
              </a:solidFill>
              <a:latin typeface="Meiryo UI"/>
              <a:ea typeface="Meiryo UI"/>
              <a:cs typeface="Meiryo UI"/>
            </a:rPr>
            <a:t>外部システム</a:t>
          </a:r>
          <a:endParaRPr lang="ja-JP" altLang="en-US" sz="950" dirty="0">
            <a:latin typeface="Meiryo UI"/>
            <a:ea typeface="Meiryo UI"/>
          </a:endParaRPr>
        </a:p>
        <a:p>
          <a:pPr algn="ctr">
            <a:lnSpc>
              <a:spcPct val="95000"/>
            </a:lnSpc>
            <a:spcBef>
              <a:spcPts val="50"/>
            </a:spcBef>
          </a:pPr>
          <a:r>
            <a:rPr lang="ja-JP" altLang="en-US" sz="750" b="0" dirty="0">
              <a:solidFill>
                <a:srgbClr val="595959"/>
              </a:solidFill>
              <a:latin typeface="Meiryo UI"/>
              <a:ea typeface="Meiryo UI"/>
              <a:cs typeface="Meiryo UI"/>
            </a:rPr>
            <a:t>範囲外（破線）</a:t>
          </a:r>
          <a:endParaRPr lang="ja-JP" altLang="en-US" sz="750" dirty="0">
            <a:latin typeface="Meiryo UI"/>
            <a:ea typeface="Meiryo UI"/>
          </a:endParaRPr>
        </a:p>
      </xdr:txBody>
    </xdr:sp>
    <xdr:clientData/>
  </xdr:twoCellAnchor>
  <xdr:twoCellAnchor editAs="oneCell">
    <xdr:from>
      <xdr:col>43</xdr:col>
      <xdr:colOff>0</xdr:colOff>
      <xdr:row>72</xdr:row>
      <xdr:rowOff>0</xdr:rowOff>
    </xdr:from>
    <xdr:to>
      <xdr:col>51</xdr:col>
      <xdr:colOff>0</xdr:colOff>
      <xdr:row>76</xdr:row>
      <xdr:rowOff>0</xdr:rowOff>
    </xdr:to>
    <xdr:sp macro="" textlink="">
      <xdr:nvSpPr>
        <xdr:cNvPr id="73" name="ノード: 角丸・新規（共通）">
          <a:extLst>
            <a:ext uri="{FF2B5EF4-FFF2-40B4-BE49-F238E27FC236}">
              <a16:creationId xmlns:a16="http://schemas.microsoft.com/office/drawing/2014/main" id="{00000000-0008-0000-0400-000049000000}"/>
            </a:ext>
          </a:extLst>
        </xdr:cNvPr>
        <xdr:cNvSpPr/>
      </xdr:nvSpPr>
      <xdr:spPr>
        <a:xfrm>
          <a:off x="8191500" y="13716000"/>
          <a:ext cx="1524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FFFFFF"/>
        </a:solidFill>
        <a:ln w="19050" cap="flat">
          <a:solidFill>
            <a:srgbClr val="C00000"/>
          </a:solidFill>
          <a:prstDash val="dash"/>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262626"/>
              </a:solidFill>
              <a:latin typeface="Meiryo UI"/>
              <a:ea typeface="Meiryo UI"/>
              <a:cs typeface="Meiryo UI"/>
            </a:rPr>
            <a:t>新規システム</a:t>
          </a:r>
          <a:endParaRPr lang="ja-JP" altLang="en-US" sz="950" dirty="0">
            <a:latin typeface="Meiryo UI"/>
            <a:ea typeface="Meiryo UI"/>
          </a:endParaRPr>
        </a:p>
        <a:p>
          <a:pPr algn="ctr">
            <a:lnSpc>
              <a:spcPct val="95000"/>
            </a:lnSpc>
            <a:spcBef>
              <a:spcPts val="50"/>
            </a:spcBef>
          </a:pPr>
          <a:r>
            <a:rPr lang="ja-JP" altLang="en-US" sz="750" b="0" dirty="0">
              <a:solidFill>
                <a:srgbClr val="595959"/>
              </a:solidFill>
              <a:latin typeface="Meiryo UI"/>
              <a:ea typeface="Meiryo UI"/>
              <a:cs typeface="Meiryo UI"/>
            </a:rPr>
            <a:t>今回構築（赤破線）</a:t>
          </a:r>
          <a:endParaRPr lang="ja-JP" altLang="en-US" sz="750" dirty="0">
            <a:latin typeface="Meiryo UI"/>
            <a:ea typeface="Meiryo UI"/>
          </a:endParaRPr>
        </a:p>
      </xdr:txBody>
    </xdr:sp>
    <xdr:clientData/>
  </xdr:twoCellAnchor>
  <xdr:twoCellAnchor editAs="oneCell">
    <xdr:from>
      <xdr:col>59</xdr:col>
      <xdr:colOff>0</xdr:colOff>
      <xdr:row>72</xdr:row>
      <xdr:rowOff>0</xdr:rowOff>
    </xdr:from>
    <xdr:to>
      <xdr:col>67</xdr:col>
      <xdr:colOff>0</xdr:colOff>
      <xdr:row>76</xdr:row>
      <xdr:rowOff>0</xdr:rowOff>
    </xdr:to>
    <xdr:sp macro="" textlink="">
      <xdr:nvSpPr>
        <xdr:cNvPr id="74" name="ノード: 角丸・将来（共通）">
          <a:extLst>
            <a:ext uri="{FF2B5EF4-FFF2-40B4-BE49-F238E27FC236}">
              <a16:creationId xmlns:a16="http://schemas.microsoft.com/office/drawing/2014/main" id="{00000000-0008-0000-0400-00004A000000}"/>
            </a:ext>
          </a:extLst>
        </xdr:cNvPr>
        <xdr:cNvSpPr/>
      </xdr:nvSpPr>
      <xdr:spPr>
        <a:xfrm>
          <a:off x="11239500" y="13716000"/>
          <a:ext cx="1524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FFFFFF"/>
        </a:solidFill>
        <a:ln w="12700" cap="flat">
          <a:solidFill>
            <a:srgbClr val="A6A6A6"/>
          </a:solidFill>
          <a:prstDash val="sysDot"/>
          <a:round/>
        </a:ln>
      </xdr:spPr>
      <xdr:txBody>
        <a:bodyPr vertOverflow="overflow" horzOverflow="overflow" wrap="square" lIns="38100" tIns="19050" rIns="38100" bIns="19050" rtlCol="0" anchor="ctr">
          <a:noAutofit/>
        </a:bodyPr>
        <a:lstStyle/>
        <a:p>
          <a:pPr algn="ctr">
            <a:lnSpc>
              <a:spcPct val="95000"/>
            </a:lnSpc>
          </a:pPr>
          <a:r>
            <a:rPr lang="ja-JP" altLang="en-US" sz="950" b="1" dirty="0">
              <a:solidFill>
                <a:srgbClr val="7F7F7F"/>
              </a:solidFill>
              <a:latin typeface="Meiryo UI"/>
              <a:ea typeface="Meiryo UI"/>
              <a:cs typeface="Meiryo UI"/>
            </a:rPr>
            <a:t>将来システム</a:t>
          </a:r>
          <a:endParaRPr lang="ja-JP" altLang="en-US" sz="950" dirty="0">
            <a:latin typeface="Meiryo UI"/>
            <a:ea typeface="Meiryo UI"/>
          </a:endParaRPr>
        </a:p>
        <a:p>
          <a:pPr algn="ctr">
            <a:lnSpc>
              <a:spcPct val="95000"/>
            </a:lnSpc>
            <a:spcBef>
              <a:spcPts val="50"/>
            </a:spcBef>
          </a:pPr>
          <a:r>
            <a:rPr lang="ja-JP" altLang="en-US" sz="750" b="0" dirty="0">
              <a:solidFill>
                <a:srgbClr val="A6A6A6"/>
              </a:solidFill>
              <a:latin typeface="Meiryo UI"/>
              <a:ea typeface="Meiryo UI"/>
              <a:cs typeface="Meiryo UI"/>
            </a:rPr>
            <a:t>計画中（点線）</a:t>
          </a:r>
          <a:endParaRPr lang="ja-JP" altLang="en-US" sz="750" dirty="0">
            <a:latin typeface="Meiryo UI"/>
            <a:ea typeface="Meiryo UI"/>
          </a:endParaRPr>
        </a:p>
      </xdr:txBody>
    </xdr:sp>
    <xdr:clientData/>
  </xdr:twoCellAnchor>
  <xdr:twoCellAnchor editAs="oneCell">
    <xdr:from>
      <xdr:col>49</xdr:col>
      <xdr:colOff>0</xdr:colOff>
      <xdr:row>71</xdr:row>
      <xdr:rowOff>95250</xdr:rowOff>
    </xdr:from>
    <xdr:to>
      <xdr:col>51</xdr:col>
      <xdr:colOff>0</xdr:colOff>
      <xdr:row>72</xdr:row>
      <xdr:rowOff>95250</xdr:rowOff>
    </xdr:to>
    <xdr:sp macro="" textlink="">
      <xdr:nvSpPr>
        <xdr:cNvPr id="75" name="タグ: 新規">
          <a:extLst>
            <a:ext uri="{FF2B5EF4-FFF2-40B4-BE49-F238E27FC236}">
              <a16:creationId xmlns:a16="http://schemas.microsoft.com/office/drawing/2014/main" id="{00000000-0008-0000-0400-00004B000000}"/>
            </a:ext>
          </a:extLst>
        </xdr:cNvPr>
        <xdr:cNvSpPr/>
      </xdr:nvSpPr>
      <xdr:spPr>
        <a:xfrm>
          <a:off x="9334500" y="13620750"/>
          <a:ext cx="381000" cy="190500"/>
        </a:xfrm>
        <a:prstGeom prst="rect">
          <a:avLst/>
        </a:prstGeom>
        <a:solidFill>
          <a:srgbClr val="C00000"/>
        </a:solidFill>
        <a:ln w="9525" cap="flat">
          <a:solidFill>
            <a:srgbClr val="C00000"/>
          </a:solidFill>
          <a:round/>
        </a:ln>
      </xdr:spPr>
      <xdr:txBody>
        <a:bodyPr vertOverflow="overflow" horzOverflow="overflow" wrap="none" lIns="0" tIns="0" rIns="0" bIns="0" rtlCol="0" anchor="ctr">
          <a:noAutofit/>
        </a:bodyPr>
        <a:lstStyle/>
        <a:p>
          <a:pPr algn="ctr"/>
          <a:r>
            <a:rPr lang="ja-JP" altLang="en-US" sz="700" b="1" dirty="0">
              <a:solidFill>
                <a:srgbClr val="FFFFFF"/>
              </a:solidFill>
              <a:latin typeface="Meiryo UI"/>
              <a:ea typeface="Meiryo UI"/>
              <a:cs typeface="Meiryo UI"/>
            </a:rPr>
            <a:t>新規</a:t>
          </a:r>
          <a:endParaRPr lang="ja-JP" altLang="en-US" sz="700" dirty="0">
            <a:latin typeface="Meiryo UI"/>
            <a:ea typeface="Meiryo UI"/>
          </a:endParaRPr>
        </a:p>
      </xdr:txBody>
    </xdr:sp>
    <xdr:clientData/>
  </xdr:twoCellAnchor>
  <xdr:twoCellAnchor editAs="oneCell">
    <xdr:from>
      <xdr:col>13</xdr:col>
      <xdr:colOff>0</xdr:colOff>
      <xdr:row>78</xdr:row>
      <xdr:rowOff>0</xdr:rowOff>
    </xdr:from>
    <xdr:to>
      <xdr:col>17</xdr:col>
      <xdr:colOff>0</xdr:colOff>
      <xdr:row>82</xdr:row>
      <xdr:rowOff>0</xdr:rowOff>
    </xdr:to>
    <xdr:sp macro="" textlink="">
      <xdr:nvSpPr>
        <xdr:cNvPr id="76" name="アイコン接続フレーム（透明・12点）">
          <a:extLst>
            <a:ext uri="{FF2B5EF4-FFF2-40B4-BE49-F238E27FC236}">
              <a16:creationId xmlns:a16="http://schemas.microsoft.com/office/drawing/2014/main" id="{00000000-0008-0000-0400-00004C000000}"/>
            </a:ext>
          </a:extLst>
        </xdr:cNvPr>
        <xdr:cNvSpPr/>
      </xdr:nvSpPr>
      <xdr:spPr>
        <a:xfrm>
          <a:off x="2476500" y="14859000"/>
          <a:ext cx="762000" cy="762000"/>
        </a:xfrm>
        <a:custGeom>
          <a:avLst/>
          <a:gdLst>
            <a:gd name="x1" fmla="*/ w 1 4"/>
            <a:gd name="x2" fmla="*/ w 1 2"/>
            <a:gd name="x3" fmla="*/ w 3 4"/>
            <a:gd name="y1" fmla="*/ h 1 4"/>
            <a:gd name="y2" fmla="*/ h 1 2"/>
            <a:gd name="y3" fmla="*/ h 3 4"/>
            <a:gd name="smin" fmla="min w h"/>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r" y="t"/>
              </a:lnTo>
              <a:lnTo>
                <a:pt x="r" y="b"/>
              </a:lnTo>
              <a:lnTo>
                <a:pt x="l" y="b"/>
              </a:lnTo>
              <a:close/>
            </a:path>
          </a:pathLst>
        </a:custGeom>
        <a:solidFill>
          <a:srgbClr val="FFFFFF">
            <a:alpha val="0"/>
          </a:srgbClr>
        </a:solidFill>
        <a:ln w="6350" cap="flat">
          <a:solidFill>
            <a:srgbClr val="A6A6A6"/>
          </a:solidFill>
          <a:prstDash val="sysDash"/>
          <a:round/>
        </a:ln>
      </xdr:spPr>
      <xdr:txBody>
        <a:bodyPr vertOverflow="overflow" horzOverflow="overflow" wrap="square" lIns="38100" tIns="19050" rIns="38100" bIns="19050" rtlCol="0" anchor="ctr">
          <a:noAutofit/>
        </a:bodyPr>
        <a:lstStyle/>
        <a:p>
          <a:pPr algn="ctr"/>
          <a:endParaRPr lang="ja-JP" altLang="en-US" sz="800" dirty="0">
            <a:latin typeface="Meiryo UI"/>
            <a:ea typeface="Meiryo UI"/>
          </a:endParaRPr>
        </a:p>
      </xdr:txBody>
    </xdr:sp>
    <xdr:clientData/>
  </xdr:twoCellAnchor>
  <xdr:twoCellAnchor editAs="oneCell">
    <xdr:from>
      <xdr:col>18</xdr:col>
      <xdr:colOff>0</xdr:colOff>
      <xdr:row>78</xdr:row>
      <xdr:rowOff>0</xdr:rowOff>
    </xdr:from>
    <xdr:to>
      <xdr:col>27</xdr:col>
      <xdr:colOff>0</xdr:colOff>
      <xdr:row>82</xdr:row>
      <xdr:rowOff>0</xdr:rowOff>
    </xdr:to>
    <xdr:sp macro="" textlink="">
      <xdr:nvSpPr>
        <xdr:cNvPr id="77" name="テキスト">
          <a:extLst>
            <a:ext uri="{FF2B5EF4-FFF2-40B4-BE49-F238E27FC236}">
              <a16:creationId xmlns:a16="http://schemas.microsoft.com/office/drawing/2014/main" id="{00000000-0008-0000-0400-00004D000000}"/>
            </a:ext>
          </a:extLst>
        </xdr:cNvPr>
        <xdr:cNvSpPr/>
      </xdr:nvSpPr>
      <xdr:spPr>
        <a:xfrm>
          <a:off x="3429000" y="14859000"/>
          <a:ext cx="1714500" cy="762000"/>
        </a:xfrm>
        <a:prstGeom prst="rect">
          <a:avLst/>
        </a:prstGeom>
        <a:noFill/>
        <a:ln>
          <a:noFill/>
        </a:ln>
      </xdr:spPr>
      <xdr:txBody>
        <a:bodyPr vertOverflow="overflow" horzOverflow="overflow" wrap="square" lIns="12700" tIns="0" rIns="12700" bIns="0" rtlCol="0" anchor="ctr">
          <a:noAutofit/>
        </a:bodyPr>
        <a:lstStyle/>
        <a:p>
          <a:pPr algn="l"/>
          <a:r>
            <a:rPr lang="ja-JP" altLang="en-US" sz="750" b="0" dirty="0">
              <a:solidFill>
                <a:srgbClr val="595959"/>
              </a:solidFill>
              <a:latin typeface="Meiryo UI"/>
              <a:ea typeface="Meiryo UI"/>
              <a:cs typeface="Meiryo UI"/>
            </a:rPr>
            <a:t>透明な12点の枠。</a:t>
          </a:r>
          <a:endParaRPr lang="ja-JP" altLang="en-US" sz="750" dirty="0">
            <a:latin typeface="Meiryo UI"/>
            <a:ea typeface="Meiryo UI"/>
          </a:endParaRPr>
        </a:p>
        <a:p>
          <a:pPr algn="l"/>
          <a:r>
            <a:rPr lang="ja-JP" altLang="en-US" sz="750" b="0" dirty="0">
              <a:solidFill>
                <a:srgbClr val="595959"/>
              </a:solidFill>
              <a:latin typeface="Meiryo UI"/>
              <a:ea typeface="Meiryo UI"/>
              <a:cs typeface="Meiryo UI"/>
            </a:rPr>
            <a:t>アイコン（AWS等）に重ねて</a:t>
          </a:r>
          <a:endParaRPr lang="ja-JP" altLang="en-US" sz="750" dirty="0">
            <a:latin typeface="Meiryo UI"/>
            <a:ea typeface="Meiryo UI"/>
          </a:endParaRPr>
        </a:p>
        <a:p>
          <a:pPr algn="l"/>
          <a:r>
            <a:rPr lang="ja-JP" altLang="en-US" sz="750" b="0" dirty="0">
              <a:solidFill>
                <a:srgbClr val="595959"/>
              </a:solidFill>
              <a:latin typeface="Meiryo UI"/>
              <a:ea typeface="Meiryo UI"/>
              <a:cs typeface="Meiryo UI"/>
            </a:rPr>
            <a:t>グループ化（Ctrl＋G）すると</a:t>
          </a:r>
          <a:endParaRPr lang="ja-JP" altLang="en-US" sz="750" dirty="0">
            <a:latin typeface="Meiryo UI"/>
            <a:ea typeface="Meiryo UI"/>
          </a:endParaRPr>
        </a:p>
        <a:p>
          <a:pPr algn="l"/>
          <a:r>
            <a:rPr lang="ja-JP" altLang="en-US" sz="750" b="0" dirty="0">
              <a:solidFill>
                <a:srgbClr val="595959"/>
              </a:solidFill>
              <a:latin typeface="Meiryo UI"/>
              <a:ea typeface="Meiryo UI"/>
              <a:cs typeface="Meiryo UI"/>
            </a:rPr>
            <a:t>12か所で接続できます</a:t>
          </a:r>
          <a:endParaRPr lang="ja-JP" altLang="en-US" sz="750" dirty="0">
            <a:latin typeface="Meiryo UI"/>
            <a:ea typeface="Meiryo UI"/>
          </a:endParaRPr>
        </a:p>
      </xdr:txBody>
    </xdr:sp>
    <xdr:clientData/>
  </xdr:twoCellAnchor>
  <xdr:twoCellAnchor editAs="oneCell">
    <xdr:from>
      <xdr:col>29</xdr:col>
      <xdr:colOff>0</xdr:colOff>
      <xdr:row>78</xdr:row>
      <xdr:rowOff>0</xdr:rowOff>
    </xdr:from>
    <xdr:to>
      <xdr:col>33</xdr:col>
      <xdr:colOff>0</xdr:colOff>
      <xdr:row>82</xdr:row>
      <xdr:rowOff>0</xdr:rowOff>
    </xdr:to>
    <xdr:grpSp>
      <xdr:nvGrpSpPr>
        <xdr:cNvPr id="80" name="アイコン＋接続フレーム（AWS Lambda）">
          <a:extLst>
            <a:ext uri="{FF2B5EF4-FFF2-40B4-BE49-F238E27FC236}">
              <a16:creationId xmlns:a16="http://schemas.microsoft.com/office/drawing/2014/main" id="{00000000-0008-0000-0400-000050000000}"/>
            </a:ext>
          </a:extLst>
        </xdr:cNvPr>
        <xdr:cNvGrpSpPr/>
      </xdr:nvGrpSpPr>
      <xdr:grpSpPr>
        <a:xfrm>
          <a:off x="5524500" y="14573250"/>
          <a:ext cx="762000" cy="690563"/>
          <a:chOff x="5524500" y="14859000"/>
          <a:chExt cx="762000" cy="762000"/>
        </a:xfrm>
      </xdr:grpSpPr>
      <xdr:pic>
        <xdr:nvPicPr>
          <xdr:cNvPr id="78" name="アイコン: AWS Lambda" descr="AWS Lambda">
            <a:extLst>
              <a:ext uri="{FF2B5EF4-FFF2-40B4-BE49-F238E27FC236}">
                <a16:creationId xmlns:a16="http://schemas.microsoft.com/office/drawing/2014/main" id="{00000000-0008-0000-0400-00004E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619750" y="14954250"/>
            <a:ext cx="571500" cy="571500"/>
          </a:xfrm>
          <a:prstGeom prst="rect">
            <a:avLst/>
          </a:prstGeom>
        </xdr:spPr>
      </xdr:pic>
      <xdr:sp macro="" textlink="">
        <xdr:nvSpPr>
          <xdr:cNvPr id="79" name="アイコン接続フレーム">
            <a:extLst>
              <a:ext uri="{FF2B5EF4-FFF2-40B4-BE49-F238E27FC236}">
                <a16:creationId xmlns:a16="http://schemas.microsoft.com/office/drawing/2014/main" id="{00000000-0008-0000-0400-00004F000000}"/>
              </a:ext>
            </a:extLst>
          </xdr:cNvPr>
          <xdr:cNvSpPr/>
        </xdr:nvSpPr>
        <xdr:spPr>
          <a:xfrm>
            <a:off x="5524500" y="14859000"/>
            <a:ext cx="762000" cy="762000"/>
          </a:xfrm>
          <a:custGeom>
            <a:avLst/>
            <a:gdLst>
              <a:gd name="x1" fmla="*/ w 1 4"/>
              <a:gd name="x2" fmla="*/ w 1 2"/>
              <a:gd name="x3" fmla="*/ w 3 4"/>
              <a:gd name="y1" fmla="*/ h 1 4"/>
              <a:gd name="y2" fmla="*/ h 1 2"/>
              <a:gd name="y3" fmla="*/ h 3 4"/>
              <a:gd name="smin" fmla="min w h"/>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r" y="t"/>
                </a:lnTo>
                <a:lnTo>
                  <a:pt x="r" y="b"/>
                </a:lnTo>
                <a:lnTo>
                  <a:pt x="l" y="b"/>
                </a:lnTo>
                <a:close/>
              </a:path>
            </a:pathLst>
          </a:custGeom>
          <a:solidFill>
            <a:srgbClr val="FFFFFF">
              <a:alpha val="0"/>
            </a:srgbClr>
          </a:solidFill>
          <a:ln>
            <a:noFill/>
          </a:ln>
        </xdr:spPr>
        <xdr:txBody>
          <a:bodyPr vertOverflow="overflow" horzOverflow="overflow" wrap="square" lIns="38100" tIns="19050" rIns="38100" bIns="19050" rtlCol="0" anchor="ctr">
            <a:noAutofit/>
          </a:bodyPr>
          <a:lstStyle/>
          <a:p>
            <a:pPr algn="ctr"/>
            <a:endParaRPr lang="ja-JP" altLang="en-US" sz="600" dirty="0">
              <a:latin typeface="Meiryo UI"/>
              <a:ea typeface="Meiryo UI"/>
            </a:endParaRPr>
          </a:p>
        </xdr:txBody>
      </xdr:sp>
    </xdr:grpSp>
    <xdr:clientData/>
  </xdr:twoCellAnchor>
  <xdr:twoCellAnchor editAs="oneCell">
    <xdr:from>
      <xdr:col>28</xdr:col>
      <xdr:colOff>0</xdr:colOff>
      <xdr:row>82</xdr:row>
      <xdr:rowOff>0</xdr:rowOff>
    </xdr:from>
    <xdr:to>
      <xdr:col>34</xdr:col>
      <xdr:colOff>0</xdr:colOff>
      <xdr:row>83</xdr:row>
      <xdr:rowOff>0</xdr:rowOff>
    </xdr:to>
    <xdr:sp macro="" textlink="">
      <xdr:nvSpPr>
        <xdr:cNvPr id="81" name="アイコン名: AWS Lambda">
          <a:extLst>
            <a:ext uri="{FF2B5EF4-FFF2-40B4-BE49-F238E27FC236}">
              <a16:creationId xmlns:a16="http://schemas.microsoft.com/office/drawing/2014/main" id="{00000000-0008-0000-0400-000051000000}"/>
            </a:ext>
          </a:extLst>
        </xdr:cNvPr>
        <xdr:cNvSpPr/>
      </xdr:nvSpPr>
      <xdr:spPr>
        <a:xfrm>
          <a:off x="5334000" y="15621000"/>
          <a:ext cx="1143000" cy="190500"/>
        </a:xfrm>
        <a:prstGeom prst="rect">
          <a:avLst/>
        </a:prstGeom>
        <a:noFill/>
        <a:ln>
          <a:noFill/>
        </a:ln>
      </xdr:spPr>
      <xdr:txBody>
        <a:bodyPr vertOverflow="overflow" horzOverflow="overflow" wrap="square" lIns="12700" tIns="0" rIns="12700" bIns="0" rtlCol="0" anchor="ctr">
          <a:noAutofit/>
        </a:bodyPr>
        <a:lstStyle/>
        <a:p>
          <a:pPr algn="ctr"/>
          <a:r>
            <a:rPr lang="ja-JP" altLang="en-US" sz="750" b="0" dirty="0">
              <a:solidFill>
                <a:srgbClr val="404040"/>
              </a:solidFill>
              <a:latin typeface="Meiryo UI"/>
              <a:ea typeface="Meiryo UI"/>
              <a:cs typeface="Meiryo UI"/>
            </a:rPr>
            <a:t>AWS Lambda</a:t>
          </a:r>
          <a:endParaRPr lang="ja-JP" altLang="en-US" sz="750" dirty="0">
            <a:latin typeface="Meiryo UI"/>
            <a:ea typeface="Meiryo UI"/>
          </a:endParaRPr>
        </a:p>
      </xdr:txBody>
    </xdr:sp>
    <xdr:clientData/>
  </xdr:twoCellAnchor>
  <xdr:twoCellAnchor editAs="oneCell">
    <xdr:from>
      <xdr:col>34</xdr:col>
      <xdr:colOff>0</xdr:colOff>
      <xdr:row>78</xdr:row>
      <xdr:rowOff>0</xdr:rowOff>
    </xdr:from>
    <xdr:to>
      <xdr:col>43</xdr:col>
      <xdr:colOff>0</xdr:colOff>
      <xdr:row>82</xdr:row>
      <xdr:rowOff>0</xdr:rowOff>
    </xdr:to>
    <xdr:sp macro="" textlink="">
      <xdr:nvSpPr>
        <xdr:cNvPr id="82" name="テキスト">
          <a:extLst>
            <a:ext uri="{FF2B5EF4-FFF2-40B4-BE49-F238E27FC236}">
              <a16:creationId xmlns:a16="http://schemas.microsoft.com/office/drawing/2014/main" id="{00000000-0008-0000-0400-000052000000}"/>
            </a:ext>
          </a:extLst>
        </xdr:cNvPr>
        <xdr:cNvSpPr/>
      </xdr:nvSpPr>
      <xdr:spPr>
        <a:xfrm>
          <a:off x="6477000" y="14859000"/>
          <a:ext cx="1714500" cy="762000"/>
        </a:xfrm>
        <a:prstGeom prst="rect">
          <a:avLst/>
        </a:prstGeom>
        <a:noFill/>
        <a:ln>
          <a:noFill/>
        </a:ln>
      </xdr:spPr>
      <xdr:txBody>
        <a:bodyPr vertOverflow="overflow" horzOverflow="overflow" wrap="square" lIns="12700" tIns="0" rIns="12700" bIns="0" rtlCol="0" anchor="ctr">
          <a:noAutofit/>
        </a:bodyPr>
        <a:lstStyle/>
        <a:p>
          <a:pPr algn="l"/>
          <a:r>
            <a:rPr lang="ja-JP" altLang="en-US" sz="750" b="0" dirty="0">
              <a:solidFill>
                <a:srgbClr val="595959"/>
              </a:solidFill>
              <a:latin typeface="Meiryo UI"/>
              <a:ea typeface="Meiryo UI"/>
              <a:cs typeface="Meiryo UI"/>
            </a:rPr>
            <a:t>見本：AWS Lambda アイコン＋</a:t>
          </a:r>
          <a:endParaRPr lang="ja-JP" altLang="en-US" sz="750" dirty="0">
            <a:latin typeface="Meiryo UI"/>
            <a:ea typeface="Meiryo UI"/>
          </a:endParaRPr>
        </a:p>
        <a:p>
          <a:pPr algn="l"/>
          <a:r>
            <a:rPr lang="ja-JP" altLang="en-US" sz="750" b="0" dirty="0">
              <a:solidFill>
                <a:srgbClr val="595959"/>
              </a:solidFill>
              <a:latin typeface="Meiryo UI"/>
              <a:ea typeface="Meiryo UI"/>
              <a:cs typeface="Meiryo UI"/>
            </a:rPr>
            <a:t>接続フレームをグループ化済み。</a:t>
          </a:r>
          <a:endParaRPr lang="ja-JP" altLang="en-US" sz="750" dirty="0">
            <a:latin typeface="Meiryo UI"/>
            <a:ea typeface="Meiryo UI"/>
          </a:endParaRPr>
        </a:p>
        <a:p>
          <a:pPr algn="l"/>
          <a:r>
            <a:rPr lang="ja-JP" altLang="en-US" sz="750" b="0" dirty="0">
              <a:solidFill>
                <a:srgbClr val="595959"/>
              </a:solidFill>
              <a:latin typeface="Meiryo UI"/>
              <a:ea typeface="Meiryo UI"/>
              <a:cs typeface="Meiryo UI"/>
            </a:rPr>
            <a:t>AWSアイコンは既存テンプレートの</a:t>
          </a:r>
          <a:endParaRPr lang="ja-JP" altLang="en-US" sz="750" dirty="0">
            <a:latin typeface="Meiryo UI"/>
            <a:ea typeface="Meiryo UI"/>
          </a:endParaRPr>
        </a:p>
        <a:p>
          <a:pPr algn="l"/>
          <a:r>
            <a:rPr lang="ja-JP" altLang="en-US" sz="750" b="0" dirty="0">
              <a:solidFill>
                <a:srgbClr val="595959"/>
              </a:solidFill>
              <a:latin typeface="Meiryo UI"/>
              <a:ea typeface="Meiryo UI"/>
              <a:cs typeface="Meiryo UI"/>
            </a:rPr>
            <a:t>「AWSアイコン一覧」から</a:t>
          </a:r>
          <a:endParaRPr lang="ja-JP" altLang="en-US" sz="750" dirty="0">
            <a:latin typeface="Meiryo UI"/>
            <a:ea typeface="Meiryo UI"/>
          </a:endParaRPr>
        </a:p>
      </xdr:txBody>
    </xdr:sp>
    <xdr:clientData/>
  </xdr:twoCellAnchor>
  <xdr:twoCellAnchor editAs="oneCell">
    <xdr:from>
      <xdr:col>11</xdr:col>
      <xdr:colOff>0</xdr:colOff>
      <xdr:row>90</xdr:row>
      <xdr:rowOff>0</xdr:rowOff>
    </xdr:from>
    <xdr:to>
      <xdr:col>20</xdr:col>
      <xdr:colOff>0</xdr:colOff>
      <xdr:row>90</xdr:row>
      <xdr:rowOff>0</xdr:rowOff>
    </xdr:to>
    <xdr:cxnSp macro="">
      <xdr:nvCxnSpPr>
        <xdr:cNvPr id="83" name="線: オンライン連携・直線（共通）">
          <a:extLst>
            <a:ext uri="{FF2B5EF4-FFF2-40B4-BE49-F238E27FC236}">
              <a16:creationId xmlns:a16="http://schemas.microsoft.com/office/drawing/2014/main" id="{00000000-0008-0000-0400-000053000000}"/>
            </a:ext>
          </a:extLst>
        </xdr:cNvPr>
        <xdr:cNvCxnSpPr/>
      </xdr:nvCxnSpPr>
      <xdr:spPr>
        <a:xfrm>
          <a:off x="2095500" y="17145000"/>
          <a:ext cx="1714500" cy="0"/>
        </a:xfrm>
        <a:prstGeom prst="straightConnector1">
          <a:avLst/>
        </a:prstGeom>
        <a:ln w="19050" cap="flat">
          <a:solidFill>
            <a:srgbClr val="404040"/>
          </a:solidFill>
          <a:round/>
          <a:tailEnd type="triangle" w="med" len="med"/>
        </a:ln>
      </xdr:spPr>
    </xdr:cxnSp>
    <xdr:clientData/>
  </xdr:twoCellAnchor>
  <xdr:twoCellAnchor editAs="oneCell">
    <xdr:from>
      <xdr:col>21</xdr:col>
      <xdr:colOff>0</xdr:colOff>
      <xdr:row>89</xdr:row>
      <xdr:rowOff>0</xdr:rowOff>
    </xdr:from>
    <xdr:to>
      <xdr:col>25</xdr:col>
      <xdr:colOff>0</xdr:colOff>
      <xdr:row>91</xdr:row>
      <xdr:rowOff>0</xdr:rowOff>
    </xdr:to>
    <xdr:cxnSp macro="">
      <xdr:nvCxnSpPr>
        <xdr:cNvPr id="84" name="線: オンライン連携・カギ線（共通）">
          <a:extLst>
            <a:ext uri="{FF2B5EF4-FFF2-40B4-BE49-F238E27FC236}">
              <a16:creationId xmlns:a16="http://schemas.microsoft.com/office/drawing/2014/main" id="{00000000-0008-0000-0400-000054000000}"/>
            </a:ext>
          </a:extLst>
        </xdr:cNvPr>
        <xdr:cNvCxnSpPr/>
      </xdr:nvCxnSpPr>
      <xdr:spPr>
        <a:xfrm>
          <a:off x="4000500" y="16954500"/>
          <a:ext cx="762000" cy="381000"/>
        </a:xfrm>
        <a:prstGeom prst="bentConnector3">
          <a:avLst/>
        </a:prstGeom>
        <a:ln w="19050" cap="flat">
          <a:solidFill>
            <a:srgbClr val="404040"/>
          </a:solidFill>
          <a:round/>
          <a:tailEnd type="triangle" w="med" len="med"/>
        </a:ln>
      </xdr:spPr>
    </xdr:cxnSp>
    <xdr:clientData/>
  </xdr:twoCellAnchor>
  <xdr:twoCellAnchor editAs="oneCell">
    <xdr:from>
      <xdr:col>27</xdr:col>
      <xdr:colOff>0</xdr:colOff>
      <xdr:row>90</xdr:row>
      <xdr:rowOff>0</xdr:rowOff>
    </xdr:from>
    <xdr:to>
      <xdr:col>36</xdr:col>
      <xdr:colOff>0</xdr:colOff>
      <xdr:row>90</xdr:row>
      <xdr:rowOff>0</xdr:rowOff>
    </xdr:to>
    <xdr:cxnSp macro="">
      <xdr:nvCxnSpPr>
        <xdr:cNvPr id="85" name="線: オンライン連携・直線（ルートA）">
          <a:extLst>
            <a:ext uri="{FF2B5EF4-FFF2-40B4-BE49-F238E27FC236}">
              <a16:creationId xmlns:a16="http://schemas.microsoft.com/office/drawing/2014/main" id="{00000000-0008-0000-0400-000055000000}"/>
            </a:ext>
          </a:extLst>
        </xdr:cNvPr>
        <xdr:cNvCxnSpPr/>
      </xdr:nvCxnSpPr>
      <xdr:spPr>
        <a:xfrm>
          <a:off x="5143500" y="17145000"/>
          <a:ext cx="1714500" cy="0"/>
        </a:xfrm>
        <a:prstGeom prst="straightConnector1">
          <a:avLst/>
        </a:prstGeom>
        <a:ln w="19050" cap="flat">
          <a:solidFill>
            <a:srgbClr val="315C92"/>
          </a:solidFill>
          <a:round/>
          <a:tailEnd type="triangle" w="med" len="med"/>
        </a:ln>
      </xdr:spPr>
    </xdr:cxnSp>
    <xdr:clientData/>
  </xdr:twoCellAnchor>
  <xdr:twoCellAnchor editAs="oneCell">
    <xdr:from>
      <xdr:col>37</xdr:col>
      <xdr:colOff>0</xdr:colOff>
      <xdr:row>89</xdr:row>
      <xdr:rowOff>0</xdr:rowOff>
    </xdr:from>
    <xdr:to>
      <xdr:col>41</xdr:col>
      <xdr:colOff>0</xdr:colOff>
      <xdr:row>91</xdr:row>
      <xdr:rowOff>0</xdr:rowOff>
    </xdr:to>
    <xdr:cxnSp macro="">
      <xdr:nvCxnSpPr>
        <xdr:cNvPr id="86" name="線: オンライン連携・カギ線（ルートA）">
          <a:extLst>
            <a:ext uri="{FF2B5EF4-FFF2-40B4-BE49-F238E27FC236}">
              <a16:creationId xmlns:a16="http://schemas.microsoft.com/office/drawing/2014/main" id="{00000000-0008-0000-0400-000056000000}"/>
            </a:ext>
          </a:extLst>
        </xdr:cNvPr>
        <xdr:cNvCxnSpPr/>
      </xdr:nvCxnSpPr>
      <xdr:spPr>
        <a:xfrm>
          <a:off x="7048500" y="16954500"/>
          <a:ext cx="762000" cy="381000"/>
        </a:xfrm>
        <a:prstGeom prst="bentConnector3">
          <a:avLst/>
        </a:prstGeom>
        <a:ln w="19050" cap="flat">
          <a:solidFill>
            <a:srgbClr val="315C92"/>
          </a:solidFill>
          <a:round/>
          <a:tailEnd type="triangle" w="med" len="med"/>
        </a:ln>
      </xdr:spPr>
    </xdr:cxnSp>
    <xdr:clientData/>
  </xdr:twoCellAnchor>
  <xdr:twoCellAnchor editAs="oneCell">
    <xdr:from>
      <xdr:col>43</xdr:col>
      <xdr:colOff>0</xdr:colOff>
      <xdr:row>90</xdr:row>
      <xdr:rowOff>0</xdr:rowOff>
    </xdr:from>
    <xdr:to>
      <xdr:col>52</xdr:col>
      <xdr:colOff>0</xdr:colOff>
      <xdr:row>90</xdr:row>
      <xdr:rowOff>0</xdr:rowOff>
    </xdr:to>
    <xdr:cxnSp macro="">
      <xdr:nvCxnSpPr>
        <xdr:cNvPr id="87" name="線: オンライン連携・直線（ルートB）">
          <a:extLst>
            <a:ext uri="{FF2B5EF4-FFF2-40B4-BE49-F238E27FC236}">
              <a16:creationId xmlns:a16="http://schemas.microsoft.com/office/drawing/2014/main" id="{00000000-0008-0000-0400-000057000000}"/>
            </a:ext>
          </a:extLst>
        </xdr:cNvPr>
        <xdr:cNvCxnSpPr/>
      </xdr:nvCxnSpPr>
      <xdr:spPr>
        <a:xfrm>
          <a:off x="8191500" y="17145000"/>
          <a:ext cx="1714500" cy="0"/>
        </a:xfrm>
        <a:prstGeom prst="straightConnector1">
          <a:avLst/>
        </a:prstGeom>
        <a:ln w="19050" cap="flat">
          <a:solidFill>
            <a:srgbClr val="247966"/>
          </a:solidFill>
          <a:round/>
          <a:tailEnd type="triangle" w="med" len="med"/>
        </a:ln>
      </xdr:spPr>
    </xdr:cxnSp>
    <xdr:clientData/>
  </xdr:twoCellAnchor>
  <xdr:twoCellAnchor editAs="oneCell">
    <xdr:from>
      <xdr:col>53</xdr:col>
      <xdr:colOff>0</xdr:colOff>
      <xdr:row>89</xdr:row>
      <xdr:rowOff>0</xdr:rowOff>
    </xdr:from>
    <xdr:to>
      <xdr:col>57</xdr:col>
      <xdr:colOff>0</xdr:colOff>
      <xdr:row>91</xdr:row>
      <xdr:rowOff>0</xdr:rowOff>
    </xdr:to>
    <xdr:cxnSp macro="">
      <xdr:nvCxnSpPr>
        <xdr:cNvPr id="88" name="線: オンライン連携・カギ線（ルートB）">
          <a:extLst>
            <a:ext uri="{FF2B5EF4-FFF2-40B4-BE49-F238E27FC236}">
              <a16:creationId xmlns:a16="http://schemas.microsoft.com/office/drawing/2014/main" id="{00000000-0008-0000-0400-000058000000}"/>
            </a:ext>
          </a:extLst>
        </xdr:cNvPr>
        <xdr:cNvCxnSpPr/>
      </xdr:nvCxnSpPr>
      <xdr:spPr>
        <a:xfrm>
          <a:off x="10096500" y="16954500"/>
          <a:ext cx="762000" cy="381000"/>
        </a:xfrm>
        <a:prstGeom prst="bentConnector3">
          <a:avLst/>
        </a:prstGeom>
        <a:ln w="19050" cap="flat">
          <a:solidFill>
            <a:srgbClr val="247966"/>
          </a:solidFill>
          <a:round/>
          <a:tailEnd type="triangle" w="med" len="med"/>
        </a:ln>
      </xdr:spPr>
    </xdr:cxnSp>
    <xdr:clientData/>
  </xdr:twoCellAnchor>
  <xdr:twoCellAnchor editAs="oneCell">
    <xdr:from>
      <xdr:col>59</xdr:col>
      <xdr:colOff>0</xdr:colOff>
      <xdr:row>90</xdr:row>
      <xdr:rowOff>0</xdr:rowOff>
    </xdr:from>
    <xdr:to>
      <xdr:col>68</xdr:col>
      <xdr:colOff>0</xdr:colOff>
      <xdr:row>90</xdr:row>
      <xdr:rowOff>0</xdr:rowOff>
    </xdr:to>
    <xdr:cxnSp macro="">
      <xdr:nvCxnSpPr>
        <xdr:cNvPr id="89" name="線: オンライン連携・直線（ルートC）">
          <a:extLst>
            <a:ext uri="{FF2B5EF4-FFF2-40B4-BE49-F238E27FC236}">
              <a16:creationId xmlns:a16="http://schemas.microsoft.com/office/drawing/2014/main" id="{00000000-0008-0000-0400-000059000000}"/>
            </a:ext>
          </a:extLst>
        </xdr:cNvPr>
        <xdr:cNvCxnSpPr/>
      </xdr:nvCxnSpPr>
      <xdr:spPr>
        <a:xfrm>
          <a:off x="11239500" y="17145000"/>
          <a:ext cx="1714500" cy="0"/>
        </a:xfrm>
        <a:prstGeom prst="straightConnector1">
          <a:avLst/>
        </a:prstGeom>
        <a:ln w="19050" cap="flat">
          <a:solidFill>
            <a:srgbClr val="C46B39"/>
          </a:solidFill>
          <a:round/>
          <a:tailEnd type="triangle" w="med" len="med"/>
        </a:ln>
      </xdr:spPr>
    </xdr:cxnSp>
    <xdr:clientData/>
  </xdr:twoCellAnchor>
  <xdr:twoCellAnchor editAs="oneCell">
    <xdr:from>
      <xdr:col>69</xdr:col>
      <xdr:colOff>0</xdr:colOff>
      <xdr:row>89</xdr:row>
      <xdr:rowOff>0</xdr:rowOff>
    </xdr:from>
    <xdr:to>
      <xdr:col>73</xdr:col>
      <xdr:colOff>0</xdr:colOff>
      <xdr:row>91</xdr:row>
      <xdr:rowOff>0</xdr:rowOff>
    </xdr:to>
    <xdr:cxnSp macro="">
      <xdr:nvCxnSpPr>
        <xdr:cNvPr id="90" name="線: オンライン連携・カギ線（ルートC）">
          <a:extLst>
            <a:ext uri="{FF2B5EF4-FFF2-40B4-BE49-F238E27FC236}">
              <a16:creationId xmlns:a16="http://schemas.microsoft.com/office/drawing/2014/main" id="{00000000-0008-0000-0400-00005A000000}"/>
            </a:ext>
          </a:extLst>
        </xdr:cNvPr>
        <xdr:cNvCxnSpPr/>
      </xdr:nvCxnSpPr>
      <xdr:spPr>
        <a:xfrm>
          <a:off x="13144500" y="16954500"/>
          <a:ext cx="762000" cy="381000"/>
        </a:xfrm>
        <a:prstGeom prst="bentConnector3">
          <a:avLst/>
        </a:prstGeom>
        <a:ln w="19050" cap="flat">
          <a:solidFill>
            <a:srgbClr val="C46B39"/>
          </a:solidFill>
          <a:round/>
          <a:tailEnd type="triangle" w="med" len="med"/>
        </a:ln>
      </xdr:spPr>
    </xdr:cxnSp>
    <xdr:clientData/>
  </xdr:twoCellAnchor>
  <xdr:twoCellAnchor editAs="oneCell">
    <xdr:from>
      <xdr:col>11</xdr:col>
      <xdr:colOff>0</xdr:colOff>
      <xdr:row>93</xdr:row>
      <xdr:rowOff>0</xdr:rowOff>
    </xdr:from>
    <xdr:to>
      <xdr:col>20</xdr:col>
      <xdr:colOff>0</xdr:colOff>
      <xdr:row>93</xdr:row>
      <xdr:rowOff>0</xdr:rowOff>
    </xdr:to>
    <xdr:cxnSp macro="">
      <xdr:nvCxnSpPr>
        <xdr:cNvPr id="91" name="線: 双方向・直線（共通）">
          <a:extLst>
            <a:ext uri="{FF2B5EF4-FFF2-40B4-BE49-F238E27FC236}">
              <a16:creationId xmlns:a16="http://schemas.microsoft.com/office/drawing/2014/main" id="{00000000-0008-0000-0400-00005B000000}"/>
            </a:ext>
          </a:extLst>
        </xdr:cNvPr>
        <xdr:cNvCxnSpPr/>
      </xdr:nvCxnSpPr>
      <xdr:spPr>
        <a:xfrm>
          <a:off x="2095500" y="17716500"/>
          <a:ext cx="1714500" cy="0"/>
        </a:xfrm>
        <a:prstGeom prst="straightConnector1">
          <a:avLst/>
        </a:prstGeom>
        <a:ln w="19050" cap="flat">
          <a:solidFill>
            <a:srgbClr val="404040"/>
          </a:solidFill>
          <a:round/>
          <a:headEnd type="triangle" w="med" len="med"/>
          <a:tailEnd type="triangle" w="med" len="med"/>
        </a:ln>
      </xdr:spPr>
    </xdr:cxnSp>
    <xdr:clientData/>
  </xdr:twoCellAnchor>
  <xdr:twoCellAnchor editAs="oneCell">
    <xdr:from>
      <xdr:col>21</xdr:col>
      <xdr:colOff>0</xdr:colOff>
      <xdr:row>92</xdr:row>
      <xdr:rowOff>0</xdr:rowOff>
    </xdr:from>
    <xdr:to>
      <xdr:col>25</xdr:col>
      <xdr:colOff>0</xdr:colOff>
      <xdr:row>94</xdr:row>
      <xdr:rowOff>0</xdr:rowOff>
    </xdr:to>
    <xdr:cxnSp macro="">
      <xdr:nvCxnSpPr>
        <xdr:cNvPr id="92" name="線: 双方向・カギ線（共通）">
          <a:extLst>
            <a:ext uri="{FF2B5EF4-FFF2-40B4-BE49-F238E27FC236}">
              <a16:creationId xmlns:a16="http://schemas.microsoft.com/office/drawing/2014/main" id="{00000000-0008-0000-0400-00005C000000}"/>
            </a:ext>
          </a:extLst>
        </xdr:cNvPr>
        <xdr:cNvCxnSpPr/>
      </xdr:nvCxnSpPr>
      <xdr:spPr>
        <a:xfrm>
          <a:off x="4000500" y="17526000"/>
          <a:ext cx="762000" cy="381000"/>
        </a:xfrm>
        <a:prstGeom prst="bentConnector3">
          <a:avLst/>
        </a:prstGeom>
        <a:ln w="19050" cap="flat">
          <a:solidFill>
            <a:srgbClr val="404040"/>
          </a:solidFill>
          <a:round/>
          <a:headEnd type="triangle" w="med" len="med"/>
          <a:tailEnd type="triangle" w="med" len="med"/>
        </a:ln>
      </xdr:spPr>
    </xdr:cxnSp>
    <xdr:clientData/>
  </xdr:twoCellAnchor>
  <xdr:twoCellAnchor editAs="oneCell">
    <xdr:from>
      <xdr:col>27</xdr:col>
      <xdr:colOff>0</xdr:colOff>
      <xdr:row>93</xdr:row>
      <xdr:rowOff>0</xdr:rowOff>
    </xdr:from>
    <xdr:to>
      <xdr:col>36</xdr:col>
      <xdr:colOff>0</xdr:colOff>
      <xdr:row>93</xdr:row>
      <xdr:rowOff>0</xdr:rowOff>
    </xdr:to>
    <xdr:cxnSp macro="">
      <xdr:nvCxnSpPr>
        <xdr:cNvPr id="93" name="線: 双方向・直線（ルートA）">
          <a:extLst>
            <a:ext uri="{FF2B5EF4-FFF2-40B4-BE49-F238E27FC236}">
              <a16:creationId xmlns:a16="http://schemas.microsoft.com/office/drawing/2014/main" id="{00000000-0008-0000-0400-00005D000000}"/>
            </a:ext>
          </a:extLst>
        </xdr:cNvPr>
        <xdr:cNvCxnSpPr/>
      </xdr:nvCxnSpPr>
      <xdr:spPr>
        <a:xfrm>
          <a:off x="5143500" y="17716500"/>
          <a:ext cx="1714500" cy="0"/>
        </a:xfrm>
        <a:prstGeom prst="straightConnector1">
          <a:avLst/>
        </a:prstGeom>
        <a:ln w="19050" cap="flat">
          <a:solidFill>
            <a:srgbClr val="315C92"/>
          </a:solidFill>
          <a:round/>
          <a:headEnd type="triangle" w="med" len="med"/>
          <a:tailEnd type="triangle" w="med" len="med"/>
        </a:ln>
      </xdr:spPr>
    </xdr:cxnSp>
    <xdr:clientData/>
  </xdr:twoCellAnchor>
  <xdr:twoCellAnchor editAs="oneCell">
    <xdr:from>
      <xdr:col>37</xdr:col>
      <xdr:colOff>0</xdr:colOff>
      <xdr:row>92</xdr:row>
      <xdr:rowOff>0</xdr:rowOff>
    </xdr:from>
    <xdr:to>
      <xdr:col>41</xdr:col>
      <xdr:colOff>0</xdr:colOff>
      <xdr:row>94</xdr:row>
      <xdr:rowOff>0</xdr:rowOff>
    </xdr:to>
    <xdr:cxnSp macro="">
      <xdr:nvCxnSpPr>
        <xdr:cNvPr id="94" name="線: 双方向・カギ線（ルートA）">
          <a:extLst>
            <a:ext uri="{FF2B5EF4-FFF2-40B4-BE49-F238E27FC236}">
              <a16:creationId xmlns:a16="http://schemas.microsoft.com/office/drawing/2014/main" id="{00000000-0008-0000-0400-00005E000000}"/>
            </a:ext>
          </a:extLst>
        </xdr:cNvPr>
        <xdr:cNvCxnSpPr/>
      </xdr:nvCxnSpPr>
      <xdr:spPr>
        <a:xfrm>
          <a:off x="7048500" y="17526000"/>
          <a:ext cx="762000" cy="381000"/>
        </a:xfrm>
        <a:prstGeom prst="bentConnector3">
          <a:avLst/>
        </a:prstGeom>
        <a:ln w="19050" cap="flat">
          <a:solidFill>
            <a:srgbClr val="315C92"/>
          </a:solidFill>
          <a:round/>
          <a:headEnd type="triangle" w="med" len="med"/>
          <a:tailEnd type="triangle" w="med" len="med"/>
        </a:ln>
      </xdr:spPr>
    </xdr:cxnSp>
    <xdr:clientData/>
  </xdr:twoCellAnchor>
  <xdr:twoCellAnchor editAs="oneCell">
    <xdr:from>
      <xdr:col>43</xdr:col>
      <xdr:colOff>0</xdr:colOff>
      <xdr:row>93</xdr:row>
      <xdr:rowOff>0</xdr:rowOff>
    </xdr:from>
    <xdr:to>
      <xdr:col>52</xdr:col>
      <xdr:colOff>0</xdr:colOff>
      <xdr:row>93</xdr:row>
      <xdr:rowOff>0</xdr:rowOff>
    </xdr:to>
    <xdr:cxnSp macro="">
      <xdr:nvCxnSpPr>
        <xdr:cNvPr id="95" name="線: 双方向・直線（ルートB）">
          <a:extLst>
            <a:ext uri="{FF2B5EF4-FFF2-40B4-BE49-F238E27FC236}">
              <a16:creationId xmlns:a16="http://schemas.microsoft.com/office/drawing/2014/main" id="{00000000-0008-0000-0400-00005F000000}"/>
            </a:ext>
          </a:extLst>
        </xdr:cNvPr>
        <xdr:cNvCxnSpPr/>
      </xdr:nvCxnSpPr>
      <xdr:spPr>
        <a:xfrm>
          <a:off x="8191500" y="17716500"/>
          <a:ext cx="1714500" cy="0"/>
        </a:xfrm>
        <a:prstGeom prst="straightConnector1">
          <a:avLst/>
        </a:prstGeom>
        <a:ln w="19050" cap="flat">
          <a:solidFill>
            <a:srgbClr val="247966"/>
          </a:solidFill>
          <a:round/>
          <a:headEnd type="triangle" w="med" len="med"/>
          <a:tailEnd type="triangle" w="med" len="med"/>
        </a:ln>
      </xdr:spPr>
    </xdr:cxnSp>
    <xdr:clientData/>
  </xdr:twoCellAnchor>
  <xdr:twoCellAnchor editAs="oneCell">
    <xdr:from>
      <xdr:col>53</xdr:col>
      <xdr:colOff>0</xdr:colOff>
      <xdr:row>92</xdr:row>
      <xdr:rowOff>0</xdr:rowOff>
    </xdr:from>
    <xdr:to>
      <xdr:col>57</xdr:col>
      <xdr:colOff>0</xdr:colOff>
      <xdr:row>94</xdr:row>
      <xdr:rowOff>0</xdr:rowOff>
    </xdr:to>
    <xdr:cxnSp macro="">
      <xdr:nvCxnSpPr>
        <xdr:cNvPr id="96" name="線: 双方向・カギ線（ルートB）">
          <a:extLst>
            <a:ext uri="{FF2B5EF4-FFF2-40B4-BE49-F238E27FC236}">
              <a16:creationId xmlns:a16="http://schemas.microsoft.com/office/drawing/2014/main" id="{00000000-0008-0000-0400-000060000000}"/>
            </a:ext>
          </a:extLst>
        </xdr:cNvPr>
        <xdr:cNvCxnSpPr/>
      </xdr:nvCxnSpPr>
      <xdr:spPr>
        <a:xfrm>
          <a:off x="10096500" y="17526000"/>
          <a:ext cx="762000" cy="381000"/>
        </a:xfrm>
        <a:prstGeom prst="bentConnector3">
          <a:avLst/>
        </a:prstGeom>
        <a:ln w="19050" cap="flat">
          <a:solidFill>
            <a:srgbClr val="247966"/>
          </a:solidFill>
          <a:round/>
          <a:headEnd type="triangle" w="med" len="med"/>
          <a:tailEnd type="triangle" w="med" len="med"/>
        </a:ln>
      </xdr:spPr>
    </xdr:cxnSp>
    <xdr:clientData/>
  </xdr:twoCellAnchor>
  <xdr:twoCellAnchor editAs="oneCell">
    <xdr:from>
      <xdr:col>59</xdr:col>
      <xdr:colOff>0</xdr:colOff>
      <xdr:row>93</xdr:row>
      <xdr:rowOff>0</xdr:rowOff>
    </xdr:from>
    <xdr:to>
      <xdr:col>68</xdr:col>
      <xdr:colOff>0</xdr:colOff>
      <xdr:row>93</xdr:row>
      <xdr:rowOff>0</xdr:rowOff>
    </xdr:to>
    <xdr:cxnSp macro="">
      <xdr:nvCxnSpPr>
        <xdr:cNvPr id="97" name="線: 双方向・直線（ルートC）">
          <a:extLst>
            <a:ext uri="{FF2B5EF4-FFF2-40B4-BE49-F238E27FC236}">
              <a16:creationId xmlns:a16="http://schemas.microsoft.com/office/drawing/2014/main" id="{00000000-0008-0000-0400-000061000000}"/>
            </a:ext>
          </a:extLst>
        </xdr:cNvPr>
        <xdr:cNvCxnSpPr/>
      </xdr:nvCxnSpPr>
      <xdr:spPr>
        <a:xfrm>
          <a:off x="11239500" y="17716500"/>
          <a:ext cx="1714500" cy="0"/>
        </a:xfrm>
        <a:prstGeom prst="straightConnector1">
          <a:avLst/>
        </a:prstGeom>
        <a:ln w="19050" cap="flat">
          <a:solidFill>
            <a:srgbClr val="C46B39"/>
          </a:solidFill>
          <a:round/>
          <a:headEnd type="triangle" w="med" len="med"/>
          <a:tailEnd type="triangle" w="med" len="med"/>
        </a:ln>
      </xdr:spPr>
    </xdr:cxnSp>
    <xdr:clientData/>
  </xdr:twoCellAnchor>
  <xdr:twoCellAnchor editAs="oneCell">
    <xdr:from>
      <xdr:col>69</xdr:col>
      <xdr:colOff>0</xdr:colOff>
      <xdr:row>92</xdr:row>
      <xdr:rowOff>0</xdr:rowOff>
    </xdr:from>
    <xdr:to>
      <xdr:col>73</xdr:col>
      <xdr:colOff>0</xdr:colOff>
      <xdr:row>94</xdr:row>
      <xdr:rowOff>0</xdr:rowOff>
    </xdr:to>
    <xdr:cxnSp macro="">
      <xdr:nvCxnSpPr>
        <xdr:cNvPr id="98" name="線: 双方向・カギ線（ルートC）">
          <a:extLst>
            <a:ext uri="{FF2B5EF4-FFF2-40B4-BE49-F238E27FC236}">
              <a16:creationId xmlns:a16="http://schemas.microsoft.com/office/drawing/2014/main" id="{00000000-0008-0000-0400-000062000000}"/>
            </a:ext>
          </a:extLst>
        </xdr:cNvPr>
        <xdr:cNvCxnSpPr/>
      </xdr:nvCxnSpPr>
      <xdr:spPr>
        <a:xfrm>
          <a:off x="13144500" y="17526000"/>
          <a:ext cx="762000" cy="381000"/>
        </a:xfrm>
        <a:prstGeom prst="bentConnector3">
          <a:avLst/>
        </a:prstGeom>
        <a:ln w="19050" cap="flat">
          <a:solidFill>
            <a:srgbClr val="C46B39"/>
          </a:solidFill>
          <a:round/>
          <a:headEnd type="triangle" w="med" len="med"/>
          <a:tailEnd type="triangle" w="med" len="med"/>
        </a:ln>
      </xdr:spPr>
    </xdr:cxnSp>
    <xdr:clientData/>
  </xdr:twoCellAnchor>
  <xdr:twoCellAnchor editAs="oneCell">
    <xdr:from>
      <xdr:col>11</xdr:col>
      <xdr:colOff>0</xdr:colOff>
      <xdr:row>96</xdr:row>
      <xdr:rowOff>0</xdr:rowOff>
    </xdr:from>
    <xdr:to>
      <xdr:col>20</xdr:col>
      <xdr:colOff>0</xdr:colOff>
      <xdr:row>96</xdr:row>
      <xdr:rowOff>0</xdr:rowOff>
    </xdr:to>
    <xdr:cxnSp macro="">
      <xdr:nvCxnSpPr>
        <xdr:cNvPr id="99" name="線: バッチ・ファイル・直線（共通）">
          <a:extLst>
            <a:ext uri="{FF2B5EF4-FFF2-40B4-BE49-F238E27FC236}">
              <a16:creationId xmlns:a16="http://schemas.microsoft.com/office/drawing/2014/main" id="{00000000-0008-0000-0400-000063000000}"/>
            </a:ext>
          </a:extLst>
        </xdr:cNvPr>
        <xdr:cNvCxnSpPr/>
      </xdr:nvCxnSpPr>
      <xdr:spPr>
        <a:xfrm>
          <a:off x="2095500" y="18288000"/>
          <a:ext cx="1714500" cy="0"/>
        </a:xfrm>
        <a:prstGeom prst="straightConnector1">
          <a:avLst/>
        </a:prstGeom>
        <a:ln w="19050" cap="flat">
          <a:solidFill>
            <a:srgbClr val="404040"/>
          </a:solidFill>
          <a:prstDash val="dash"/>
          <a:round/>
          <a:tailEnd type="triangle" w="med" len="med"/>
        </a:ln>
      </xdr:spPr>
    </xdr:cxnSp>
    <xdr:clientData/>
  </xdr:twoCellAnchor>
  <xdr:twoCellAnchor editAs="oneCell">
    <xdr:from>
      <xdr:col>21</xdr:col>
      <xdr:colOff>0</xdr:colOff>
      <xdr:row>95</xdr:row>
      <xdr:rowOff>0</xdr:rowOff>
    </xdr:from>
    <xdr:to>
      <xdr:col>25</xdr:col>
      <xdr:colOff>0</xdr:colOff>
      <xdr:row>97</xdr:row>
      <xdr:rowOff>0</xdr:rowOff>
    </xdr:to>
    <xdr:cxnSp macro="">
      <xdr:nvCxnSpPr>
        <xdr:cNvPr id="100" name="線: バッチ・ファイル・カギ線（共通）">
          <a:extLst>
            <a:ext uri="{FF2B5EF4-FFF2-40B4-BE49-F238E27FC236}">
              <a16:creationId xmlns:a16="http://schemas.microsoft.com/office/drawing/2014/main" id="{00000000-0008-0000-0400-000064000000}"/>
            </a:ext>
          </a:extLst>
        </xdr:cNvPr>
        <xdr:cNvCxnSpPr/>
      </xdr:nvCxnSpPr>
      <xdr:spPr>
        <a:xfrm>
          <a:off x="4000500" y="18097500"/>
          <a:ext cx="762000" cy="381000"/>
        </a:xfrm>
        <a:prstGeom prst="bentConnector3">
          <a:avLst/>
        </a:prstGeom>
        <a:ln w="19050" cap="flat">
          <a:solidFill>
            <a:srgbClr val="404040"/>
          </a:solidFill>
          <a:prstDash val="dash"/>
          <a:round/>
          <a:tailEnd type="triangle" w="med" len="med"/>
        </a:ln>
      </xdr:spPr>
    </xdr:cxnSp>
    <xdr:clientData/>
  </xdr:twoCellAnchor>
  <xdr:twoCellAnchor editAs="oneCell">
    <xdr:from>
      <xdr:col>27</xdr:col>
      <xdr:colOff>0</xdr:colOff>
      <xdr:row>96</xdr:row>
      <xdr:rowOff>0</xdr:rowOff>
    </xdr:from>
    <xdr:to>
      <xdr:col>36</xdr:col>
      <xdr:colOff>0</xdr:colOff>
      <xdr:row>96</xdr:row>
      <xdr:rowOff>0</xdr:rowOff>
    </xdr:to>
    <xdr:cxnSp macro="">
      <xdr:nvCxnSpPr>
        <xdr:cNvPr id="101" name="線: バッチ・ファイル・直線（ルートA）">
          <a:extLst>
            <a:ext uri="{FF2B5EF4-FFF2-40B4-BE49-F238E27FC236}">
              <a16:creationId xmlns:a16="http://schemas.microsoft.com/office/drawing/2014/main" id="{00000000-0008-0000-0400-000065000000}"/>
            </a:ext>
          </a:extLst>
        </xdr:cNvPr>
        <xdr:cNvCxnSpPr/>
      </xdr:nvCxnSpPr>
      <xdr:spPr>
        <a:xfrm>
          <a:off x="5143500" y="18288000"/>
          <a:ext cx="1714500" cy="0"/>
        </a:xfrm>
        <a:prstGeom prst="straightConnector1">
          <a:avLst/>
        </a:prstGeom>
        <a:ln w="19050" cap="flat">
          <a:solidFill>
            <a:srgbClr val="315C92"/>
          </a:solidFill>
          <a:prstDash val="dash"/>
          <a:round/>
          <a:tailEnd type="triangle" w="med" len="med"/>
        </a:ln>
      </xdr:spPr>
    </xdr:cxnSp>
    <xdr:clientData/>
  </xdr:twoCellAnchor>
  <xdr:twoCellAnchor editAs="oneCell">
    <xdr:from>
      <xdr:col>37</xdr:col>
      <xdr:colOff>0</xdr:colOff>
      <xdr:row>95</xdr:row>
      <xdr:rowOff>0</xdr:rowOff>
    </xdr:from>
    <xdr:to>
      <xdr:col>41</xdr:col>
      <xdr:colOff>0</xdr:colOff>
      <xdr:row>97</xdr:row>
      <xdr:rowOff>0</xdr:rowOff>
    </xdr:to>
    <xdr:cxnSp macro="">
      <xdr:nvCxnSpPr>
        <xdr:cNvPr id="102" name="線: バッチ・ファイル・カギ線（ルートA）">
          <a:extLst>
            <a:ext uri="{FF2B5EF4-FFF2-40B4-BE49-F238E27FC236}">
              <a16:creationId xmlns:a16="http://schemas.microsoft.com/office/drawing/2014/main" id="{00000000-0008-0000-0400-000066000000}"/>
            </a:ext>
          </a:extLst>
        </xdr:cNvPr>
        <xdr:cNvCxnSpPr/>
      </xdr:nvCxnSpPr>
      <xdr:spPr>
        <a:xfrm>
          <a:off x="7048500" y="18097500"/>
          <a:ext cx="762000" cy="381000"/>
        </a:xfrm>
        <a:prstGeom prst="bentConnector3">
          <a:avLst/>
        </a:prstGeom>
        <a:ln w="19050" cap="flat">
          <a:solidFill>
            <a:srgbClr val="315C92"/>
          </a:solidFill>
          <a:prstDash val="dash"/>
          <a:round/>
          <a:tailEnd type="triangle" w="med" len="med"/>
        </a:ln>
      </xdr:spPr>
    </xdr:cxnSp>
    <xdr:clientData/>
  </xdr:twoCellAnchor>
  <xdr:twoCellAnchor editAs="oneCell">
    <xdr:from>
      <xdr:col>43</xdr:col>
      <xdr:colOff>0</xdr:colOff>
      <xdr:row>96</xdr:row>
      <xdr:rowOff>0</xdr:rowOff>
    </xdr:from>
    <xdr:to>
      <xdr:col>52</xdr:col>
      <xdr:colOff>0</xdr:colOff>
      <xdr:row>96</xdr:row>
      <xdr:rowOff>0</xdr:rowOff>
    </xdr:to>
    <xdr:cxnSp macro="">
      <xdr:nvCxnSpPr>
        <xdr:cNvPr id="103" name="線: バッチ・ファイル・直線（ルートB）">
          <a:extLst>
            <a:ext uri="{FF2B5EF4-FFF2-40B4-BE49-F238E27FC236}">
              <a16:creationId xmlns:a16="http://schemas.microsoft.com/office/drawing/2014/main" id="{00000000-0008-0000-0400-000067000000}"/>
            </a:ext>
          </a:extLst>
        </xdr:cNvPr>
        <xdr:cNvCxnSpPr/>
      </xdr:nvCxnSpPr>
      <xdr:spPr>
        <a:xfrm>
          <a:off x="8191500" y="18288000"/>
          <a:ext cx="1714500" cy="0"/>
        </a:xfrm>
        <a:prstGeom prst="straightConnector1">
          <a:avLst/>
        </a:prstGeom>
        <a:ln w="19050" cap="flat">
          <a:solidFill>
            <a:srgbClr val="247966"/>
          </a:solidFill>
          <a:prstDash val="dash"/>
          <a:round/>
          <a:tailEnd type="triangle" w="med" len="med"/>
        </a:ln>
      </xdr:spPr>
    </xdr:cxnSp>
    <xdr:clientData/>
  </xdr:twoCellAnchor>
  <xdr:twoCellAnchor editAs="oneCell">
    <xdr:from>
      <xdr:col>53</xdr:col>
      <xdr:colOff>0</xdr:colOff>
      <xdr:row>95</xdr:row>
      <xdr:rowOff>0</xdr:rowOff>
    </xdr:from>
    <xdr:to>
      <xdr:col>57</xdr:col>
      <xdr:colOff>0</xdr:colOff>
      <xdr:row>97</xdr:row>
      <xdr:rowOff>0</xdr:rowOff>
    </xdr:to>
    <xdr:cxnSp macro="">
      <xdr:nvCxnSpPr>
        <xdr:cNvPr id="104" name="線: バッチ・ファイル・カギ線（ルートB）">
          <a:extLst>
            <a:ext uri="{FF2B5EF4-FFF2-40B4-BE49-F238E27FC236}">
              <a16:creationId xmlns:a16="http://schemas.microsoft.com/office/drawing/2014/main" id="{00000000-0008-0000-0400-000068000000}"/>
            </a:ext>
          </a:extLst>
        </xdr:cNvPr>
        <xdr:cNvCxnSpPr/>
      </xdr:nvCxnSpPr>
      <xdr:spPr>
        <a:xfrm>
          <a:off x="10096500" y="18097500"/>
          <a:ext cx="762000" cy="381000"/>
        </a:xfrm>
        <a:prstGeom prst="bentConnector3">
          <a:avLst/>
        </a:prstGeom>
        <a:ln w="19050" cap="flat">
          <a:solidFill>
            <a:srgbClr val="247966"/>
          </a:solidFill>
          <a:prstDash val="dash"/>
          <a:round/>
          <a:tailEnd type="triangle" w="med" len="med"/>
        </a:ln>
      </xdr:spPr>
    </xdr:cxnSp>
    <xdr:clientData/>
  </xdr:twoCellAnchor>
  <xdr:twoCellAnchor editAs="oneCell">
    <xdr:from>
      <xdr:col>59</xdr:col>
      <xdr:colOff>0</xdr:colOff>
      <xdr:row>96</xdr:row>
      <xdr:rowOff>0</xdr:rowOff>
    </xdr:from>
    <xdr:to>
      <xdr:col>68</xdr:col>
      <xdr:colOff>0</xdr:colOff>
      <xdr:row>96</xdr:row>
      <xdr:rowOff>0</xdr:rowOff>
    </xdr:to>
    <xdr:cxnSp macro="">
      <xdr:nvCxnSpPr>
        <xdr:cNvPr id="105" name="線: バッチ・ファイル・直線（ルートC）">
          <a:extLst>
            <a:ext uri="{FF2B5EF4-FFF2-40B4-BE49-F238E27FC236}">
              <a16:creationId xmlns:a16="http://schemas.microsoft.com/office/drawing/2014/main" id="{00000000-0008-0000-0400-000069000000}"/>
            </a:ext>
          </a:extLst>
        </xdr:cNvPr>
        <xdr:cNvCxnSpPr/>
      </xdr:nvCxnSpPr>
      <xdr:spPr>
        <a:xfrm>
          <a:off x="11239500" y="18288000"/>
          <a:ext cx="1714500" cy="0"/>
        </a:xfrm>
        <a:prstGeom prst="straightConnector1">
          <a:avLst/>
        </a:prstGeom>
        <a:ln w="19050" cap="flat">
          <a:solidFill>
            <a:srgbClr val="C46B39"/>
          </a:solidFill>
          <a:prstDash val="dash"/>
          <a:round/>
          <a:tailEnd type="triangle" w="med" len="med"/>
        </a:ln>
      </xdr:spPr>
    </xdr:cxnSp>
    <xdr:clientData/>
  </xdr:twoCellAnchor>
  <xdr:twoCellAnchor editAs="oneCell">
    <xdr:from>
      <xdr:col>69</xdr:col>
      <xdr:colOff>0</xdr:colOff>
      <xdr:row>95</xdr:row>
      <xdr:rowOff>0</xdr:rowOff>
    </xdr:from>
    <xdr:to>
      <xdr:col>73</xdr:col>
      <xdr:colOff>0</xdr:colOff>
      <xdr:row>97</xdr:row>
      <xdr:rowOff>0</xdr:rowOff>
    </xdr:to>
    <xdr:cxnSp macro="">
      <xdr:nvCxnSpPr>
        <xdr:cNvPr id="106" name="線: バッチ・ファイル・カギ線（ルートC）">
          <a:extLst>
            <a:ext uri="{FF2B5EF4-FFF2-40B4-BE49-F238E27FC236}">
              <a16:creationId xmlns:a16="http://schemas.microsoft.com/office/drawing/2014/main" id="{00000000-0008-0000-0400-00006A000000}"/>
            </a:ext>
          </a:extLst>
        </xdr:cNvPr>
        <xdr:cNvCxnSpPr/>
      </xdr:nvCxnSpPr>
      <xdr:spPr>
        <a:xfrm>
          <a:off x="13144500" y="18097500"/>
          <a:ext cx="762000" cy="381000"/>
        </a:xfrm>
        <a:prstGeom prst="bentConnector3">
          <a:avLst/>
        </a:prstGeom>
        <a:ln w="19050" cap="flat">
          <a:solidFill>
            <a:srgbClr val="C46B39"/>
          </a:solidFill>
          <a:prstDash val="dash"/>
          <a:round/>
          <a:tailEnd type="triangle" w="med" len="med"/>
        </a:ln>
      </xdr:spPr>
    </xdr:cxnSp>
    <xdr:clientData/>
  </xdr:twoCellAnchor>
  <xdr:twoCellAnchor editAs="oneCell">
    <xdr:from>
      <xdr:col>11</xdr:col>
      <xdr:colOff>0</xdr:colOff>
      <xdr:row>99</xdr:row>
      <xdr:rowOff>0</xdr:rowOff>
    </xdr:from>
    <xdr:to>
      <xdr:col>20</xdr:col>
      <xdr:colOff>0</xdr:colOff>
      <xdr:row>99</xdr:row>
      <xdr:rowOff>0</xdr:rowOff>
    </xdr:to>
    <xdr:cxnSp macro="">
      <xdr:nvCxnSpPr>
        <xdr:cNvPr id="107" name="線: 監視・運用・直線（共通）">
          <a:extLst>
            <a:ext uri="{FF2B5EF4-FFF2-40B4-BE49-F238E27FC236}">
              <a16:creationId xmlns:a16="http://schemas.microsoft.com/office/drawing/2014/main" id="{00000000-0008-0000-0400-00006B000000}"/>
            </a:ext>
          </a:extLst>
        </xdr:cNvPr>
        <xdr:cNvCxnSpPr/>
      </xdr:nvCxnSpPr>
      <xdr:spPr>
        <a:xfrm>
          <a:off x="2095500" y="18859500"/>
          <a:ext cx="1714500" cy="0"/>
        </a:xfrm>
        <a:prstGeom prst="straightConnector1">
          <a:avLst/>
        </a:prstGeom>
        <a:ln w="12700" cap="flat">
          <a:solidFill>
            <a:srgbClr val="404040"/>
          </a:solidFill>
          <a:prstDash val="sysDot"/>
          <a:round/>
          <a:tailEnd type="triangle" w="med" len="med"/>
        </a:ln>
      </xdr:spPr>
    </xdr:cxnSp>
    <xdr:clientData/>
  </xdr:twoCellAnchor>
  <xdr:twoCellAnchor editAs="oneCell">
    <xdr:from>
      <xdr:col>21</xdr:col>
      <xdr:colOff>0</xdr:colOff>
      <xdr:row>98</xdr:row>
      <xdr:rowOff>0</xdr:rowOff>
    </xdr:from>
    <xdr:to>
      <xdr:col>25</xdr:col>
      <xdr:colOff>0</xdr:colOff>
      <xdr:row>100</xdr:row>
      <xdr:rowOff>0</xdr:rowOff>
    </xdr:to>
    <xdr:cxnSp macro="">
      <xdr:nvCxnSpPr>
        <xdr:cNvPr id="108" name="線: 監視・運用・カギ線（共通）">
          <a:extLst>
            <a:ext uri="{FF2B5EF4-FFF2-40B4-BE49-F238E27FC236}">
              <a16:creationId xmlns:a16="http://schemas.microsoft.com/office/drawing/2014/main" id="{00000000-0008-0000-0400-00006C000000}"/>
            </a:ext>
          </a:extLst>
        </xdr:cNvPr>
        <xdr:cNvCxnSpPr/>
      </xdr:nvCxnSpPr>
      <xdr:spPr>
        <a:xfrm>
          <a:off x="4000500" y="18669000"/>
          <a:ext cx="762000" cy="381000"/>
        </a:xfrm>
        <a:prstGeom prst="bentConnector3">
          <a:avLst/>
        </a:prstGeom>
        <a:ln w="12700" cap="flat">
          <a:solidFill>
            <a:srgbClr val="404040"/>
          </a:solidFill>
          <a:prstDash val="sysDot"/>
          <a:round/>
          <a:tailEnd type="triangle" w="med" len="med"/>
        </a:ln>
      </xdr:spPr>
    </xdr:cxnSp>
    <xdr:clientData/>
  </xdr:twoCellAnchor>
  <xdr:twoCellAnchor editAs="oneCell">
    <xdr:from>
      <xdr:col>27</xdr:col>
      <xdr:colOff>0</xdr:colOff>
      <xdr:row>99</xdr:row>
      <xdr:rowOff>0</xdr:rowOff>
    </xdr:from>
    <xdr:to>
      <xdr:col>36</xdr:col>
      <xdr:colOff>0</xdr:colOff>
      <xdr:row>99</xdr:row>
      <xdr:rowOff>0</xdr:rowOff>
    </xdr:to>
    <xdr:cxnSp macro="">
      <xdr:nvCxnSpPr>
        <xdr:cNvPr id="109" name="線: 監視・運用・直線（ルートA）">
          <a:extLst>
            <a:ext uri="{FF2B5EF4-FFF2-40B4-BE49-F238E27FC236}">
              <a16:creationId xmlns:a16="http://schemas.microsoft.com/office/drawing/2014/main" id="{00000000-0008-0000-0400-00006D000000}"/>
            </a:ext>
          </a:extLst>
        </xdr:cNvPr>
        <xdr:cNvCxnSpPr/>
      </xdr:nvCxnSpPr>
      <xdr:spPr>
        <a:xfrm>
          <a:off x="5143500" y="18859500"/>
          <a:ext cx="1714500" cy="0"/>
        </a:xfrm>
        <a:prstGeom prst="straightConnector1">
          <a:avLst/>
        </a:prstGeom>
        <a:ln w="12700" cap="flat">
          <a:solidFill>
            <a:srgbClr val="315C92"/>
          </a:solidFill>
          <a:prstDash val="sysDot"/>
          <a:round/>
          <a:tailEnd type="triangle" w="med" len="med"/>
        </a:ln>
      </xdr:spPr>
    </xdr:cxnSp>
    <xdr:clientData/>
  </xdr:twoCellAnchor>
  <xdr:twoCellAnchor editAs="oneCell">
    <xdr:from>
      <xdr:col>37</xdr:col>
      <xdr:colOff>0</xdr:colOff>
      <xdr:row>98</xdr:row>
      <xdr:rowOff>0</xdr:rowOff>
    </xdr:from>
    <xdr:to>
      <xdr:col>41</xdr:col>
      <xdr:colOff>0</xdr:colOff>
      <xdr:row>100</xdr:row>
      <xdr:rowOff>0</xdr:rowOff>
    </xdr:to>
    <xdr:cxnSp macro="">
      <xdr:nvCxnSpPr>
        <xdr:cNvPr id="110" name="線: 監視・運用・カギ線（ルートA）">
          <a:extLst>
            <a:ext uri="{FF2B5EF4-FFF2-40B4-BE49-F238E27FC236}">
              <a16:creationId xmlns:a16="http://schemas.microsoft.com/office/drawing/2014/main" id="{00000000-0008-0000-0400-00006E000000}"/>
            </a:ext>
          </a:extLst>
        </xdr:cNvPr>
        <xdr:cNvCxnSpPr/>
      </xdr:nvCxnSpPr>
      <xdr:spPr>
        <a:xfrm>
          <a:off x="7048500" y="18669000"/>
          <a:ext cx="762000" cy="381000"/>
        </a:xfrm>
        <a:prstGeom prst="bentConnector3">
          <a:avLst/>
        </a:prstGeom>
        <a:ln w="12700" cap="flat">
          <a:solidFill>
            <a:srgbClr val="315C92"/>
          </a:solidFill>
          <a:prstDash val="sysDot"/>
          <a:round/>
          <a:tailEnd type="triangle" w="med" len="med"/>
        </a:ln>
      </xdr:spPr>
    </xdr:cxnSp>
    <xdr:clientData/>
  </xdr:twoCellAnchor>
  <xdr:twoCellAnchor editAs="oneCell">
    <xdr:from>
      <xdr:col>43</xdr:col>
      <xdr:colOff>0</xdr:colOff>
      <xdr:row>99</xdr:row>
      <xdr:rowOff>0</xdr:rowOff>
    </xdr:from>
    <xdr:to>
      <xdr:col>52</xdr:col>
      <xdr:colOff>0</xdr:colOff>
      <xdr:row>99</xdr:row>
      <xdr:rowOff>0</xdr:rowOff>
    </xdr:to>
    <xdr:cxnSp macro="">
      <xdr:nvCxnSpPr>
        <xdr:cNvPr id="111" name="線: 監視・運用・直線（ルートB）">
          <a:extLst>
            <a:ext uri="{FF2B5EF4-FFF2-40B4-BE49-F238E27FC236}">
              <a16:creationId xmlns:a16="http://schemas.microsoft.com/office/drawing/2014/main" id="{00000000-0008-0000-0400-00006F000000}"/>
            </a:ext>
          </a:extLst>
        </xdr:cNvPr>
        <xdr:cNvCxnSpPr/>
      </xdr:nvCxnSpPr>
      <xdr:spPr>
        <a:xfrm>
          <a:off x="8191500" y="18859500"/>
          <a:ext cx="1714500" cy="0"/>
        </a:xfrm>
        <a:prstGeom prst="straightConnector1">
          <a:avLst/>
        </a:prstGeom>
        <a:ln w="12700" cap="flat">
          <a:solidFill>
            <a:srgbClr val="247966"/>
          </a:solidFill>
          <a:prstDash val="sysDot"/>
          <a:round/>
          <a:tailEnd type="triangle" w="med" len="med"/>
        </a:ln>
      </xdr:spPr>
    </xdr:cxnSp>
    <xdr:clientData/>
  </xdr:twoCellAnchor>
  <xdr:twoCellAnchor editAs="oneCell">
    <xdr:from>
      <xdr:col>53</xdr:col>
      <xdr:colOff>0</xdr:colOff>
      <xdr:row>98</xdr:row>
      <xdr:rowOff>0</xdr:rowOff>
    </xdr:from>
    <xdr:to>
      <xdr:col>57</xdr:col>
      <xdr:colOff>0</xdr:colOff>
      <xdr:row>100</xdr:row>
      <xdr:rowOff>0</xdr:rowOff>
    </xdr:to>
    <xdr:cxnSp macro="">
      <xdr:nvCxnSpPr>
        <xdr:cNvPr id="112" name="線: 監視・運用・カギ線（ルートB）">
          <a:extLst>
            <a:ext uri="{FF2B5EF4-FFF2-40B4-BE49-F238E27FC236}">
              <a16:creationId xmlns:a16="http://schemas.microsoft.com/office/drawing/2014/main" id="{00000000-0008-0000-0400-000070000000}"/>
            </a:ext>
          </a:extLst>
        </xdr:cNvPr>
        <xdr:cNvCxnSpPr/>
      </xdr:nvCxnSpPr>
      <xdr:spPr>
        <a:xfrm>
          <a:off x="10096500" y="18669000"/>
          <a:ext cx="762000" cy="381000"/>
        </a:xfrm>
        <a:prstGeom prst="bentConnector3">
          <a:avLst/>
        </a:prstGeom>
        <a:ln w="12700" cap="flat">
          <a:solidFill>
            <a:srgbClr val="247966"/>
          </a:solidFill>
          <a:prstDash val="sysDot"/>
          <a:round/>
          <a:tailEnd type="triangle" w="med" len="med"/>
        </a:ln>
      </xdr:spPr>
    </xdr:cxnSp>
    <xdr:clientData/>
  </xdr:twoCellAnchor>
  <xdr:twoCellAnchor editAs="oneCell">
    <xdr:from>
      <xdr:col>59</xdr:col>
      <xdr:colOff>0</xdr:colOff>
      <xdr:row>99</xdr:row>
      <xdr:rowOff>0</xdr:rowOff>
    </xdr:from>
    <xdr:to>
      <xdr:col>68</xdr:col>
      <xdr:colOff>0</xdr:colOff>
      <xdr:row>99</xdr:row>
      <xdr:rowOff>0</xdr:rowOff>
    </xdr:to>
    <xdr:cxnSp macro="">
      <xdr:nvCxnSpPr>
        <xdr:cNvPr id="113" name="線: 監視・運用・直線（ルートC）">
          <a:extLst>
            <a:ext uri="{FF2B5EF4-FFF2-40B4-BE49-F238E27FC236}">
              <a16:creationId xmlns:a16="http://schemas.microsoft.com/office/drawing/2014/main" id="{00000000-0008-0000-0400-000071000000}"/>
            </a:ext>
          </a:extLst>
        </xdr:cNvPr>
        <xdr:cNvCxnSpPr/>
      </xdr:nvCxnSpPr>
      <xdr:spPr>
        <a:xfrm>
          <a:off x="11239500" y="18859500"/>
          <a:ext cx="1714500" cy="0"/>
        </a:xfrm>
        <a:prstGeom prst="straightConnector1">
          <a:avLst/>
        </a:prstGeom>
        <a:ln w="12700" cap="flat">
          <a:solidFill>
            <a:srgbClr val="C46B39"/>
          </a:solidFill>
          <a:prstDash val="sysDot"/>
          <a:round/>
          <a:tailEnd type="triangle" w="med" len="med"/>
        </a:ln>
      </xdr:spPr>
    </xdr:cxnSp>
    <xdr:clientData/>
  </xdr:twoCellAnchor>
  <xdr:twoCellAnchor editAs="oneCell">
    <xdr:from>
      <xdr:col>69</xdr:col>
      <xdr:colOff>0</xdr:colOff>
      <xdr:row>98</xdr:row>
      <xdr:rowOff>0</xdr:rowOff>
    </xdr:from>
    <xdr:to>
      <xdr:col>73</xdr:col>
      <xdr:colOff>0</xdr:colOff>
      <xdr:row>100</xdr:row>
      <xdr:rowOff>0</xdr:rowOff>
    </xdr:to>
    <xdr:cxnSp macro="">
      <xdr:nvCxnSpPr>
        <xdr:cNvPr id="114" name="線: 監視・運用・カギ線（ルートC）">
          <a:extLst>
            <a:ext uri="{FF2B5EF4-FFF2-40B4-BE49-F238E27FC236}">
              <a16:creationId xmlns:a16="http://schemas.microsoft.com/office/drawing/2014/main" id="{00000000-0008-0000-0400-000072000000}"/>
            </a:ext>
          </a:extLst>
        </xdr:cNvPr>
        <xdr:cNvCxnSpPr/>
      </xdr:nvCxnSpPr>
      <xdr:spPr>
        <a:xfrm>
          <a:off x="13144500" y="18669000"/>
          <a:ext cx="762000" cy="381000"/>
        </a:xfrm>
        <a:prstGeom prst="bentConnector3">
          <a:avLst/>
        </a:prstGeom>
        <a:ln w="12700" cap="flat">
          <a:solidFill>
            <a:srgbClr val="C46B39"/>
          </a:solidFill>
          <a:prstDash val="sysDot"/>
          <a:round/>
          <a:tailEnd type="triangle" w="med" len="med"/>
        </a:ln>
      </xdr:spPr>
    </xdr:cxnSp>
    <xdr:clientData/>
  </xdr:twoCellAnchor>
  <xdr:twoCellAnchor editAs="oneCell">
    <xdr:from>
      <xdr:col>11</xdr:col>
      <xdr:colOff>0</xdr:colOff>
      <xdr:row>102</xdr:row>
      <xdr:rowOff>0</xdr:rowOff>
    </xdr:from>
    <xdr:to>
      <xdr:col>20</xdr:col>
      <xdr:colOff>0</xdr:colOff>
      <xdr:row>102</xdr:row>
      <xdr:rowOff>0</xdr:rowOff>
    </xdr:to>
    <xdr:cxnSp macro="">
      <xdr:nvCxnSpPr>
        <xdr:cNvPr id="115" name="線: ネットワーク接続・直線（共通）">
          <a:extLst>
            <a:ext uri="{FF2B5EF4-FFF2-40B4-BE49-F238E27FC236}">
              <a16:creationId xmlns:a16="http://schemas.microsoft.com/office/drawing/2014/main" id="{00000000-0008-0000-0400-000073000000}"/>
            </a:ext>
          </a:extLst>
        </xdr:cNvPr>
        <xdr:cNvCxnSpPr/>
      </xdr:nvCxnSpPr>
      <xdr:spPr>
        <a:xfrm>
          <a:off x="2095500" y="19431000"/>
          <a:ext cx="1714500" cy="0"/>
        </a:xfrm>
        <a:prstGeom prst="straightConnector1">
          <a:avLst/>
        </a:prstGeom>
        <a:ln w="12700" cap="flat">
          <a:solidFill>
            <a:srgbClr val="404040"/>
          </a:solidFill>
          <a:round/>
        </a:ln>
      </xdr:spPr>
    </xdr:cxnSp>
    <xdr:clientData/>
  </xdr:twoCellAnchor>
  <xdr:twoCellAnchor editAs="oneCell">
    <xdr:from>
      <xdr:col>21</xdr:col>
      <xdr:colOff>0</xdr:colOff>
      <xdr:row>101</xdr:row>
      <xdr:rowOff>0</xdr:rowOff>
    </xdr:from>
    <xdr:to>
      <xdr:col>25</xdr:col>
      <xdr:colOff>0</xdr:colOff>
      <xdr:row>103</xdr:row>
      <xdr:rowOff>0</xdr:rowOff>
    </xdr:to>
    <xdr:cxnSp macro="">
      <xdr:nvCxnSpPr>
        <xdr:cNvPr id="116" name="線: ネットワーク接続・カギ線（共通）">
          <a:extLst>
            <a:ext uri="{FF2B5EF4-FFF2-40B4-BE49-F238E27FC236}">
              <a16:creationId xmlns:a16="http://schemas.microsoft.com/office/drawing/2014/main" id="{00000000-0008-0000-0400-000074000000}"/>
            </a:ext>
          </a:extLst>
        </xdr:cNvPr>
        <xdr:cNvCxnSpPr/>
      </xdr:nvCxnSpPr>
      <xdr:spPr>
        <a:xfrm>
          <a:off x="4000500" y="19240500"/>
          <a:ext cx="762000" cy="381000"/>
        </a:xfrm>
        <a:prstGeom prst="bentConnector3">
          <a:avLst/>
        </a:prstGeom>
        <a:ln w="12700" cap="flat">
          <a:solidFill>
            <a:srgbClr val="404040"/>
          </a:solidFill>
          <a:round/>
        </a:ln>
      </xdr:spPr>
    </xdr:cxnSp>
    <xdr:clientData/>
  </xdr:twoCellAnchor>
  <xdr:twoCellAnchor editAs="oneCell">
    <xdr:from>
      <xdr:col>27</xdr:col>
      <xdr:colOff>0</xdr:colOff>
      <xdr:row>102</xdr:row>
      <xdr:rowOff>0</xdr:rowOff>
    </xdr:from>
    <xdr:to>
      <xdr:col>36</xdr:col>
      <xdr:colOff>0</xdr:colOff>
      <xdr:row>102</xdr:row>
      <xdr:rowOff>0</xdr:rowOff>
    </xdr:to>
    <xdr:cxnSp macro="">
      <xdr:nvCxnSpPr>
        <xdr:cNvPr id="117" name="線: ネットワーク接続・直線（ルートA）">
          <a:extLst>
            <a:ext uri="{FF2B5EF4-FFF2-40B4-BE49-F238E27FC236}">
              <a16:creationId xmlns:a16="http://schemas.microsoft.com/office/drawing/2014/main" id="{00000000-0008-0000-0400-000075000000}"/>
            </a:ext>
          </a:extLst>
        </xdr:cNvPr>
        <xdr:cNvCxnSpPr/>
      </xdr:nvCxnSpPr>
      <xdr:spPr>
        <a:xfrm>
          <a:off x="5143500" y="19431000"/>
          <a:ext cx="1714500" cy="0"/>
        </a:xfrm>
        <a:prstGeom prst="straightConnector1">
          <a:avLst/>
        </a:prstGeom>
        <a:ln w="12700" cap="flat">
          <a:solidFill>
            <a:srgbClr val="315C92"/>
          </a:solidFill>
          <a:round/>
        </a:ln>
      </xdr:spPr>
    </xdr:cxnSp>
    <xdr:clientData/>
  </xdr:twoCellAnchor>
  <xdr:twoCellAnchor editAs="oneCell">
    <xdr:from>
      <xdr:col>37</xdr:col>
      <xdr:colOff>0</xdr:colOff>
      <xdr:row>101</xdr:row>
      <xdr:rowOff>0</xdr:rowOff>
    </xdr:from>
    <xdr:to>
      <xdr:col>41</xdr:col>
      <xdr:colOff>0</xdr:colOff>
      <xdr:row>103</xdr:row>
      <xdr:rowOff>0</xdr:rowOff>
    </xdr:to>
    <xdr:cxnSp macro="">
      <xdr:nvCxnSpPr>
        <xdr:cNvPr id="118" name="線: ネットワーク接続・カギ線（ルートA）">
          <a:extLst>
            <a:ext uri="{FF2B5EF4-FFF2-40B4-BE49-F238E27FC236}">
              <a16:creationId xmlns:a16="http://schemas.microsoft.com/office/drawing/2014/main" id="{00000000-0008-0000-0400-000076000000}"/>
            </a:ext>
          </a:extLst>
        </xdr:cNvPr>
        <xdr:cNvCxnSpPr/>
      </xdr:nvCxnSpPr>
      <xdr:spPr>
        <a:xfrm>
          <a:off x="7048500" y="19240500"/>
          <a:ext cx="762000" cy="381000"/>
        </a:xfrm>
        <a:prstGeom prst="bentConnector3">
          <a:avLst/>
        </a:prstGeom>
        <a:ln w="12700" cap="flat">
          <a:solidFill>
            <a:srgbClr val="315C92"/>
          </a:solidFill>
          <a:round/>
        </a:ln>
      </xdr:spPr>
    </xdr:cxnSp>
    <xdr:clientData/>
  </xdr:twoCellAnchor>
  <xdr:twoCellAnchor editAs="oneCell">
    <xdr:from>
      <xdr:col>43</xdr:col>
      <xdr:colOff>0</xdr:colOff>
      <xdr:row>102</xdr:row>
      <xdr:rowOff>0</xdr:rowOff>
    </xdr:from>
    <xdr:to>
      <xdr:col>52</xdr:col>
      <xdr:colOff>0</xdr:colOff>
      <xdr:row>102</xdr:row>
      <xdr:rowOff>0</xdr:rowOff>
    </xdr:to>
    <xdr:cxnSp macro="">
      <xdr:nvCxnSpPr>
        <xdr:cNvPr id="119" name="線: ネットワーク接続・直線（ルートB）">
          <a:extLst>
            <a:ext uri="{FF2B5EF4-FFF2-40B4-BE49-F238E27FC236}">
              <a16:creationId xmlns:a16="http://schemas.microsoft.com/office/drawing/2014/main" id="{00000000-0008-0000-0400-000077000000}"/>
            </a:ext>
          </a:extLst>
        </xdr:cNvPr>
        <xdr:cNvCxnSpPr/>
      </xdr:nvCxnSpPr>
      <xdr:spPr>
        <a:xfrm>
          <a:off x="8191500" y="19431000"/>
          <a:ext cx="1714500" cy="0"/>
        </a:xfrm>
        <a:prstGeom prst="straightConnector1">
          <a:avLst/>
        </a:prstGeom>
        <a:ln w="12700" cap="flat">
          <a:solidFill>
            <a:srgbClr val="247966"/>
          </a:solidFill>
          <a:round/>
        </a:ln>
      </xdr:spPr>
    </xdr:cxnSp>
    <xdr:clientData/>
  </xdr:twoCellAnchor>
  <xdr:twoCellAnchor editAs="oneCell">
    <xdr:from>
      <xdr:col>53</xdr:col>
      <xdr:colOff>0</xdr:colOff>
      <xdr:row>101</xdr:row>
      <xdr:rowOff>0</xdr:rowOff>
    </xdr:from>
    <xdr:to>
      <xdr:col>57</xdr:col>
      <xdr:colOff>0</xdr:colOff>
      <xdr:row>103</xdr:row>
      <xdr:rowOff>0</xdr:rowOff>
    </xdr:to>
    <xdr:cxnSp macro="">
      <xdr:nvCxnSpPr>
        <xdr:cNvPr id="120" name="線: ネットワーク接続・カギ線（ルートB）">
          <a:extLst>
            <a:ext uri="{FF2B5EF4-FFF2-40B4-BE49-F238E27FC236}">
              <a16:creationId xmlns:a16="http://schemas.microsoft.com/office/drawing/2014/main" id="{00000000-0008-0000-0400-000078000000}"/>
            </a:ext>
          </a:extLst>
        </xdr:cNvPr>
        <xdr:cNvCxnSpPr/>
      </xdr:nvCxnSpPr>
      <xdr:spPr>
        <a:xfrm>
          <a:off x="10096500" y="19240500"/>
          <a:ext cx="762000" cy="381000"/>
        </a:xfrm>
        <a:prstGeom prst="bentConnector3">
          <a:avLst/>
        </a:prstGeom>
        <a:ln w="12700" cap="flat">
          <a:solidFill>
            <a:srgbClr val="247966"/>
          </a:solidFill>
          <a:round/>
        </a:ln>
      </xdr:spPr>
    </xdr:cxnSp>
    <xdr:clientData/>
  </xdr:twoCellAnchor>
  <xdr:twoCellAnchor editAs="oneCell">
    <xdr:from>
      <xdr:col>59</xdr:col>
      <xdr:colOff>0</xdr:colOff>
      <xdr:row>102</xdr:row>
      <xdr:rowOff>0</xdr:rowOff>
    </xdr:from>
    <xdr:to>
      <xdr:col>68</xdr:col>
      <xdr:colOff>0</xdr:colOff>
      <xdr:row>102</xdr:row>
      <xdr:rowOff>0</xdr:rowOff>
    </xdr:to>
    <xdr:cxnSp macro="">
      <xdr:nvCxnSpPr>
        <xdr:cNvPr id="121" name="線: ネットワーク接続・直線（ルートC）">
          <a:extLst>
            <a:ext uri="{FF2B5EF4-FFF2-40B4-BE49-F238E27FC236}">
              <a16:creationId xmlns:a16="http://schemas.microsoft.com/office/drawing/2014/main" id="{00000000-0008-0000-0400-000079000000}"/>
            </a:ext>
          </a:extLst>
        </xdr:cNvPr>
        <xdr:cNvCxnSpPr/>
      </xdr:nvCxnSpPr>
      <xdr:spPr>
        <a:xfrm>
          <a:off x="11239500" y="19431000"/>
          <a:ext cx="1714500" cy="0"/>
        </a:xfrm>
        <a:prstGeom prst="straightConnector1">
          <a:avLst/>
        </a:prstGeom>
        <a:ln w="12700" cap="flat">
          <a:solidFill>
            <a:srgbClr val="C46B39"/>
          </a:solidFill>
          <a:round/>
        </a:ln>
      </xdr:spPr>
    </xdr:cxnSp>
    <xdr:clientData/>
  </xdr:twoCellAnchor>
  <xdr:twoCellAnchor editAs="oneCell">
    <xdr:from>
      <xdr:col>69</xdr:col>
      <xdr:colOff>0</xdr:colOff>
      <xdr:row>101</xdr:row>
      <xdr:rowOff>0</xdr:rowOff>
    </xdr:from>
    <xdr:to>
      <xdr:col>73</xdr:col>
      <xdr:colOff>0</xdr:colOff>
      <xdr:row>103</xdr:row>
      <xdr:rowOff>0</xdr:rowOff>
    </xdr:to>
    <xdr:cxnSp macro="">
      <xdr:nvCxnSpPr>
        <xdr:cNvPr id="122" name="線: ネットワーク接続・カギ線（ルートC）">
          <a:extLst>
            <a:ext uri="{FF2B5EF4-FFF2-40B4-BE49-F238E27FC236}">
              <a16:creationId xmlns:a16="http://schemas.microsoft.com/office/drawing/2014/main" id="{00000000-0008-0000-0400-00007A000000}"/>
            </a:ext>
          </a:extLst>
        </xdr:cNvPr>
        <xdr:cNvCxnSpPr/>
      </xdr:nvCxnSpPr>
      <xdr:spPr>
        <a:xfrm>
          <a:off x="13144500" y="19240500"/>
          <a:ext cx="762000" cy="381000"/>
        </a:xfrm>
        <a:prstGeom prst="bentConnector3">
          <a:avLst/>
        </a:prstGeom>
        <a:ln w="12700" cap="flat">
          <a:solidFill>
            <a:srgbClr val="C46B39"/>
          </a:solidFill>
          <a:round/>
        </a:ln>
      </xdr:spPr>
    </xdr:cxnSp>
    <xdr:clientData/>
  </xdr:twoCellAnchor>
  <xdr:twoCellAnchor editAs="oneCell">
    <xdr:from>
      <xdr:col>11</xdr:col>
      <xdr:colOff>0</xdr:colOff>
      <xdr:row>105</xdr:row>
      <xdr:rowOff>0</xdr:rowOff>
    </xdr:from>
    <xdr:to>
      <xdr:col>20</xdr:col>
      <xdr:colOff>0</xdr:colOff>
      <xdr:row>105</xdr:row>
      <xdr:rowOff>0</xdr:rowOff>
    </xdr:to>
    <xdr:cxnSp macro="">
      <xdr:nvCxnSpPr>
        <xdr:cNvPr id="123" name="線: 専用線・閉域網・直線（共通）">
          <a:extLst>
            <a:ext uri="{FF2B5EF4-FFF2-40B4-BE49-F238E27FC236}">
              <a16:creationId xmlns:a16="http://schemas.microsoft.com/office/drawing/2014/main" id="{00000000-0008-0000-0400-00007B000000}"/>
            </a:ext>
          </a:extLst>
        </xdr:cNvPr>
        <xdr:cNvCxnSpPr/>
      </xdr:nvCxnSpPr>
      <xdr:spPr>
        <a:xfrm>
          <a:off x="2095500" y="20002500"/>
          <a:ext cx="1714500" cy="0"/>
        </a:xfrm>
        <a:prstGeom prst="straightConnector1">
          <a:avLst/>
        </a:prstGeom>
        <a:ln w="38100" cap="flat">
          <a:solidFill>
            <a:srgbClr val="404040"/>
          </a:solidFill>
          <a:round/>
        </a:ln>
      </xdr:spPr>
    </xdr:cxnSp>
    <xdr:clientData/>
  </xdr:twoCellAnchor>
  <xdr:twoCellAnchor editAs="oneCell">
    <xdr:from>
      <xdr:col>21</xdr:col>
      <xdr:colOff>0</xdr:colOff>
      <xdr:row>104</xdr:row>
      <xdr:rowOff>0</xdr:rowOff>
    </xdr:from>
    <xdr:to>
      <xdr:col>25</xdr:col>
      <xdr:colOff>0</xdr:colOff>
      <xdr:row>106</xdr:row>
      <xdr:rowOff>0</xdr:rowOff>
    </xdr:to>
    <xdr:cxnSp macro="">
      <xdr:nvCxnSpPr>
        <xdr:cNvPr id="124" name="線: 専用線・閉域網・カギ線（共通）">
          <a:extLst>
            <a:ext uri="{FF2B5EF4-FFF2-40B4-BE49-F238E27FC236}">
              <a16:creationId xmlns:a16="http://schemas.microsoft.com/office/drawing/2014/main" id="{00000000-0008-0000-0400-00007C000000}"/>
            </a:ext>
          </a:extLst>
        </xdr:cNvPr>
        <xdr:cNvCxnSpPr/>
      </xdr:nvCxnSpPr>
      <xdr:spPr>
        <a:xfrm>
          <a:off x="4000500" y="19812000"/>
          <a:ext cx="762000" cy="381000"/>
        </a:xfrm>
        <a:prstGeom prst="bentConnector3">
          <a:avLst/>
        </a:prstGeom>
        <a:ln w="38100" cap="flat">
          <a:solidFill>
            <a:srgbClr val="404040"/>
          </a:solidFill>
          <a:round/>
        </a:ln>
      </xdr:spPr>
    </xdr:cxnSp>
    <xdr:clientData/>
  </xdr:twoCellAnchor>
  <xdr:twoCellAnchor editAs="oneCell">
    <xdr:from>
      <xdr:col>27</xdr:col>
      <xdr:colOff>0</xdr:colOff>
      <xdr:row>105</xdr:row>
      <xdr:rowOff>0</xdr:rowOff>
    </xdr:from>
    <xdr:to>
      <xdr:col>36</xdr:col>
      <xdr:colOff>0</xdr:colOff>
      <xdr:row>105</xdr:row>
      <xdr:rowOff>0</xdr:rowOff>
    </xdr:to>
    <xdr:cxnSp macro="">
      <xdr:nvCxnSpPr>
        <xdr:cNvPr id="125" name="線: 専用線・閉域網・直線（ルートA）">
          <a:extLst>
            <a:ext uri="{FF2B5EF4-FFF2-40B4-BE49-F238E27FC236}">
              <a16:creationId xmlns:a16="http://schemas.microsoft.com/office/drawing/2014/main" id="{00000000-0008-0000-0400-00007D000000}"/>
            </a:ext>
          </a:extLst>
        </xdr:cNvPr>
        <xdr:cNvCxnSpPr/>
      </xdr:nvCxnSpPr>
      <xdr:spPr>
        <a:xfrm>
          <a:off x="5143500" y="20002500"/>
          <a:ext cx="1714500" cy="0"/>
        </a:xfrm>
        <a:prstGeom prst="straightConnector1">
          <a:avLst/>
        </a:prstGeom>
        <a:ln w="38100" cap="flat">
          <a:solidFill>
            <a:srgbClr val="315C92"/>
          </a:solidFill>
          <a:round/>
        </a:ln>
      </xdr:spPr>
    </xdr:cxnSp>
    <xdr:clientData/>
  </xdr:twoCellAnchor>
  <xdr:twoCellAnchor editAs="oneCell">
    <xdr:from>
      <xdr:col>37</xdr:col>
      <xdr:colOff>0</xdr:colOff>
      <xdr:row>104</xdr:row>
      <xdr:rowOff>0</xdr:rowOff>
    </xdr:from>
    <xdr:to>
      <xdr:col>41</xdr:col>
      <xdr:colOff>0</xdr:colOff>
      <xdr:row>106</xdr:row>
      <xdr:rowOff>0</xdr:rowOff>
    </xdr:to>
    <xdr:cxnSp macro="">
      <xdr:nvCxnSpPr>
        <xdr:cNvPr id="126" name="線: 専用線・閉域網・カギ線（ルートA）">
          <a:extLst>
            <a:ext uri="{FF2B5EF4-FFF2-40B4-BE49-F238E27FC236}">
              <a16:creationId xmlns:a16="http://schemas.microsoft.com/office/drawing/2014/main" id="{00000000-0008-0000-0400-00007E000000}"/>
            </a:ext>
          </a:extLst>
        </xdr:cNvPr>
        <xdr:cNvCxnSpPr/>
      </xdr:nvCxnSpPr>
      <xdr:spPr>
        <a:xfrm>
          <a:off x="7048500" y="19812000"/>
          <a:ext cx="762000" cy="381000"/>
        </a:xfrm>
        <a:prstGeom prst="bentConnector3">
          <a:avLst/>
        </a:prstGeom>
        <a:ln w="38100" cap="flat">
          <a:solidFill>
            <a:srgbClr val="315C92"/>
          </a:solidFill>
          <a:round/>
        </a:ln>
      </xdr:spPr>
    </xdr:cxnSp>
    <xdr:clientData/>
  </xdr:twoCellAnchor>
  <xdr:twoCellAnchor editAs="oneCell">
    <xdr:from>
      <xdr:col>43</xdr:col>
      <xdr:colOff>0</xdr:colOff>
      <xdr:row>105</xdr:row>
      <xdr:rowOff>0</xdr:rowOff>
    </xdr:from>
    <xdr:to>
      <xdr:col>52</xdr:col>
      <xdr:colOff>0</xdr:colOff>
      <xdr:row>105</xdr:row>
      <xdr:rowOff>0</xdr:rowOff>
    </xdr:to>
    <xdr:cxnSp macro="">
      <xdr:nvCxnSpPr>
        <xdr:cNvPr id="127" name="線: 専用線・閉域網・直線（ルートB）">
          <a:extLst>
            <a:ext uri="{FF2B5EF4-FFF2-40B4-BE49-F238E27FC236}">
              <a16:creationId xmlns:a16="http://schemas.microsoft.com/office/drawing/2014/main" id="{00000000-0008-0000-0400-00007F000000}"/>
            </a:ext>
          </a:extLst>
        </xdr:cNvPr>
        <xdr:cNvCxnSpPr/>
      </xdr:nvCxnSpPr>
      <xdr:spPr>
        <a:xfrm>
          <a:off x="8191500" y="20002500"/>
          <a:ext cx="1714500" cy="0"/>
        </a:xfrm>
        <a:prstGeom prst="straightConnector1">
          <a:avLst/>
        </a:prstGeom>
        <a:ln w="38100" cap="flat">
          <a:solidFill>
            <a:srgbClr val="247966"/>
          </a:solidFill>
          <a:round/>
        </a:ln>
      </xdr:spPr>
    </xdr:cxnSp>
    <xdr:clientData/>
  </xdr:twoCellAnchor>
  <xdr:twoCellAnchor editAs="oneCell">
    <xdr:from>
      <xdr:col>53</xdr:col>
      <xdr:colOff>0</xdr:colOff>
      <xdr:row>104</xdr:row>
      <xdr:rowOff>0</xdr:rowOff>
    </xdr:from>
    <xdr:to>
      <xdr:col>57</xdr:col>
      <xdr:colOff>0</xdr:colOff>
      <xdr:row>106</xdr:row>
      <xdr:rowOff>0</xdr:rowOff>
    </xdr:to>
    <xdr:cxnSp macro="">
      <xdr:nvCxnSpPr>
        <xdr:cNvPr id="128" name="線: 専用線・閉域網・カギ線（ルートB）">
          <a:extLst>
            <a:ext uri="{FF2B5EF4-FFF2-40B4-BE49-F238E27FC236}">
              <a16:creationId xmlns:a16="http://schemas.microsoft.com/office/drawing/2014/main" id="{00000000-0008-0000-0400-000080000000}"/>
            </a:ext>
          </a:extLst>
        </xdr:cNvPr>
        <xdr:cNvCxnSpPr/>
      </xdr:nvCxnSpPr>
      <xdr:spPr>
        <a:xfrm>
          <a:off x="10096500" y="19812000"/>
          <a:ext cx="762000" cy="381000"/>
        </a:xfrm>
        <a:prstGeom prst="bentConnector3">
          <a:avLst/>
        </a:prstGeom>
        <a:ln w="38100" cap="flat">
          <a:solidFill>
            <a:srgbClr val="247966"/>
          </a:solidFill>
          <a:round/>
        </a:ln>
      </xdr:spPr>
    </xdr:cxnSp>
    <xdr:clientData/>
  </xdr:twoCellAnchor>
  <xdr:twoCellAnchor editAs="oneCell">
    <xdr:from>
      <xdr:col>59</xdr:col>
      <xdr:colOff>0</xdr:colOff>
      <xdr:row>105</xdr:row>
      <xdr:rowOff>0</xdr:rowOff>
    </xdr:from>
    <xdr:to>
      <xdr:col>68</xdr:col>
      <xdr:colOff>0</xdr:colOff>
      <xdr:row>105</xdr:row>
      <xdr:rowOff>0</xdr:rowOff>
    </xdr:to>
    <xdr:cxnSp macro="">
      <xdr:nvCxnSpPr>
        <xdr:cNvPr id="129" name="線: 専用線・閉域網・直線（ルートC）">
          <a:extLst>
            <a:ext uri="{FF2B5EF4-FFF2-40B4-BE49-F238E27FC236}">
              <a16:creationId xmlns:a16="http://schemas.microsoft.com/office/drawing/2014/main" id="{00000000-0008-0000-0400-000081000000}"/>
            </a:ext>
          </a:extLst>
        </xdr:cNvPr>
        <xdr:cNvCxnSpPr/>
      </xdr:nvCxnSpPr>
      <xdr:spPr>
        <a:xfrm>
          <a:off x="11239500" y="20002500"/>
          <a:ext cx="1714500" cy="0"/>
        </a:xfrm>
        <a:prstGeom prst="straightConnector1">
          <a:avLst/>
        </a:prstGeom>
        <a:ln w="38100" cap="flat">
          <a:solidFill>
            <a:srgbClr val="C46B39"/>
          </a:solidFill>
          <a:round/>
        </a:ln>
      </xdr:spPr>
    </xdr:cxnSp>
    <xdr:clientData/>
  </xdr:twoCellAnchor>
  <xdr:twoCellAnchor editAs="oneCell">
    <xdr:from>
      <xdr:col>69</xdr:col>
      <xdr:colOff>0</xdr:colOff>
      <xdr:row>104</xdr:row>
      <xdr:rowOff>0</xdr:rowOff>
    </xdr:from>
    <xdr:to>
      <xdr:col>73</xdr:col>
      <xdr:colOff>0</xdr:colOff>
      <xdr:row>106</xdr:row>
      <xdr:rowOff>0</xdr:rowOff>
    </xdr:to>
    <xdr:cxnSp macro="">
      <xdr:nvCxnSpPr>
        <xdr:cNvPr id="130" name="線: 専用線・閉域網・カギ線（ルートC）">
          <a:extLst>
            <a:ext uri="{FF2B5EF4-FFF2-40B4-BE49-F238E27FC236}">
              <a16:creationId xmlns:a16="http://schemas.microsoft.com/office/drawing/2014/main" id="{00000000-0008-0000-0400-000082000000}"/>
            </a:ext>
          </a:extLst>
        </xdr:cNvPr>
        <xdr:cNvCxnSpPr/>
      </xdr:nvCxnSpPr>
      <xdr:spPr>
        <a:xfrm>
          <a:off x="13144500" y="19812000"/>
          <a:ext cx="762000" cy="381000"/>
        </a:xfrm>
        <a:prstGeom prst="bentConnector3">
          <a:avLst/>
        </a:prstGeom>
        <a:ln w="38100" cap="flat">
          <a:solidFill>
            <a:srgbClr val="C46B39"/>
          </a:solidFill>
          <a:round/>
        </a:ln>
      </xdr:spPr>
    </xdr:cxnSp>
    <xdr:clientData/>
  </xdr:twoCellAnchor>
  <xdr:twoCellAnchor editAs="oneCell">
    <xdr:from>
      <xdr:col>11</xdr:col>
      <xdr:colOff>0</xdr:colOff>
      <xdr:row>108</xdr:row>
      <xdr:rowOff>0</xdr:rowOff>
    </xdr:from>
    <xdr:to>
      <xdr:col>20</xdr:col>
      <xdr:colOff>0</xdr:colOff>
      <xdr:row>108</xdr:row>
      <xdr:rowOff>0</xdr:rowOff>
    </xdr:to>
    <xdr:cxnSp macro="">
      <xdr:nvCxnSpPr>
        <xdr:cNvPr id="131" name="線: VPN・論理接続・直線（共通）">
          <a:extLst>
            <a:ext uri="{FF2B5EF4-FFF2-40B4-BE49-F238E27FC236}">
              <a16:creationId xmlns:a16="http://schemas.microsoft.com/office/drawing/2014/main" id="{00000000-0008-0000-0400-000083000000}"/>
            </a:ext>
          </a:extLst>
        </xdr:cNvPr>
        <xdr:cNvCxnSpPr/>
      </xdr:nvCxnSpPr>
      <xdr:spPr>
        <a:xfrm>
          <a:off x="2095500" y="20574000"/>
          <a:ext cx="1714500" cy="0"/>
        </a:xfrm>
        <a:prstGeom prst="straightConnector1">
          <a:avLst/>
        </a:prstGeom>
        <a:ln w="12700" cap="flat">
          <a:solidFill>
            <a:srgbClr val="404040"/>
          </a:solidFill>
          <a:prstDash val="dash"/>
          <a:round/>
        </a:ln>
      </xdr:spPr>
    </xdr:cxnSp>
    <xdr:clientData/>
  </xdr:twoCellAnchor>
  <xdr:twoCellAnchor editAs="oneCell">
    <xdr:from>
      <xdr:col>21</xdr:col>
      <xdr:colOff>0</xdr:colOff>
      <xdr:row>107</xdr:row>
      <xdr:rowOff>0</xdr:rowOff>
    </xdr:from>
    <xdr:to>
      <xdr:col>25</xdr:col>
      <xdr:colOff>0</xdr:colOff>
      <xdr:row>109</xdr:row>
      <xdr:rowOff>0</xdr:rowOff>
    </xdr:to>
    <xdr:cxnSp macro="">
      <xdr:nvCxnSpPr>
        <xdr:cNvPr id="132" name="線: VPN・論理接続・カギ線（共通）">
          <a:extLst>
            <a:ext uri="{FF2B5EF4-FFF2-40B4-BE49-F238E27FC236}">
              <a16:creationId xmlns:a16="http://schemas.microsoft.com/office/drawing/2014/main" id="{00000000-0008-0000-0400-000084000000}"/>
            </a:ext>
          </a:extLst>
        </xdr:cNvPr>
        <xdr:cNvCxnSpPr/>
      </xdr:nvCxnSpPr>
      <xdr:spPr>
        <a:xfrm>
          <a:off x="4000500" y="20383500"/>
          <a:ext cx="762000" cy="381000"/>
        </a:xfrm>
        <a:prstGeom prst="bentConnector3">
          <a:avLst/>
        </a:prstGeom>
        <a:ln w="12700" cap="flat">
          <a:solidFill>
            <a:srgbClr val="404040"/>
          </a:solidFill>
          <a:prstDash val="dash"/>
          <a:round/>
        </a:ln>
      </xdr:spPr>
    </xdr:cxnSp>
    <xdr:clientData/>
  </xdr:twoCellAnchor>
  <xdr:twoCellAnchor editAs="oneCell">
    <xdr:from>
      <xdr:col>27</xdr:col>
      <xdr:colOff>0</xdr:colOff>
      <xdr:row>108</xdr:row>
      <xdr:rowOff>0</xdr:rowOff>
    </xdr:from>
    <xdr:to>
      <xdr:col>36</xdr:col>
      <xdr:colOff>0</xdr:colOff>
      <xdr:row>108</xdr:row>
      <xdr:rowOff>0</xdr:rowOff>
    </xdr:to>
    <xdr:cxnSp macro="">
      <xdr:nvCxnSpPr>
        <xdr:cNvPr id="133" name="線: VPN・論理接続・直線（ルートA）">
          <a:extLst>
            <a:ext uri="{FF2B5EF4-FFF2-40B4-BE49-F238E27FC236}">
              <a16:creationId xmlns:a16="http://schemas.microsoft.com/office/drawing/2014/main" id="{00000000-0008-0000-0400-000085000000}"/>
            </a:ext>
          </a:extLst>
        </xdr:cNvPr>
        <xdr:cNvCxnSpPr/>
      </xdr:nvCxnSpPr>
      <xdr:spPr>
        <a:xfrm>
          <a:off x="5143500" y="20574000"/>
          <a:ext cx="1714500" cy="0"/>
        </a:xfrm>
        <a:prstGeom prst="straightConnector1">
          <a:avLst/>
        </a:prstGeom>
        <a:ln w="12700" cap="flat">
          <a:solidFill>
            <a:srgbClr val="315C92"/>
          </a:solidFill>
          <a:prstDash val="dash"/>
          <a:round/>
        </a:ln>
      </xdr:spPr>
    </xdr:cxnSp>
    <xdr:clientData/>
  </xdr:twoCellAnchor>
  <xdr:twoCellAnchor editAs="oneCell">
    <xdr:from>
      <xdr:col>37</xdr:col>
      <xdr:colOff>0</xdr:colOff>
      <xdr:row>107</xdr:row>
      <xdr:rowOff>0</xdr:rowOff>
    </xdr:from>
    <xdr:to>
      <xdr:col>41</xdr:col>
      <xdr:colOff>0</xdr:colOff>
      <xdr:row>109</xdr:row>
      <xdr:rowOff>0</xdr:rowOff>
    </xdr:to>
    <xdr:cxnSp macro="">
      <xdr:nvCxnSpPr>
        <xdr:cNvPr id="134" name="線: VPN・論理接続・カギ線（ルートA）">
          <a:extLst>
            <a:ext uri="{FF2B5EF4-FFF2-40B4-BE49-F238E27FC236}">
              <a16:creationId xmlns:a16="http://schemas.microsoft.com/office/drawing/2014/main" id="{00000000-0008-0000-0400-000086000000}"/>
            </a:ext>
          </a:extLst>
        </xdr:cNvPr>
        <xdr:cNvCxnSpPr/>
      </xdr:nvCxnSpPr>
      <xdr:spPr>
        <a:xfrm>
          <a:off x="7048500" y="20383500"/>
          <a:ext cx="762000" cy="381000"/>
        </a:xfrm>
        <a:prstGeom prst="bentConnector3">
          <a:avLst/>
        </a:prstGeom>
        <a:ln w="12700" cap="flat">
          <a:solidFill>
            <a:srgbClr val="315C92"/>
          </a:solidFill>
          <a:prstDash val="dash"/>
          <a:round/>
        </a:ln>
      </xdr:spPr>
    </xdr:cxnSp>
    <xdr:clientData/>
  </xdr:twoCellAnchor>
  <xdr:twoCellAnchor editAs="oneCell">
    <xdr:from>
      <xdr:col>43</xdr:col>
      <xdr:colOff>0</xdr:colOff>
      <xdr:row>108</xdr:row>
      <xdr:rowOff>0</xdr:rowOff>
    </xdr:from>
    <xdr:to>
      <xdr:col>52</xdr:col>
      <xdr:colOff>0</xdr:colOff>
      <xdr:row>108</xdr:row>
      <xdr:rowOff>0</xdr:rowOff>
    </xdr:to>
    <xdr:cxnSp macro="">
      <xdr:nvCxnSpPr>
        <xdr:cNvPr id="135" name="線: VPN・論理接続・直線（ルートB）">
          <a:extLst>
            <a:ext uri="{FF2B5EF4-FFF2-40B4-BE49-F238E27FC236}">
              <a16:creationId xmlns:a16="http://schemas.microsoft.com/office/drawing/2014/main" id="{00000000-0008-0000-0400-000087000000}"/>
            </a:ext>
          </a:extLst>
        </xdr:cNvPr>
        <xdr:cNvCxnSpPr/>
      </xdr:nvCxnSpPr>
      <xdr:spPr>
        <a:xfrm>
          <a:off x="8191500" y="20574000"/>
          <a:ext cx="1714500" cy="0"/>
        </a:xfrm>
        <a:prstGeom prst="straightConnector1">
          <a:avLst/>
        </a:prstGeom>
        <a:ln w="12700" cap="flat">
          <a:solidFill>
            <a:srgbClr val="247966"/>
          </a:solidFill>
          <a:prstDash val="dash"/>
          <a:round/>
        </a:ln>
      </xdr:spPr>
    </xdr:cxnSp>
    <xdr:clientData/>
  </xdr:twoCellAnchor>
  <xdr:twoCellAnchor editAs="oneCell">
    <xdr:from>
      <xdr:col>53</xdr:col>
      <xdr:colOff>0</xdr:colOff>
      <xdr:row>107</xdr:row>
      <xdr:rowOff>0</xdr:rowOff>
    </xdr:from>
    <xdr:to>
      <xdr:col>57</xdr:col>
      <xdr:colOff>0</xdr:colOff>
      <xdr:row>109</xdr:row>
      <xdr:rowOff>0</xdr:rowOff>
    </xdr:to>
    <xdr:cxnSp macro="">
      <xdr:nvCxnSpPr>
        <xdr:cNvPr id="136" name="線: VPN・論理接続・カギ線（ルートB）">
          <a:extLst>
            <a:ext uri="{FF2B5EF4-FFF2-40B4-BE49-F238E27FC236}">
              <a16:creationId xmlns:a16="http://schemas.microsoft.com/office/drawing/2014/main" id="{00000000-0008-0000-0400-000088000000}"/>
            </a:ext>
          </a:extLst>
        </xdr:cNvPr>
        <xdr:cNvCxnSpPr/>
      </xdr:nvCxnSpPr>
      <xdr:spPr>
        <a:xfrm>
          <a:off x="10096500" y="20383500"/>
          <a:ext cx="762000" cy="381000"/>
        </a:xfrm>
        <a:prstGeom prst="bentConnector3">
          <a:avLst/>
        </a:prstGeom>
        <a:ln w="12700" cap="flat">
          <a:solidFill>
            <a:srgbClr val="247966"/>
          </a:solidFill>
          <a:prstDash val="dash"/>
          <a:round/>
        </a:ln>
      </xdr:spPr>
    </xdr:cxnSp>
    <xdr:clientData/>
  </xdr:twoCellAnchor>
  <xdr:twoCellAnchor editAs="oneCell">
    <xdr:from>
      <xdr:col>59</xdr:col>
      <xdr:colOff>0</xdr:colOff>
      <xdr:row>108</xdr:row>
      <xdr:rowOff>0</xdr:rowOff>
    </xdr:from>
    <xdr:to>
      <xdr:col>68</xdr:col>
      <xdr:colOff>0</xdr:colOff>
      <xdr:row>108</xdr:row>
      <xdr:rowOff>0</xdr:rowOff>
    </xdr:to>
    <xdr:cxnSp macro="">
      <xdr:nvCxnSpPr>
        <xdr:cNvPr id="137" name="線: VPN・論理接続・直線（ルートC）">
          <a:extLst>
            <a:ext uri="{FF2B5EF4-FFF2-40B4-BE49-F238E27FC236}">
              <a16:creationId xmlns:a16="http://schemas.microsoft.com/office/drawing/2014/main" id="{00000000-0008-0000-0400-000089000000}"/>
            </a:ext>
          </a:extLst>
        </xdr:cNvPr>
        <xdr:cNvCxnSpPr/>
      </xdr:nvCxnSpPr>
      <xdr:spPr>
        <a:xfrm>
          <a:off x="11239500" y="20574000"/>
          <a:ext cx="1714500" cy="0"/>
        </a:xfrm>
        <a:prstGeom prst="straightConnector1">
          <a:avLst/>
        </a:prstGeom>
        <a:ln w="12700" cap="flat">
          <a:solidFill>
            <a:srgbClr val="C46B39"/>
          </a:solidFill>
          <a:prstDash val="dash"/>
          <a:round/>
        </a:ln>
      </xdr:spPr>
    </xdr:cxnSp>
    <xdr:clientData/>
  </xdr:twoCellAnchor>
  <xdr:twoCellAnchor editAs="oneCell">
    <xdr:from>
      <xdr:col>69</xdr:col>
      <xdr:colOff>0</xdr:colOff>
      <xdr:row>107</xdr:row>
      <xdr:rowOff>0</xdr:rowOff>
    </xdr:from>
    <xdr:to>
      <xdr:col>73</xdr:col>
      <xdr:colOff>0</xdr:colOff>
      <xdr:row>109</xdr:row>
      <xdr:rowOff>0</xdr:rowOff>
    </xdr:to>
    <xdr:cxnSp macro="">
      <xdr:nvCxnSpPr>
        <xdr:cNvPr id="138" name="線: VPN・論理接続・カギ線（ルートC）">
          <a:extLst>
            <a:ext uri="{FF2B5EF4-FFF2-40B4-BE49-F238E27FC236}">
              <a16:creationId xmlns:a16="http://schemas.microsoft.com/office/drawing/2014/main" id="{00000000-0008-0000-0400-00008A000000}"/>
            </a:ext>
          </a:extLst>
        </xdr:cNvPr>
        <xdr:cNvCxnSpPr/>
      </xdr:nvCxnSpPr>
      <xdr:spPr>
        <a:xfrm>
          <a:off x="13144500" y="20383500"/>
          <a:ext cx="762000" cy="381000"/>
        </a:xfrm>
        <a:prstGeom prst="bentConnector3">
          <a:avLst/>
        </a:prstGeom>
        <a:ln w="12700" cap="flat">
          <a:solidFill>
            <a:srgbClr val="C46B39"/>
          </a:solidFill>
          <a:prstDash val="dash"/>
          <a:round/>
        </a:ln>
      </xdr:spPr>
    </xdr:cxnSp>
    <xdr:clientData/>
  </xdr:twoCellAnchor>
  <xdr:twoCellAnchor editAs="oneCell">
    <xdr:from>
      <xdr:col>11</xdr:col>
      <xdr:colOff>0</xdr:colOff>
      <xdr:row>111</xdr:row>
      <xdr:rowOff>0</xdr:rowOff>
    </xdr:from>
    <xdr:to>
      <xdr:col>20</xdr:col>
      <xdr:colOff>0</xdr:colOff>
      <xdr:row>111</xdr:row>
      <xdr:rowOff>0</xdr:rowOff>
    </xdr:to>
    <xdr:cxnSp macro="">
      <xdr:nvCxnSpPr>
        <xdr:cNvPr id="139" name="線: 引出線・直線（共通）">
          <a:extLst>
            <a:ext uri="{FF2B5EF4-FFF2-40B4-BE49-F238E27FC236}">
              <a16:creationId xmlns:a16="http://schemas.microsoft.com/office/drawing/2014/main" id="{00000000-0008-0000-0400-00008B000000}"/>
            </a:ext>
          </a:extLst>
        </xdr:cNvPr>
        <xdr:cNvCxnSpPr/>
      </xdr:nvCxnSpPr>
      <xdr:spPr>
        <a:xfrm>
          <a:off x="2095500" y="21145500"/>
          <a:ext cx="1714500" cy="0"/>
        </a:xfrm>
        <a:prstGeom prst="straightConnector1">
          <a:avLst/>
        </a:prstGeom>
        <a:ln w="9525" cap="flat">
          <a:solidFill>
            <a:srgbClr val="404040"/>
          </a:solidFill>
          <a:prstDash val="sysDot"/>
          <a:round/>
          <a:tailEnd type="oval" w="med" len="med"/>
        </a:ln>
      </xdr:spPr>
    </xdr:cxnSp>
    <xdr:clientData/>
  </xdr:twoCellAnchor>
  <xdr:twoCellAnchor editAs="oneCell">
    <xdr:from>
      <xdr:col>21</xdr:col>
      <xdr:colOff>0</xdr:colOff>
      <xdr:row>110</xdr:row>
      <xdr:rowOff>0</xdr:rowOff>
    </xdr:from>
    <xdr:to>
      <xdr:col>25</xdr:col>
      <xdr:colOff>0</xdr:colOff>
      <xdr:row>112</xdr:row>
      <xdr:rowOff>0</xdr:rowOff>
    </xdr:to>
    <xdr:cxnSp macro="">
      <xdr:nvCxnSpPr>
        <xdr:cNvPr id="140" name="線: 引出線・カギ線（共通）">
          <a:extLst>
            <a:ext uri="{FF2B5EF4-FFF2-40B4-BE49-F238E27FC236}">
              <a16:creationId xmlns:a16="http://schemas.microsoft.com/office/drawing/2014/main" id="{00000000-0008-0000-0400-00008C000000}"/>
            </a:ext>
          </a:extLst>
        </xdr:cNvPr>
        <xdr:cNvCxnSpPr/>
      </xdr:nvCxnSpPr>
      <xdr:spPr>
        <a:xfrm>
          <a:off x="4000500" y="20955000"/>
          <a:ext cx="762000" cy="381000"/>
        </a:xfrm>
        <a:prstGeom prst="bentConnector3">
          <a:avLst/>
        </a:prstGeom>
        <a:ln w="9525" cap="flat">
          <a:solidFill>
            <a:srgbClr val="404040"/>
          </a:solidFill>
          <a:prstDash val="sysDot"/>
          <a:round/>
          <a:tailEnd type="oval" w="med" len="med"/>
        </a:ln>
      </xdr:spPr>
    </xdr:cxnSp>
    <xdr:clientData/>
  </xdr:twoCellAnchor>
  <xdr:twoCellAnchor editAs="oneCell">
    <xdr:from>
      <xdr:col>27</xdr:col>
      <xdr:colOff>0</xdr:colOff>
      <xdr:row>111</xdr:row>
      <xdr:rowOff>0</xdr:rowOff>
    </xdr:from>
    <xdr:to>
      <xdr:col>36</xdr:col>
      <xdr:colOff>0</xdr:colOff>
      <xdr:row>111</xdr:row>
      <xdr:rowOff>0</xdr:rowOff>
    </xdr:to>
    <xdr:cxnSp macro="">
      <xdr:nvCxnSpPr>
        <xdr:cNvPr id="141" name="線: 引出線・直線（ルートA）">
          <a:extLst>
            <a:ext uri="{FF2B5EF4-FFF2-40B4-BE49-F238E27FC236}">
              <a16:creationId xmlns:a16="http://schemas.microsoft.com/office/drawing/2014/main" id="{00000000-0008-0000-0400-00008D000000}"/>
            </a:ext>
          </a:extLst>
        </xdr:cNvPr>
        <xdr:cNvCxnSpPr/>
      </xdr:nvCxnSpPr>
      <xdr:spPr>
        <a:xfrm>
          <a:off x="5143500" y="21145500"/>
          <a:ext cx="1714500" cy="0"/>
        </a:xfrm>
        <a:prstGeom prst="straightConnector1">
          <a:avLst/>
        </a:prstGeom>
        <a:ln w="9525" cap="flat">
          <a:solidFill>
            <a:srgbClr val="315C92"/>
          </a:solidFill>
          <a:prstDash val="sysDot"/>
          <a:round/>
          <a:tailEnd type="oval" w="med" len="med"/>
        </a:ln>
      </xdr:spPr>
    </xdr:cxnSp>
    <xdr:clientData/>
  </xdr:twoCellAnchor>
  <xdr:twoCellAnchor editAs="oneCell">
    <xdr:from>
      <xdr:col>37</xdr:col>
      <xdr:colOff>0</xdr:colOff>
      <xdr:row>110</xdr:row>
      <xdr:rowOff>0</xdr:rowOff>
    </xdr:from>
    <xdr:to>
      <xdr:col>41</xdr:col>
      <xdr:colOff>0</xdr:colOff>
      <xdr:row>112</xdr:row>
      <xdr:rowOff>0</xdr:rowOff>
    </xdr:to>
    <xdr:cxnSp macro="">
      <xdr:nvCxnSpPr>
        <xdr:cNvPr id="142" name="線: 引出線・カギ線（ルートA）">
          <a:extLst>
            <a:ext uri="{FF2B5EF4-FFF2-40B4-BE49-F238E27FC236}">
              <a16:creationId xmlns:a16="http://schemas.microsoft.com/office/drawing/2014/main" id="{00000000-0008-0000-0400-00008E000000}"/>
            </a:ext>
          </a:extLst>
        </xdr:cNvPr>
        <xdr:cNvCxnSpPr/>
      </xdr:nvCxnSpPr>
      <xdr:spPr>
        <a:xfrm>
          <a:off x="7048500" y="20955000"/>
          <a:ext cx="762000" cy="381000"/>
        </a:xfrm>
        <a:prstGeom prst="bentConnector3">
          <a:avLst/>
        </a:prstGeom>
        <a:ln w="9525" cap="flat">
          <a:solidFill>
            <a:srgbClr val="315C92"/>
          </a:solidFill>
          <a:prstDash val="sysDot"/>
          <a:round/>
          <a:tailEnd type="oval" w="med" len="med"/>
        </a:ln>
      </xdr:spPr>
    </xdr:cxnSp>
    <xdr:clientData/>
  </xdr:twoCellAnchor>
  <xdr:twoCellAnchor editAs="oneCell">
    <xdr:from>
      <xdr:col>43</xdr:col>
      <xdr:colOff>0</xdr:colOff>
      <xdr:row>111</xdr:row>
      <xdr:rowOff>0</xdr:rowOff>
    </xdr:from>
    <xdr:to>
      <xdr:col>52</xdr:col>
      <xdr:colOff>0</xdr:colOff>
      <xdr:row>111</xdr:row>
      <xdr:rowOff>0</xdr:rowOff>
    </xdr:to>
    <xdr:cxnSp macro="">
      <xdr:nvCxnSpPr>
        <xdr:cNvPr id="143" name="線: 引出線・直線（ルートB）">
          <a:extLst>
            <a:ext uri="{FF2B5EF4-FFF2-40B4-BE49-F238E27FC236}">
              <a16:creationId xmlns:a16="http://schemas.microsoft.com/office/drawing/2014/main" id="{00000000-0008-0000-0400-00008F000000}"/>
            </a:ext>
          </a:extLst>
        </xdr:cNvPr>
        <xdr:cNvCxnSpPr/>
      </xdr:nvCxnSpPr>
      <xdr:spPr>
        <a:xfrm>
          <a:off x="8191500" y="21145500"/>
          <a:ext cx="1714500" cy="0"/>
        </a:xfrm>
        <a:prstGeom prst="straightConnector1">
          <a:avLst/>
        </a:prstGeom>
        <a:ln w="9525" cap="flat">
          <a:solidFill>
            <a:srgbClr val="247966"/>
          </a:solidFill>
          <a:prstDash val="sysDot"/>
          <a:round/>
          <a:tailEnd type="oval" w="med" len="med"/>
        </a:ln>
      </xdr:spPr>
    </xdr:cxnSp>
    <xdr:clientData/>
  </xdr:twoCellAnchor>
  <xdr:twoCellAnchor editAs="oneCell">
    <xdr:from>
      <xdr:col>53</xdr:col>
      <xdr:colOff>0</xdr:colOff>
      <xdr:row>110</xdr:row>
      <xdr:rowOff>0</xdr:rowOff>
    </xdr:from>
    <xdr:to>
      <xdr:col>57</xdr:col>
      <xdr:colOff>0</xdr:colOff>
      <xdr:row>112</xdr:row>
      <xdr:rowOff>0</xdr:rowOff>
    </xdr:to>
    <xdr:cxnSp macro="">
      <xdr:nvCxnSpPr>
        <xdr:cNvPr id="144" name="線: 引出線・カギ線（ルートB）">
          <a:extLst>
            <a:ext uri="{FF2B5EF4-FFF2-40B4-BE49-F238E27FC236}">
              <a16:creationId xmlns:a16="http://schemas.microsoft.com/office/drawing/2014/main" id="{00000000-0008-0000-0400-000090000000}"/>
            </a:ext>
          </a:extLst>
        </xdr:cNvPr>
        <xdr:cNvCxnSpPr/>
      </xdr:nvCxnSpPr>
      <xdr:spPr>
        <a:xfrm>
          <a:off x="10096500" y="20955000"/>
          <a:ext cx="762000" cy="381000"/>
        </a:xfrm>
        <a:prstGeom prst="bentConnector3">
          <a:avLst/>
        </a:prstGeom>
        <a:ln w="9525" cap="flat">
          <a:solidFill>
            <a:srgbClr val="247966"/>
          </a:solidFill>
          <a:prstDash val="sysDot"/>
          <a:round/>
          <a:tailEnd type="oval" w="med" len="med"/>
        </a:ln>
      </xdr:spPr>
    </xdr:cxnSp>
    <xdr:clientData/>
  </xdr:twoCellAnchor>
  <xdr:twoCellAnchor editAs="oneCell">
    <xdr:from>
      <xdr:col>59</xdr:col>
      <xdr:colOff>0</xdr:colOff>
      <xdr:row>111</xdr:row>
      <xdr:rowOff>0</xdr:rowOff>
    </xdr:from>
    <xdr:to>
      <xdr:col>68</xdr:col>
      <xdr:colOff>0</xdr:colOff>
      <xdr:row>111</xdr:row>
      <xdr:rowOff>0</xdr:rowOff>
    </xdr:to>
    <xdr:cxnSp macro="">
      <xdr:nvCxnSpPr>
        <xdr:cNvPr id="145" name="線: 引出線・直線（ルートC）">
          <a:extLst>
            <a:ext uri="{FF2B5EF4-FFF2-40B4-BE49-F238E27FC236}">
              <a16:creationId xmlns:a16="http://schemas.microsoft.com/office/drawing/2014/main" id="{00000000-0008-0000-0400-000091000000}"/>
            </a:ext>
          </a:extLst>
        </xdr:cNvPr>
        <xdr:cNvCxnSpPr/>
      </xdr:nvCxnSpPr>
      <xdr:spPr>
        <a:xfrm>
          <a:off x="11239500" y="21145500"/>
          <a:ext cx="1714500" cy="0"/>
        </a:xfrm>
        <a:prstGeom prst="straightConnector1">
          <a:avLst/>
        </a:prstGeom>
        <a:ln w="9525" cap="flat">
          <a:solidFill>
            <a:srgbClr val="C46B39"/>
          </a:solidFill>
          <a:prstDash val="sysDot"/>
          <a:round/>
          <a:tailEnd type="oval" w="med" len="med"/>
        </a:ln>
      </xdr:spPr>
    </xdr:cxnSp>
    <xdr:clientData/>
  </xdr:twoCellAnchor>
  <xdr:twoCellAnchor editAs="oneCell">
    <xdr:from>
      <xdr:col>69</xdr:col>
      <xdr:colOff>0</xdr:colOff>
      <xdr:row>110</xdr:row>
      <xdr:rowOff>0</xdr:rowOff>
    </xdr:from>
    <xdr:to>
      <xdr:col>73</xdr:col>
      <xdr:colOff>0</xdr:colOff>
      <xdr:row>112</xdr:row>
      <xdr:rowOff>0</xdr:rowOff>
    </xdr:to>
    <xdr:cxnSp macro="">
      <xdr:nvCxnSpPr>
        <xdr:cNvPr id="146" name="線: 引出線・カギ線（ルートC）">
          <a:extLst>
            <a:ext uri="{FF2B5EF4-FFF2-40B4-BE49-F238E27FC236}">
              <a16:creationId xmlns:a16="http://schemas.microsoft.com/office/drawing/2014/main" id="{00000000-0008-0000-0400-000092000000}"/>
            </a:ext>
          </a:extLst>
        </xdr:cNvPr>
        <xdr:cNvCxnSpPr/>
      </xdr:nvCxnSpPr>
      <xdr:spPr>
        <a:xfrm>
          <a:off x="13144500" y="20955000"/>
          <a:ext cx="762000" cy="381000"/>
        </a:xfrm>
        <a:prstGeom prst="bentConnector3">
          <a:avLst/>
        </a:prstGeom>
        <a:ln w="9525" cap="flat">
          <a:solidFill>
            <a:srgbClr val="C46B39"/>
          </a:solidFill>
          <a:prstDash val="sysDot"/>
          <a:round/>
          <a:tailEnd type="oval" w="med" len="med"/>
        </a:ln>
      </xdr:spPr>
    </xdr:cxnSp>
    <xdr:clientData/>
  </xdr:twoCellAnchor>
  <xdr:twoCellAnchor editAs="oneCell">
    <xdr:from>
      <xdr:col>11</xdr:col>
      <xdr:colOff>0</xdr:colOff>
      <xdr:row>114</xdr:row>
      <xdr:rowOff>0</xdr:rowOff>
    </xdr:from>
    <xdr:to>
      <xdr:col>20</xdr:col>
      <xdr:colOff>0</xdr:colOff>
      <xdr:row>114</xdr:row>
      <xdr:rowOff>0</xdr:rowOff>
    </xdr:to>
    <xdr:cxnSp macro="">
      <xdr:nvCxnSpPr>
        <xdr:cNvPr id="147" name="線: 既存・対象外（グレー）">
          <a:extLst>
            <a:ext uri="{FF2B5EF4-FFF2-40B4-BE49-F238E27FC236}">
              <a16:creationId xmlns:a16="http://schemas.microsoft.com/office/drawing/2014/main" id="{00000000-0008-0000-0400-000093000000}"/>
            </a:ext>
          </a:extLst>
        </xdr:cNvPr>
        <xdr:cNvCxnSpPr/>
      </xdr:nvCxnSpPr>
      <xdr:spPr>
        <a:xfrm>
          <a:off x="2095500" y="21717000"/>
          <a:ext cx="1714500" cy="0"/>
        </a:xfrm>
        <a:prstGeom prst="straightConnector1">
          <a:avLst/>
        </a:prstGeom>
        <a:ln w="19050" cap="flat">
          <a:solidFill>
            <a:srgbClr val="7F7F7F"/>
          </a:solidFill>
          <a:round/>
          <a:tailEnd type="triangle" w="med" len="med"/>
        </a:ln>
      </xdr:spPr>
    </xdr:cxnSp>
    <xdr:clientData/>
  </xdr:twoCellAnchor>
  <xdr:twoCellAnchor editAs="oneCell">
    <xdr:from>
      <xdr:col>27</xdr:col>
      <xdr:colOff>0</xdr:colOff>
      <xdr:row>113</xdr:row>
      <xdr:rowOff>0</xdr:rowOff>
    </xdr:from>
    <xdr:to>
      <xdr:col>57</xdr:col>
      <xdr:colOff>0</xdr:colOff>
      <xdr:row>115</xdr:row>
      <xdr:rowOff>0</xdr:rowOff>
    </xdr:to>
    <xdr:sp macro="" textlink="">
      <xdr:nvSpPr>
        <xdr:cNvPr id="148" name="テキスト">
          <a:extLst>
            <a:ext uri="{FF2B5EF4-FFF2-40B4-BE49-F238E27FC236}">
              <a16:creationId xmlns:a16="http://schemas.microsoft.com/office/drawing/2014/main" id="{00000000-0008-0000-0400-000094000000}"/>
            </a:ext>
          </a:extLst>
        </xdr:cNvPr>
        <xdr:cNvSpPr/>
      </xdr:nvSpPr>
      <xdr:spPr>
        <a:xfrm>
          <a:off x="5143500" y="21526500"/>
          <a:ext cx="5715000" cy="381000"/>
        </a:xfrm>
        <a:prstGeom prst="rect">
          <a:avLst/>
        </a:prstGeom>
        <a:noFill/>
        <a:ln>
          <a:noFill/>
        </a:ln>
      </xdr:spPr>
      <xdr:txBody>
        <a:bodyPr vertOverflow="overflow" horzOverflow="overflow" wrap="square" lIns="12700" tIns="0" rIns="12700" bIns="0" rtlCol="0" anchor="ctr">
          <a:noAutofit/>
        </a:bodyPr>
        <a:lstStyle/>
        <a:p>
          <a:pPr algn="l"/>
          <a:r>
            <a:rPr lang="ja-JP" altLang="en-US" sz="750" b="0" dirty="0">
              <a:solidFill>
                <a:srgbClr val="595959"/>
              </a:solidFill>
              <a:latin typeface="Meiryo UI"/>
              <a:ea typeface="Meiryo UI"/>
              <a:cs typeface="Meiryo UI"/>
            </a:rPr>
            <a:t>← 既存・対象外の接続はグレー（ルートの色を付けない）</a:t>
          </a:r>
          <a:endParaRPr lang="ja-JP" altLang="en-US" sz="750" dirty="0">
            <a:latin typeface="Meiryo UI"/>
            <a:ea typeface="Meiryo UI"/>
          </a:endParaRPr>
        </a:p>
      </xdr:txBody>
    </xdr:sp>
    <xdr:clientData/>
  </xdr:twoCellAnchor>
  <xdr:twoCellAnchor editAs="oneCell">
    <xdr:from>
      <xdr:col>11</xdr:col>
      <xdr:colOff>0</xdr:colOff>
      <xdr:row>117</xdr:row>
      <xdr:rowOff>0</xdr:rowOff>
    </xdr:from>
    <xdr:to>
      <xdr:col>15</xdr:col>
      <xdr:colOff>0</xdr:colOff>
      <xdr:row>121</xdr:row>
      <xdr:rowOff>0</xdr:rowOff>
    </xdr:to>
    <xdr:sp macro="" textlink="">
      <xdr:nvSpPr>
        <xdr:cNvPr id="149" name="見本: 接続元（共通）">
          <a:extLst>
            <a:ext uri="{FF2B5EF4-FFF2-40B4-BE49-F238E27FC236}">
              <a16:creationId xmlns:a16="http://schemas.microsoft.com/office/drawing/2014/main" id="{00000000-0008-0000-0400-000095000000}"/>
            </a:ext>
          </a:extLst>
        </xdr:cNvPr>
        <xdr:cNvSpPr/>
      </xdr:nvSpPr>
      <xdr:spPr>
        <a:xfrm>
          <a:off x="2095500" y="22288500"/>
          <a:ext cx="762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FFFFFF"/>
        </a:solidFill>
        <a:ln w="12700" cap="flat">
          <a:solidFill>
            <a:srgbClr val="404040"/>
          </a:solidFill>
          <a:round/>
        </a:ln>
      </xdr:spPr>
      <xdr:txBody>
        <a:bodyPr vertOverflow="overflow" horzOverflow="overflow" wrap="square" lIns="38100" tIns="19050" rIns="38100" bIns="19050" rtlCol="0" anchor="ctr">
          <a:noAutofit/>
        </a:bodyPr>
        <a:lstStyle/>
        <a:p>
          <a:pPr algn="ctr">
            <a:lnSpc>
              <a:spcPct val="95000"/>
            </a:lnSpc>
          </a:pPr>
          <a:r>
            <a:rPr lang="ja-JP" altLang="en-US" sz="850" b="1" dirty="0">
              <a:solidFill>
                <a:srgbClr val="262626"/>
              </a:solidFill>
              <a:latin typeface="Meiryo UI"/>
              <a:ea typeface="Meiryo UI"/>
              <a:cs typeface="Meiryo UI"/>
            </a:rPr>
            <a:t>接続元</a:t>
          </a:r>
          <a:endParaRPr lang="ja-JP" altLang="en-US" sz="850" dirty="0">
            <a:latin typeface="Meiryo UI"/>
            <a:ea typeface="Meiryo UI"/>
          </a:endParaRPr>
        </a:p>
      </xdr:txBody>
    </xdr:sp>
    <xdr:clientData/>
  </xdr:twoCellAnchor>
  <xdr:twoCellAnchor editAs="oneCell">
    <xdr:from>
      <xdr:col>21</xdr:col>
      <xdr:colOff>0</xdr:colOff>
      <xdr:row>121</xdr:row>
      <xdr:rowOff>0</xdr:rowOff>
    </xdr:from>
    <xdr:to>
      <xdr:col>25</xdr:col>
      <xdr:colOff>0</xdr:colOff>
      <xdr:row>125</xdr:row>
      <xdr:rowOff>0</xdr:rowOff>
    </xdr:to>
    <xdr:sp macro="" textlink="">
      <xdr:nvSpPr>
        <xdr:cNvPr id="150" name="見本: 接続先（共通）">
          <a:extLst>
            <a:ext uri="{FF2B5EF4-FFF2-40B4-BE49-F238E27FC236}">
              <a16:creationId xmlns:a16="http://schemas.microsoft.com/office/drawing/2014/main" id="{00000000-0008-0000-0400-000096000000}"/>
            </a:ext>
          </a:extLst>
        </xdr:cNvPr>
        <xdr:cNvSpPr/>
      </xdr:nvSpPr>
      <xdr:spPr>
        <a:xfrm>
          <a:off x="4000500" y="23050500"/>
          <a:ext cx="762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FFFFFF"/>
        </a:solidFill>
        <a:ln w="12700" cap="flat">
          <a:solidFill>
            <a:srgbClr val="404040"/>
          </a:solidFill>
          <a:round/>
        </a:ln>
      </xdr:spPr>
      <xdr:txBody>
        <a:bodyPr vertOverflow="overflow" horzOverflow="overflow" wrap="square" lIns="38100" tIns="19050" rIns="38100" bIns="19050" rtlCol="0" anchor="ctr">
          <a:noAutofit/>
        </a:bodyPr>
        <a:lstStyle/>
        <a:p>
          <a:pPr algn="ctr">
            <a:lnSpc>
              <a:spcPct val="95000"/>
            </a:lnSpc>
          </a:pPr>
          <a:r>
            <a:rPr lang="ja-JP" altLang="en-US" sz="850" b="1" dirty="0">
              <a:solidFill>
                <a:srgbClr val="262626"/>
              </a:solidFill>
              <a:latin typeface="Meiryo UI"/>
              <a:ea typeface="Meiryo UI"/>
              <a:cs typeface="Meiryo UI"/>
            </a:rPr>
            <a:t>接続先</a:t>
          </a:r>
          <a:endParaRPr lang="ja-JP" altLang="en-US" sz="850" dirty="0">
            <a:latin typeface="Meiryo UI"/>
            <a:ea typeface="Meiryo UI"/>
          </a:endParaRPr>
        </a:p>
      </xdr:txBody>
    </xdr:sp>
    <xdr:clientData/>
  </xdr:twoCellAnchor>
  <xdr:twoCellAnchor editAs="oneCell">
    <xdr:from>
      <xdr:col>15</xdr:col>
      <xdr:colOff>0</xdr:colOff>
      <xdr:row>119</xdr:row>
      <xdr:rowOff>0</xdr:rowOff>
    </xdr:from>
    <xdr:to>
      <xdr:col>21</xdr:col>
      <xdr:colOff>0</xdr:colOff>
      <xdr:row>123</xdr:row>
      <xdr:rowOff>0</xdr:rowOff>
    </xdr:to>
    <xdr:cxnSp macro="">
      <xdr:nvCxnSpPr>
        <xdr:cNvPr id="151" name="見本: カギ線（共通）">
          <a:extLst>
            <a:ext uri="{FF2B5EF4-FFF2-40B4-BE49-F238E27FC236}">
              <a16:creationId xmlns:a16="http://schemas.microsoft.com/office/drawing/2014/main" id="{00000000-0008-0000-0400-000097000000}"/>
            </a:ext>
          </a:extLst>
        </xdr:cNvPr>
        <xdr:cNvCxnSpPr>
          <a:stCxn id="149" idx="3"/>
          <a:endCxn id="150" idx="9"/>
        </xdr:cNvCxnSpPr>
      </xdr:nvCxnSpPr>
      <xdr:spPr>
        <a:xfrm>
          <a:off x="2857500" y="21717000"/>
          <a:ext cx="1143000" cy="714375"/>
        </a:xfrm>
        <a:prstGeom prst="bentConnector3">
          <a:avLst/>
        </a:prstGeom>
        <a:ln w="19050" cap="flat">
          <a:solidFill>
            <a:srgbClr val="404040"/>
          </a:solidFill>
          <a:round/>
          <a:tailEnd type="triangle" w="med" len="med"/>
        </a:ln>
      </xdr:spPr>
    </xdr:cxnSp>
    <xdr:clientData/>
  </xdr:twoCellAnchor>
  <xdr:twoCellAnchor editAs="oneCell">
    <xdr:from>
      <xdr:col>27</xdr:col>
      <xdr:colOff>0</xdr:colOff>
      <xdr:row>117</xdr:row>
      <xdr:rowOff>0</xdr:rowOff>
    </xdr:from>
    <xdr:to>
      <xdr:col>31</xdr:col>
      <xdr:colOff>0</xdr:colOff>
      <xdr:row>121</xdr:row>
      <xdr:rowOff>0</xdr:rowOff>
    </xdr:to>
    <xdr:sp macro="" textlink="">
      <xdr:nvSpPr>
        <xdr:cNvPr id="152" name="見本: 接続元（ルートA）">
          <a:extLst>
            <a:ext uri="{FF2B5EF4-FFF2-40B4-BE49-F238E27FC236}">
              <a16:creationId xmlns:a16="http://schemas.microsoft.com/office/drawing/2014/main" id="{00000000-0008-0000-0400-000098000000}"/>
            </a:ext>
          </a:extLst>
        </xdr:cNvPr>
        <xdr:cNvSpPr/>
      </xdr:nvSpPr>
      <xdr:spPr>
        <a:xfrm>
          <a:off x="5143500" y="22288500"/>
          <a:ext cx="762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E7F1FF"/>
        </a:solidFill>
        <a:ln w="15875" cap="flat">
          <a:solidFill>
            <a:srgbClr val="315C92"/>
          </a:solidFill>
          <a:round/>
        </a:ln>
      </xdr:spPr>
      <xdr:txBody>
        <a:bodyPr vertOverflow="overflow" horzOverflow="overflow" wrap="square" lIns="38100" tIns="19050" rIns="38100" bIns="19050" rtlCol="0" anchor="ctr">
          <a:noAutofit/>
        </a:bodyPr>
        <a:lstStyle/>
        <a:p>
          <a:pPr algn="ctr">
            <a:lnSpc>
              <a:spcPct val="95000"/>
            </a:lnSpc>
          </a:pPr>
          <a:r>
            <a:rPr lang="ja-JP" altLang="en-US" sz="850" b="1" dirty="0">
              <a:solidFill>
                <a:srgbClr val="262626"/>
              </a:solidFill>
              <a:latin typeface="Meiryo UI"/>
              <a:ea typeface="Meiryo UI"/>
              <a:cs typeface="Meiryo UI"/>
            </a:rPr>
            <a:t>接続元</a:t>
          </a:r>
          <a:endParaRPr lang="ja-JP" altLang="en-US" sz="850" dirty="0">
            <a:latin typeface="Meiryo UI"/>
            <a:ea typeface="Meiryo UI"/>
          </a:endParaRPr>
        </a:p>
      </xdr:txBody>
    </xdr:sp>
    <xdr:clientData/>
  </xdr:twoCellAnchor>
  <xdr:twoCellAnchor editAs="oneCell">
    <xdr:from>
      <xdr:col>37</xdr:col>
      <xdr:colOff>0</xdr:colOff>
      <xdr:row>121</xdr:row>
      <xdr:rowOff>0</xdr:rowOff>
    </xdr:from>
    <xdr:to>
      <xdr:col>41</xdr:col>
      <xdr:colOff>0</xdr:colOff>
      <xdr:row>125</xdr:row>
      <xdr:rowOff>0</xdr:rowOff>
    </xdr:to>
    <xdr:sp macro="" textlink="">
      <xdr:nvSpPr>
        <xdr:cNvPr id="153" name="見本: 接続先（ルートA）">
          <a:extLst>
            <a:ext uri="{FF2B5EF4-FFF2-40B4-BE49-F238E27FC236}">
              <a16:creationId xmlns:a16="http://schemas.microsoft.com/office/drawing/2014/main" id="{00000000-0008-0000-0400-000099000000}"/>
            </a:ext>
          </a:extLst>
        </xdr:cNvPr>
        <xdr:cNvSpPr/>
      </xdr:nvSpPr>
      <xdr:spPr>
        <a:xfrm>
          <a:off x="7048500" y="23050500"/>
          <a:ext cx="762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E7F1FF"/>
        </a:solidFill>
        <a:ln w="15875" cap="flat">
          <a:solidFill>
            <a:srgbClr val="315C92"/>
          </a:solidFill>
          <a:round/>
        </a:ln>
      </xdr:spPr>
      <xdr:txBody>
        <a:bodyPr vertOverflow="overflow" horzOverflow="overflow" wrap="square" lIns="38100" tIns="19050" rIns="38100" bIns="19050" rtlCol="0" anchor="ctr">
          <a:noAutofit/>
        </a:bodyPr>
        <a:lstStyle/>
        <a:p>
          <a:pPr algn="ctr">
            <a:lnSpc>
              <a:spcPct val="95000"/>
            </a:lnSpc>
          </a:pPr>
          <a:r>
            <a:rPr lang="ja-JP" altLang="en-US" sz="850" b="1" dirty="0">
              <a:solidFill>
                <a:srgbClr val="262626"/>
              </a:solidFill>
              <a:latin typeface="Meiryo UI"/>
              <a:ea typeface="Meiryo UI"/>
              <a:cs typeface="Meiryo UI"/>
            </a:rPr>
            <a:t>接続先</a:t>
          </a:r>
          <a:endParaRPr lang="ja-JP" altLang="en-US" sz="850" dirty="0">
            <a:latin typeface="Meiryo UI"/>
            <a:ea typeface="Meiryo UI"/>
          </a:endParaRPr>
        </a:p>
      </xdr:txBody>
    </xdr:sp>
    <xdr:clientData/>
  </xdr:twoCellAnchor>
  <xdr:twoCellAnchor editAs="oneCell">
    <xdr:from>
      <xdr:col>31</xdr:col>
      <xdr:colOff>0</xdr:colOff>
      <xdr:row>119</xdr:row>
      <xdr:rowOff>0</xdr:rowOff>
    </xdr:from>
    <xdr:to>
      <xdr:col>37</xdr:col>
      <xdr:colOff>0</xdr:colOff>
      <xdr:row>123</xdr:row>
      <xdr:rowOff>0</xdr:rowOff>
    </xdr:to>
    <xdr:cxnSp macro="">
      <xdr:nvCxnSpPr>
        <xdr:cNvPr id="154" name="見本: カギ線（ルートA）">
          <a:extLst>
            <a:ext uri="{FF2B5EF4-FFF2-40B4-BE49-F238E27FC236}">
              <a16:creationId xmlns:a16="http://schemas.microsoft.com/office/drawing/2014/main" id="{00000000-0008-0000-0400-00009A000000}"/>
            </a:ext>
          </a:extLst>
        </xdr:cNvPr>
        <xdr:cNvCxnSpPr>
          <a:stCxn id="152" idx="3"/>
          <a:endCxn id="153" idx="9"/>
        </xdr:cNvCxnSpPr>
      </xdr:nvCxnSpPr>
      <xdr:spPr>
        <a:xfrm>
          <a:off x="5905500" y="21717000"/>
          <a:ext cx="1143000" cy="714375"/>
        </a:xfrm>
        <a:prstGeom prst="bentConnector3">
          <a:avLst/>
        </a:prstGeom>
        <a:ln w="19050" cap="flat">
          <a:solidFill>
            <a:srgbClr val="315C92"/>
          </a:solidFill>
          <a:round/>
          <a:tailEnd type="triangle" w="med" len="med"/>
        </a:ln>
      </xdr:spPr>
    </xdr:cxnSp>
    <xdr:clientData/>
  </xdr:twoCellAnchor>
  <xdr:twoCellAnchor editAs="oneCell">
    <xdr:from>
      <xdr:col>43</xdr:col>
      <xdr:colOff>0</xdr:colOff>
      <xdr:row>117</xdr:row>
      <xdr:rowOff>0</xdr:rowOff>
    </xdr:from>
    <xdr:to>
      <xdr:col>47</xdr:col>
      <xdr:colOff>0</xdr:colOff>
      <xdr:row>121</xdr:row>
      <xdr:rowOff>0</xdr:rowOff>
    </xdr:to>
    <xdr:sp macro="" textlink="">
      <xdr:nvSpPr>
        <xdr:cNvPr id="155" name="見本: 接続元（ルートB）">
          <a:extLst>
            <a:ext uri="{FF2B5EF4-FFF2-40B4-BE49-F238E27FC236}">
              <a16:creationId xmlns:a16="http://schemas.microsoft.com/office/drawing/2014/main" id="{00000000-0008-0000-0400-00009B000000}"/>
            </a:ext>
          </a:extLst>
        </xdr:cNvPr>
        <xdr:cNvSpPr/>
      </xdr:nvSpPr>
      <xdr:spPr>
        <a:xfrm>
          <a:off x="8191500" y="22288500"/>
          <a:ext cx="762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E3F5EF"/>
        </a:solidFill>
        <a:ln w="15875" cap="flat">
          <a:solidFill>
            <a:srgbClr val="247966"/>
          </a:solidFill>
          <a:round/>
        </a:ln>
      </xdr:spPr>
      <xdr:txBody>
        <a:bodyPr vertOverflow="overflow" horzOverflow="overflow" wrap="square" lIns="38100" tIns="19050" rIns="38100" bIns="19050" rtlCol="0" anchor="ctr">
          <a:noAutofit/>
        </a:bodyPr>
        <a:lstStyle/>
        <a:p>
          <a:pPr algn="ctr">
            <a:lnSpc>
              <a:spcPct val="95000"/>
            </a:lnSpc>
          </a:pPr>
          <a:r>
            <a:rPr lang="ja-JP" altLang="en-US" sz="850" b="1" dirty="0">
              <a:solidFill>
                <a:srgbClr val="262626"/>
              </a:solidFill>
              <a:latin typeface="Meiryo UI"/>
              <a:ea typeface="Meiryo UI"/>
              <a:cs typeface="Meiryo UI"/>
            </a:rPr>
            <a:t>接続元</a:t>
          </a:r>
          <a:endParaRPr lang="ja-JP" altLang="en-US" sz="850" dirty="0">
            <a:latin typeface="Meiryo UI"/>
            <a:ea typeface="Meiryo UI"/>
          </a:endParaRPr>
        </a:p>
      </xdr:txBody>
    </xdr:sp>
    <xdr:clientData/>
  </xdr:twoCellAnchor>
  <xdr:twoCellAnchor editAs="oneCell">
    <xdr:from>
      <xdr:col>53</xdr:col>
      <xdr:colOff>0</xdr:colOff>
      <xdr:row>121</xdr:row>
      <xdr:rowOff>0</xdr:rowOff>
    </xdr:from>
    <xdr:to>
      <xdr:col>57</xdr:col>
      <xdr:colOff>0</xdr:colOff>
      <xdr:row>125</xdr:row>
      <xdr:rowOff>0</xdr:rowOff>
    </xdr:to>
    <xdr:sp macro="" textlink="">
      <xdr:nvSpPr>
        <xdr:cNvPr id="156" name="見本: 接続先（ルートB）">
          <a:extLst>
            <a:ext uri="{FF2B5EF4-FFF2-40B4-BE49-F238E27FC236}">
              <a16:creationId xmlns:a16="http://schemas.microsoft.com/office/drawing/2014/main" id="{00000000-0008-0000-0400-00009C000000}"/>
            </a:ext>
          </a:extLst>
        </xdr:cNvPr>
        <xdr:cNvSpPr/>
      </xdr:nvSpPr>
      <xdr:spPr>
        <a:xfrm>
          <a:off x="10096500" y="23050500"/>
          <a:ext cx="762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E3F5EF"/>
        </a:solidFill>
        <a:ln w="15875" cap="flat">
          <a:solidFill>
            <a:srgbClr val="247966"/>
          </a:solidFill>
          <a:round/>
        </a:ln>
      </xdr:spPr>
      <xdr:txBody>
        <a:bodyPr vertOverflow="overflow" horzOverflow="overflow" wrap="square" lIns="38100" tIns="19050" rIns="38100" bIns="19050" rtlCol="0" anchor="ctr">
          <a:noAutofit/>
        </a:bodyPr>
        <a:lstStyle/>
        <a:p>
          <a:pPr algn="ctr">
            <a:lnSpc>
              <a:spcPct val="95000"/>
            </a:lnSpc>
          </a:pPr>
          <a:r>
            <a:rPr lang="ja-JP" altLang="en-US" sz="850" b="1" dirty="0">
              <a:solidFill>
                <a:srgbClr val="262626"/>
              </a:solidFill>
              <a:latin typeface="Meiryo UI"/>
              <a:ea typeface="Meiryo UI"/>
              <a:cs typeface="Meiryo UI"/>
            </a:rPr>
            <a:t>接続先</a:t>
          </a:r>
          <a:endParaRPr lang="ja-JP" altLang="en-US" sz="850" dirty="0">
            <a:latin typeface="Meiryo UI"/>
            <a:ea typeface="Meiryo UI"/>
          </a:endParaRPr>
        </a:p>
      </xdr:txBody>
    </xdr:sp>
    <xdr:clientData/>
  </xdr:twoCellAnchor>
  <xdr:twoCellAnchor editAs="oneCell">
    <xdr:from>
      <xdr:col>47</xdr:col>
      <xdr:colOff>0</xdr:colOff>
      <xdr:row>119</xdr:row>
      <xdr:rowOff>0</xdr:rowOff>
    </xdr:from>
    <xdr:to>
      <xdr:col>53</xdr:col>
      <xdr:colOff>0</xdr:colOff>
      <xdr:row>123</xdr:row>
      <xdr:rowOff>0</xdr:rowOff>
    </xdr:to>
    <xdr:cxnSp macro="">
      <xdr:nvCxnSpPr>
        <xdr:cNvPr id="157" name="見本: カギ線（ルートB）">
          <a:extLst>
            <a:ext uri="{FF2B5EF4-FFF2-40B4-BE49-F238E27FC236}">
              <a16:creationId xmlns:a16="http://schemas.microsoft.com/office/drawing/2014/main" id="{00000000-0008-0000-0400-00009D000000}"/>
            </a:ext>
          </a:extLst>
        </xdr:cNvPr>
        <xdr:cNvCxnSpPr>
          <a:stCxn id="155" idx="3"/>
          <a:endCxn id="156" idx="9"/>
        </xdr:cNvCxnSpPr>
      </xdr:nvCxnSpPr>
      <xdr:spPr>
        <a:xfrm>
          <a:off x="8953500" y="21717000"/>
          <a:ext cx="1143000" cy="714375"/>
        </a:xfrm>
        <a:prstGeom prst="bentConnector3">
          <a:avLst/>
        </a:prstGeom>
        <a:ln w="19050" cap="flat">
          <a:solidFill>
            <a:srgbClr val="247966"/>
          </a:solidFill>
          <a:round/>
          <a:tailEnd type="triangle" w="med" len="med"/>
        </a:ln>
      </xdr:spPr>
    </xdr:cxnSp>
    <xdr:clientData/>
  </xdr:twoCellAnchor>
  <xdr:twoCellAnchor editAs="oneCell">
    <xdr:from>
      <xdr:col>59</xdr:col>
      <xdr:colOff>0</xdr:colOff>
      <xdr:row>117</xdr:row>
      <xdr:rowOff>0</xdr:rowOff>
    </xdr:from>
    <xdr:to>
      <xdr:col>63</xdr:col>
      <xdr:colOff>0</xdr:colOff>
      <xdr:row>121</xdr:row>
      <xdr:rowOff>0</xdr:rowOff>
    </xdr:to>
    <xdr:sp macro="" textlink="">
      <xdr:nvSpPr>
        <xdr:cNvPr id="158" name="見本: 接続元（ルートC）">
          <a:extLst>
            <a:ext uri="{FF2B5EF4-FFF2-40B4-BE49-F238E27FC236}">
              <a16:creationId xmlns:a16="http://schemas.microsoft.com/office/drawing/2014/main" id="{00000000-0008-0000-0400-00009E000000}"/>
            </a:ext>
          </a:extLst>
        </xdr:cNvPr>
        <xdr:cNvSpPr/>
      </xdr:nvSpPr>
      <xdr:spPr>
        <a:xfrm>
          <a:off x="11239500" y="22288500"/>
          <a:ext cx="762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FDECE4"/>
        </a:solidFill>
        <a:ln w="15875" cap="flat">
          <a:solidFill>
            <a:srgbClr val="C46B39"/>
          </a:solidFill>
          <a:round/>
        </a:ln>
      </xdr:spPr>
      <xdr:txBody>
        <a:bodyPr vertOverflow="overflow" horzOverflow="overflow" wrap="square" lIns="38100" tIns="19050" rIns="38100" bIns="19050" rtlCol="0" anchor="ctr">
          <a:noAutofit/>
        </a:bodyPr>
        <a:lstStyle/>
        <a:p>
          <a:pPr algn="ctr">
            <a:lnSpc>
              <a:spcPct val="95000"/>
            </a:lnSpc>
          </a:pPr>
          <a:r>
            <a:rPr lang="ja-JP" altLang="en-US" sz="850" b="1" dirty="0">
              <a:solidFill>
                <a:srgbClr val="262626"/>
              </a:solidFill>
              <a:latin typeface="Meiryo UI"/>
              <a:ea typeface="Meiryo UI"/>
              <a:cs typeface="Meiryo UI"/>
            </a:rPr>
            <a:t>接続元</a:t>
          </a:r>
          <a:endParaRPr lang="ja-JP" altLang="en-US" sz="850" dirty="0">
            <a:latin typeface="Meiryo UI"/>
            <a:ea typeface="Meiryo UI"/>
          </a:endParaRPr>
        </a:p>
      </xdr:txBody>
    </xdr:sp>
    <xdr:clientData/>
  </xdr:twoCellAnchor>
  <xdr:twoCellAnchor editAs="oneCell">
    <xdr:from>
      <xdr:col>69</xdr:col>
      <xdr:colOff>0</xdr:colOff>
      <xdr:row>121</xdr:row>
      <xdr:rowOff>0</xdr:rowOff>
    </xdr:from>
    <xdr:to>
      <xdr:col>73</xdr:col>
      <xdr:colOff>0</xdr:colOff>
      <xdr:row>125</xdr:row>
      <xdr:rowOff>0</xdr:rowOff>
    </xdr:to>
    <xdr:sp macro="" textlink="">
      <xdr:nvSpPr>
        <xdr:cNvPr id="159" name="見本: 接続先（ルートC）">
          <a:extLst>
            <a:ext uri="{FF2B5EF4-FFF2-40B4-BE49-F238E27FC236}">
              <a16:creationId xmlns:a16="http://schemas.microsoft.com/office/drawing/2014/main" id="{00000000-0008-0000-0400-00009F000000}"/>
            </a:ext>
          </a:extLst>
        </xdr:cNvPr>
        <xdr:cNvSpPr/>
      </xdr:nvSpPr>
      <xdr:spPr>
        <a:xfrm>
          <a:off x="13144500" y="23050500"/>
          <a:ext cx="762000" cy="762000"/>
        </a:xfrm>
        <a:custGeom>
          <a:avLst/>
          <a:gdLst>
            <a:gd name="x1" fmla="*/ w 1 4"/>
            <a:gd name="x2" fmla="*/ w 1 2"/>
            <a:gd name="x3" fmla="*/ w 3 4"/>
            <a:gd name="y1" fmla="*/ h 1 4"/>
            <a:gd name="y2" fmla="*/ h 1 2"/>
            <a:gd name="y3" fmla="*/ h 3 4"/>
            <a:gd name="smin" fmla="min w h"/>
            <a:gd name="hm" fmla="*/ smin 1 2"/>
            <a:gd name="rd" fmla="min 635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FDECE4"/>
        </a:solidFill>
        <a:ln w="15875" cap="flat">
          <a:solidFill>
            <a:srgbClr val="C46B39"/>
          </a:solidFill>
          <a:round/>
        </a:ln>
      </xdr:spPr>
      <xdr:txBody>
        <a:bodyPr vertOverflow="overflow" horzOverflow="overflow" wrap="square" lIns="38100" tIns="19050" rIns="38100" bIns="19050" rtlCol="0" anchor="ctr">
          <a:noAutofit/>
        </a:bodyPr>
        <a:lstStyle/>
        <a:p>
          <a:pPr algn="ctr">
            <a:lnSpc>
              <a:spcPct val="95000"/>
            </a:lnSpc>
          </a:pPr>
          <a:r>
            <a:rPr lang="ja-JP" altLang="en-US" sz="850" b="1" dirty="0">
              <a:solidFill>
                <a:srgbClr val="262626"/>
              </a:solidFill>
              <a:latin typeface="Meiryo UI"/>
              <a:ea typeface="Meiryo UI"/>
              <a:cs typeface="Meiryo UI"/>
            </a:rPr>
            <a:t>接続先</a:t>
          </a:r>
          <a:endParaRPr lang="ja-JP" altLang="en-US" sz="850" dirty="0">
            <a:latin typeface="Meiryo UI"/>
            <a:ea typeface="Meiryo UI"/>
          </a:endParaRPr>
        </a:p>
      </xdr:txBody>
    </xdr:sp>
    <xdr:clientData/>
  </xdr:twoCellAnchor>
  <xdr:twoCellAnchor editAs="oneCell">
    <xdr:from>
      <xdr:col>63</xdr:col>
      <xdr:colOff>0</xdr:colOff>
      <xdr:row>119</xdr:row>
      <xdr:rowOff>0</xdr:rowOff>
    </xdr:from>
    <xdr:to>
      <xdr:col>69</xdr:col>
      <xdr:colOff>0</xdr:colOff>
      <xdr:row>123</xdr:row>
      <xdr:rowOff>0</xdr:rowOff>
    </xdr:to>
    <xdr:cxnSp macro="">
      <xdr:nvCxnSpPr>
        <xdr:cNvPr id="160" name="見本: カギ線（ルートC）">
          <a:extLst>
            <a:ext uri="{FF2B5EF4-FFF2-40B4-BE49-F238E27FC236}">
              <a16:creationId xmlns:a16="http://schemas.microsoft.com/office/drawing/2014/main" id="{00000000-0008-0000-0400-0000A0000000}"/>
            </a:ext>
          </a:extLst>
        </xdr:cNvPr>
        <xdr:cNvCxnSpPr>
          <a:stCxn id="158" idx="3"/>
          <a:endCxn id="159" idx="9"/>
        </xdr:cNvCxnSpPr>
      </xdr:nvCxnSpPr>
      <xdr:spPr>
        <a:xfrm>
          <a:off x="12001500" y="21717000"/>
          <a:ext cx="1143000" cy="714375"/>
        </a:xfrm>
        <a:prstGeom prst="bentConnector3">
          <a:avLst/>
        </a:prstGeom>
        <a:ln w="19050" cap="flat">
          <a:solidFill>
            <a:srgbClr val="C46B39"/>
          </a:solidFill>
          <a:round/>
          <a:tailEnd type="triangle" w="med" len="med"/>
        </a:ln>
      </xdr:spPr>
    </xdr:cxnSp>
    <xdr:clientData/>
  </xdr:twoCellAnchor>
  <xdr:twoCellAnchor editAs="oneCell">
    <xdr:from>
      <xdr:col>11</xdr:col>
      <xdr:colOff>0</xdr:colOff>
      <xdr:row>131</xdr:row>
      <xdr:rowOff>0</xdr:rowOff>
    </xdr:from>
    <xdr:to>
      <xdr:col>25</xdr:col>
      <xdr:colOff>0</xdr:colOff>
      <xdr:row>135</xdr:row>
      <xdr:rowOff>0</xdr:rowOff>
    </xdr:to>
    <xdr:grpSp>
      <xdr:nvGrpSpPr>
        <xdr:cNvPr id="163" name="コメント: ポイント（共通）">
          <a:extLst>
            <a:ext uri="{FF2B5EF4-FFF2-40B4-BE49-F238E27FC236}">
              <a16:creationId xmlns:a16="http://schemas.microsoft.com/office/drawing/2014/main" id="{00000000-0008-0000-0400-0000A3000000}"/>
            </a:ext>
          </a:extLst>
        </xdr:cNvPr>
        <xdr:cNvGrpSpPr/>
      </xdr:nvGrpSpPr>
      <xdr:grpSpPr>
        <a:xfrm>
          <a:off x="2095500" y="23860125"/>
          <a:ext cx="2667000" cy="690563"/>
          <a:chOff x="2095500" y="24955500"/>
          <a:chExt cx="2667000" cy="762000"/>
        </a:xfrm>
      </xdr:grpSpPr>
      <xdr:sp macro="" textlink="">
        <xdr:nvSpPr>
          <xdr:cNvPr id="161" name="本文">
            <a:extLst>
              <a:ext uri="{FF2B5EF4-FFF2-40B4-BE49-F238E27FC236}">
                <a16:creationId xmlns:a16="http://schemas.microsoft.com/office/drawing/2014/main" id="{00000000-0008-0000-0400-0000A1000000}"/>
              </a:ext>
            </a:extLst>
          </xdr:cNvPr>
          <xdr:cNvSpPr/>
        </xdr:nvSpPr>
        <xdr:spPr>
          <a:xfrm>
            <a:off x="2095500" y="24955500"/>
            <a:ext cx="2667000" cy="762000"/>
          </a:xfrm>
          <a:custGeom>
            <a:avLst/>
            <a:gdLst>
              <a:gd name="x1" fmla="*/ w 1 4"/>
              <a:gd name="x2" fmla="*/ w 1 2"/>
              <a:gd name="x3" fmla="*/ w 3 4"/>
              <a:gd name="y1" fmla="*/ h 1 4"/>
              <a:gd name="y2" fmla="*/ h 1 2"/>
              <a:gd name="y3" fmla="*/ h 3 4"/>
              <a:gd name="smin" fmla="min w h"/>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r" y="t"/>
                </a:lnTo>
                <a:lnTo>
                  <a:pt x="r" y="b"/>
                </a:lnTo>
                <a:lnTo>
                  <a:pt x="l" y="b"/>
                </a:lnTo>
                <a:close/>
              </a:path>
            </a:pathLst>
          </a:custGeom>
          <a:solidFill>
            <a:srgbClr val="F7F7F7"/>
          </a:solidFill>
          <a:ln w="9525" cap="flat">
            <a:solidFill>
              <a:srgbClr val="D9D9D9"/>
            </a:solidFill>
            <a:round/>
          </a:ln>
        </xdr:spPr>
        <xdr:txBody>
          <a:bodyPr vertOverflow="overflow" horzOverflow="overflow" wrap="square" lIns="76200" tIns="228600" rIns="76200" bIns="38100" rtlCol="0" anchor="t">
            <a:noAutofit/>
          </a:bodyPr>
          <a:lstStyle/>
          <a:p>
            <a:pPr algn="l">
              <a:lnSpc>
                <a:spcPct val="100000"/>
              </a:lnSpc>
            </a:pPr>
            <a:r>
              <a:rPr lang="ja-JP" altLang="en-US" sz="800" b="0" dirty="0">
                <a:solidFill>
                  <a:srgbClr val="404040"/>
                </a:solidFill>
                <a:latin typeface="Meiryo UI"/>
                <a:ea typeface="Meiryo UI"/>
                <a:cs typeface="Meiryo UI"/>
              </a:rPr>
              <a:t>ポイントを記入（2〜3行）</a:t>
            </a:r>
            <a:endParaRPr lang="ja-JP" altLang="en-US" sz="800" dirty="0">
              <a:latin typeface="Meiryo UI"/>
              <a:ea typeface="Meiryo UI"/>
            </a:endParaRPr>
          </a:p>
          <a:p>
            <a:pPr algn="l">
              <a:lnSpc>
                <a:spcPct val="100000"/>
              </a:lnSpc>
              <a:spcBef>
                <a:spcPts val="100"/>
              </a:spcBef>
            </a:pPr>
            <a:r>
              <a:rPr lang="ja-JP" altLang="en-US" sz="800" b="0" dirty="0">
                <a:solidFill>
                  <a:srgbClr val="404040"/>
                </a:solidFill>
                <a:latin typeface="Meiryo UI"/>
                <a:ea typeface="Meiryo UI"/>
                <a:cs typeface="Meiryo UI"/>
              </a:rPr>
              <a:t>重要な設計判断・注意点</a:t>
            </a:r>
            <a:endParaRPr lang="ja-JP" altLang="en-US" sz="800" dirty="0">
              <a:latin typeface="Meiryo UI"/>
              <a:ea typeface="Meiryo UI"/>
            </a:endParaRPr>
          </a:p>
        </xdr:txBody>
      </xdr:sp>
      <xdr:sp macro="" textlink="">
        <xdr:nvSpPr>
          <xdr:cNvPr id="162" name="見出し">
            <a:extLst>
              <a:ext uri="{FF2B5EF4-FFF2-40B4-BE49-F238E27FC236}">
                <a16:creationId xmlns:a16="http://schemas.microsoft.com/office/drawing/2014/main" id="{00000000-0008-0000-0400-0000A2000000}"/>
              </a:ext>
            </a:extLst>
          </xdr:cNvPr>
          <xdr:cNvSpPr/>
        </xdr:nvSpPr>
        <xdr:spPr>
          <a:xfrm>
            <a:off x="2095500" y="24955500"/>
            <a:ext cx="2667000" cy="190500"/>
          </a:xfrm>
          <a:custGeom>
            <a:avLst/>
            <a:gdLst>
              <a:gd name="x1" fmla="*/ w 1 4"/>
              <a:gd name="x2" fmla="*/ w 1 2"/>
              <a:gd name="x3" fmla="*/ w 3 4"/>
              <a:gd name="y1" fmla="*/ h 1 4"/>
              <a:gd name="y2" fmla="*/ h 1 2"/>
              <a:gd name="y3" fmla="*/ h 3 4"/>
              <a:gd name="smin" fmla="min w h"/>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r" y="t"/>
                </a:lnTo>
                <a:lnTo>
                  <a:pt x="r" y="b"/>
                </a:lnTo>
                <a:lnTo>
                  <a:pt x="l" y="b"/>
                </a:lnTo>
                <a:close/>
              </a:path>
            </a:pathLst>
          </a:custGeom>
          <a:solidFill>
            <a:srgbClr val="404040"/>
          </a:solidFill>
          <a:ln w="9525" cap="flat">
            <a:solidFill>
              <a:srgbClr val="404040"/>
            </a:solidFill>
            <a:round/>
          </a:ln>
        </xdr:spPr>
        <xdr:txBody>
          <a:bodyPr vertOverflow="overflow" horzOverflow="overflow" wrap="none" lIns="76200" tIns="0" rIns="76200" bIns="0" rtlCol="0" anchor="ctr">
            <a:noAutofit/>
          </a:bodyPr>
          <a:lstStyle/>
          <a:p>
            <a:pPr algn="l"/>
            <a:r>
              <a:rPr lang="ja-JP" altLang="en-US" sz="750" b="1" dirty="0">
                <a:solidFill>
                  <a:srgbClr val="FFFFFF"/>
                </a:solidFill>
                <a:latin typeface="Meiryo UI"/>
                <a:ea typeface="Meiryo UI"/>
                <a:cs typeface="Meiryo UI"/>
              </a:rPr>
              <a:t>POINT</a:t>
            </a:r>
            <a:r>
              <a:rPr lang="ja-JP" altLang="en-US" sz="800" b="1" dirty="0">
                <a:solidFill>
                  <a:srgbClr val="FFFFFF"/>
                </a:solidFill>
                <a:latin typeface="Meiryo UI"/>
                <a:ea typeface="Meiryo UI"/>
                <a:cs typeface="Meiryo UI"/>
              </a:rPr>
              <a:t>　見出し</a:t>
            </a:r>
            <a:endParaRPr lang="ja-JP" altLang="en-US" sz="800" dirty="0">
              <a:latin typeface="Meiryo UI"/>
              <a:ea typeface="Meiryo UI"/>
            </a:endParaRPr>
          </a:p>
        </xdr:txBody>
      </xdr:sp>
    </xdr:grpSp>
    <xdr:clientData/>
  </xdr:twoCellAnchor>
  <xdr:twoCellAnchor editAs="oneCell">
    <xdr:from>
      <xdr:col>27</xdr:col>
      <xdr:colOff>0</xdr:colOff>
      <xdr:row>131</xdr:row>
      <xdr:rowOff>0</xdr:rowOff>
    </xdr:from>
    <xdr:to>
      <xdr:col>41</xdr:col>
      <xdr:colOff>0</xdr:colOff>
      <xdr:row>135</xdr:row>
      <xdr:rowOff>0</xdr:rowOff>
    </xdr:to>
    <xdr:grpSp>
      <xdr:nvGrpSpPr>
        <xdr:cNvPr id="166" name="コメント: ポイント（ルートA）">
          <a:extLst>
            <a:ext uri="{FF2B5EF4-FFF2-40B4-BE49-F238E27FC236}">
              <a16:creationId xmlns:a16="http://schemas.microsoft.com/office/drawing/2014/main" id="{00000000-0008-0000-0400-0000A6000000}"/>
            </a:ext>
          </a:extLst>
        </xdr:cNvPr>
        <xdr:cNvGrpSpPr/>
      </xdr:nvGrpSpPr>
      <xdr:grpSpPr>
        <a:xfrm>
          <a:off x="5143500" y="23860125"/>
          <a:ext cx="2667000" cy="690563"/>
          <a:chOff x="5143500" y="24955500"/>
          <a:chExt cx="2667000" cy="762000"/>
        </a:xfrm>
      </xdr:grpSpPr>
      <xdr:sp macro="" textlink="">
        <xdr:nvSpPr>
          <xdr:cNvPr id="164" name="本文">
            <a:extLst>
              <a:ext uri="{FF2B5EF4-FFF2-40B4-BE49-F238E27FC236}">
                <a16:creationId xmlns:a16="http://schemas.microsoft.com/office/drawing/2014/main" id="{00000000-0008-0000-0400-0000A4000000}"/>
              </a:ext>
            </a:extLst>
          </xdr:cNvPr>
          <xdr:cNvSpPr/>
        </xdr:nvSpPr>
        <xdr:spPr>
          <a:xfrm>
            <a:off x="5143500" y="24955500"/>
            <a:ext cx="2667000" cy="762000"/>
          </a:xfrm>
          <a:custGeom>
            <a:avLst/>
            <a:gdLst>
              <a:gd name="x1" fmla="*/ w 1 4"/>
              <a:gd name="x2" fmla="*/ w 1 2"/>
              <a:gd name="x3" fmla="*/ w 3 4"/>
              <a:gd name="y1" fmla="*/ h 1 4"/>
              <a:gd name="y2" fmla="*/ h 1 2"/>
              <a:gd name="y3" fmla="*/ h 3 4"/>
              <a:gd name="smin" fmla="min w h"/>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r" y="t"/>
                </a:lnTo>
                <a:lnTo>
                  <a:pt x="r" y="b"/>
                </a:lnTo>
                <a:lnTo>
                  <a:pt x="l" y="b"/>
                </a:lnTo>
                <a:close/>
              </a:path>
            </a:pathLst>
          </a:custGeom>
          <a:solidFill>
            <a:srgbClr val="F3F8FF"/>
          </a:solidFill>
          <a:ln w="9525" cap="flat">
            <a:solidFill>
              <a:srgbClr val="BCD3F2"/>
            </a:solidFill>
            <a:round/>
          </a:ln>
        </xdr:spPr>
        <xdr:txBody>
          <a:bodyPr vertOverflow="overflow" horzOverflow="overflow" wrap="square" lIns="76200" tIns="228600" rIns="76200" bIns="38100" rtlCol="0" anchor="t">
            <a:noAutofit/>
          </a:bodyPr>
          <a:lstStyle/>
          <a:p>
            <a:pPr algn="l">
              <a:lnSpc>
                <a:spcPct val="100000"/>
              </a:lnSpc>
            </a:pPr>
            <a:r>
              <a:rPr lang="ja-JP" altLang="en-US" sz="800" b="0" dirty="0">
                <a:solidFill>
                  <a:srgbClr val="404040"/>
                </a:solidFill>
                <a:latin typeface="Meiryo UI"/>
                <a:ea typeface="Meiryo UI"/>
                <a:cs typeface="Meiryo UI"/>
              </a:rPr>
              <a:t>ポイントを記入（2〜3行）</a:t>
            </a:r>
            <a:endParaRPr lang="ja-JP" altLang="en-US" sz="800" dirty="0">
              <a:latin typeface="Meiryo UI"/>
              <a:ea typeface="Meiryo UI"/>
            </a:endParaRPr>
          </a:p>
          <a:p>
            <a:pPr algn="l">
              <a:lnSpc>
                <a:spcPct val="100000"/>
              </a:lnSpc>
              <a:spcBef>
                <a:spcPts val="100"/>
              </a:spcBef>
            </a:pPr>
            <a:r>
              <a:rPr lang="ja-JP" altLang="en-US" sz="800" b="0" dirty="0">
                <a:solidFill>
                  <a:srgbClr val="404040"/>
                </a:solidFill>
                <a:latin typeface="Meiryo UI"/>
                <a:ea typeface="Meiryo UI"/>
                <a:cs typeface="Meiryo UI"/>
              </a:rPr>
              <a:t>重要な設計判断・注意点</a:t>
            </a:r>
            <a:endParaRPr lang="ja-JP" altLang="en-US" sz="800" dirty="0">
              <a:latin typeface="Meiryo UI"/>
              <a:ea typeface="Meiryo UI"/>
            </a:endParaRPr>
          </a:p>
        </xdr:txBody>
      </xdr:sp>
      <xdr:sp macro="" textlink="">
        <xdr:nvSpPr>
          <xdr:cNvPr id="165" name="見出し">
            <a:extLst>
              <a:ext uri="{FF2B5EF4-FFF2-40B4-BE49-F238E27FC236}">
                <a16:creationId xmlns:a16="http://schemas.microsoft.com/office/drawing/2014/main" id="{00000000-0008-0000-0400-0000A5000000}"/>
              </a:ext>
            </a:extLst>
          </xdr:cNvPr>
          <xdr:cNvSpPr/>
        </xdr:nvSpPr>
        <xdr:spPr>
          <a:xfrm>
            <a:off x="5143500" y="24955500"/>
            <a:ext cx="2667000" cy="190500"/>
          </a:xfrm>
          <a:custGeom>
            <a:avLst/>
            <a:gdLst>
              <a:gd name="x1" fmla="*/ w 1 4"/>
              <a:gd name="x2" fmla="*/ w 1 2"/>
              <a:gd name="x3" fmla="*/ w 3 4"/>
              <a:gd name="y1" fmla="*/ h 1 4"/>
              <a:gd name="y2" fmla="*/ h 1 2"/>
              <a:gd name="y3" fmla="*/ h 3 4"/>
              <a:gd name="smin" fmla="min w h"/>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r" y="t"/>
                </a:lnTo>
                <a:lnTo>
                  <a:pt x="r" y="b"/>
                </a:lnTo>
                <a:lnTo>
                  <a:pt x="l" y="b"/>
                </a:lnTo>
                <a:close/>
              </a:path>
            </a:pathLst>
          </a:custGeom>
          <a:solidFill>
            <a:srgbClr val="315C92"/>
          </a:solidFill>
          <a:ln w="9525" cap="flat">
            <a:solidFill>
              <a:srgbClr val="315C92"/>
            </a:solidFill>
            <a:round/>
          </a:ln>
        </xdr:spPr>
        <xdr:txBody>
          <a:bodyPr vertOverflow="overflow" horzOverflow="overflow" wrap="none" lIns="76200" tIns="0" rIns="76200" bIns="0" rtlCol="0" anchor="ctr">
            <a:noAutofit/>
          </a:bodyPr>
          <a:lstStyle/>
          <a:p>
            <a:pPr algn="l"/>
            <a:r>
              <a:rPr lang="ja-JP" altLang="en-US" sz="750" b="1" dirty="0">
                <a:solidFill>
                  <a:srgbClr val="FFFFFF"/>
                </a:solidFill>
                <a:latin typeface="Meiryo UI"/>
                <a:ea typeface="Meiryo UI"/>
                <a:cs typeface="Meiryo UI"/>
              </a:rPr>
              <a:t>POINT</a:t>
            </a:r>
            <a:r>
              <a:rPr lang="ja-JP" altLang="en-US" sz="800" b="1" dirty="0">
                <a:solidFill>
                  <a:srgbClr val="FFFFFF"/>
                </a:solidFill>
                <a:latin typeface="Meiryo UI"/>
                <a:ea typeface="Meiryo UI"/>
                <a:cs typeface="Meiryo UI"/>
              </a:rPr>
              <a:t>　見出し</a:t>
            </a:r>
            <a:endParaRPr lang="ja-JP" altLang="en-US" sz="800" dirty="0">
              <a:latin typeface="Meiryo UI"/>
              <a:ea typeface="Meiryo UI"/>
            </a:endParaRPr>
          </a:p>
        </xdr:txBody>
      </xdr:sp>
    </xdr:grpSp>
    <xdr:clientData/>
  </xdr:twoCellAnchor>
  <xdr:twoCellAnchor editAs="oneCell">
    <xdr:from>
      <xdr:col>43</xdr:col>
      <xdr:colOff>0</xdr:colOff>
      <xdr:row>131</xdr:row>
      <xdr:rowOff>0</xdr:rowOff>
    </xdr:from>
    <xdr:to>
      <xdr:col>57</xdr:col>
      <xdr:colOff>0</xdr:colOff>
      <xdr:row>135</xdr:row>
      <xdr:rowOff>0</xdr:rowOff>
    </xdr:to>
    <xdr:grpSp>
      <xdr:nvGrpSpPr>
        <xdr:cNvPr id="169" name="コメント: ポイント（ルートB）">
          <a:extLst>
            <a:ext uri="{FF2B5EF4-FFF2-40B4-BE49-F238E27FC236}">
              <a16:creationId xmlns:a16="http://schemas.microsoft.com/office/drawing/2014/main" id="{00000000-0008-0000-0400-0000A9000000}"/>
            </a:ext>
          </a:extLst>
        </xdr:cNvPr>
        <xdr:cNvGrpSpPr/>
      </xdr:nvGrpSpPr>
      <xdr:grpSpPr>
        <a:xfrm>
          <a:off x="8191500" y="23860125"/>
          <a:ext cx="2667000" cy="690563"/>
          <a:chOff x="8191500" y="24955500"/>
          <a:chExt cx="2667000" cy="762000"/>
        </a:xfrm>
      </xdr:grpSpPr>
      <xdr:sp macro="" textlink="">
        <xdr:nvSpPr>
          <xdr:cNvPr id="167" name="本文">
            <a:extLst>
              <a:ext uri="{FF2B5EF4-FFF2-40B4-BE49-F238E27FC236}">
                <a16:creationId xmlns:a16="http://schemas.microsoft.com/office/drawing/2014/main" id="{00000000-0008-0000-0400-0000A7000000}"/>
              </a:ext>
            </a:extLst>
          </xdr:cNvPr>
          <xdr:cNvSpPr/>
        </xdr:nvSpPr>
        <xdr:spPr>
          <a:xfrm>
            <a:off x="8191500" y="24955500"/>
            <a:ext cx="2667000" cy="762000"/>
          </a:xfrm>
          <a:custGeom>
            <a:avLst/>
            <a:gdLst>
              <a:gd name="x1" fmla="*/ w 1 4"/>
              <a:gd name="x2" fmla="*/ w 1 2"/>
              <a:gd name="x3" fmla="*/ w 3 4"/>
              <a:gd name="y1" fmla="*/ h 1 4"/>
              <a:gd name="y2" fmla="*/ h 1 2"/>
              <a:gd name="y3" fmla="*/ h 3 4"/>
              <a:gd name="smin" fmla="min w h"/>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r" y="t"/>
                </a:lnTo>
                <a:lnTo>
                  <a:pt x="r" y="b"/>
                </a:lnTo>
                <a:lnTo>
                  <a:pt x="l" y="b"/>
                </a:lnTo>
                <a:close/>
              </a:path>
            </a:pathLst>
          </a:custGeom>
          <a:solidFill>
            <a:srgbClr val="F1FAF7"/>
          </a:solidFill>
          <a:ln w="9525" cap="flat">
            <a:solidFill>
              <a:srgbClr val="B0DCCF"/>
            </a:solidFill>
            <a:round/>
          </a:ln>
        </xdr:spPr>
        <xdr:txBody>
          <a:bodyPr vertOverflow="overflow" horzOverflow="overflow" wrap="square" lIns="76200" tIns="228600" rIns="76200" bIns="38100" rtlCol="0" anchor="t">
            <a:noAutofit/>
          </a:bodyPr>
          <a:lstStyle/>
          <a:p>
            <a:pPr algn="l">
              <a:lnSpc>
                <a:spcPct val="100000"/>
              </a:lnSpc>
            </a:pPr>
            <a:r>
              <a:rPr lang="ja-JP" altLang="en-US" sz="800" b="0" dirty="0">
                <a:solidFill>
                  <a:srgbClr val="404040"/>
                </a:solidFill>
                <a:latin typeface="Meiryo UI"/>
                <a:ea typeface="Meiryo UI"/>
                <a:cs typeface="Meiryo UI"/>
              </a:rPr>
              <a:t>ポイントを記入（2〜3行）</a:t>
            </a:r>
            <a:endParaRPr lang="ja-JP" altLang="en-US" sz="800" dirty="0">
              <a:latin typeface="Meiryo UI"/>
              <a:ea typeface="Meiryo UI"/>
            </a:endParaRPr>
          </a:p>
          <a:p>
            <a:pPr algn="l">
              <a:lnSpc>
                <a:spcPct val="100000"/>
              </a:lnSpc>
              <a:spcBef>
                <a:spcPts val="100"/>
              </a:spcBef>
            </a:pPr>
            <a:r>
              <a:rPr lang="ja-JP" altLang="en-US" sz="800" b="0" dirty="0">
                <a:solidFill>
                  <a:srgbClr val="404040"/>
                </a:solidFill>
                <a:latin typeface="Meiryo UI"/>
                <a:ea typeface="Meiryo UI"/>
                <a:cs typeface="Meiryo UI"/>
              </a:rPr>
              <a:t>重要な設計判断・注意点</a:t>
            </a:r>
            <a:endParaRPr lang="ja-JP" altLang="en-US" sz="800" dirty="0">
              <a:latin typeface="Meiryo UI"/>
              <a:ea typeface="Meiryo UI"/>
            </a:endParaRPr>
          </a:p>
        </xdr:txBody>
      </xdr:sp>
      <xdr:sp macro="" textlink="">
        <xdr:nvSpPr>
          <xdr:cNvPr id="168" name="見出し">
            <a:extLst>
              <a:ext uri="{FF2B5EF4-FFF2-40B4-BE49-F238E27FC236}">
                <a16:creationId xmlns:a16="http://schemas.microsoft.com/office/drawing/2014/main" id="{00000000-0008-0000-0400-0000A8000000}"/>
              </a:ext>
            </a:extLst>
          </xdr:cNvPr>
          <xdr:cNvSpPr/>
        </xdr:nvSpPr>
        <xdr:spPr>
          <a:xfrm>
            <a:off x="8191500" y="24955500"/>
            <a:ext cx="2667000" cy="190500"/>
          </a:xfrm>
          <a:custGeom>
            <a:avLst/>
            <a:gdLst>
              <a:gd name="x1" fmla="*/ w 1 4"/>
              <a:gd name="x2" fmla="*/ w 1 2"/>
              <a:gd name="x3" fmla="*/ w 3 4"/>
              <a:gd name="y1" fmla="*/ h 1 4"/>
              <a:gd name="y2" fmla="*/ h 1 2"/>
              <a:gd name="y3" fmla="*/ h 3 4"/>
              <a:gd name="smin" fmla="min w h"/>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r" y="t"/>
                </a:lnTo>
                <a:lnTo>
                  <a:pt x="r" y="b"/>
                </a:lnTo>
                <a:lnTo>
                  <a:pt x="l" y="b"/>
                </a:lnTo>
                <a:close/>
              </a:path>
            </a:pathLst>
          </a:custGeom>
          <a:solidFill>
            <a:srgbClr val="247966"/>
          </a:solidFill>
          <a:ln w="9525" cap="flat">
            <a:solidFill>
              <a:srgbClr val="247966"/>
            </a:solidFill>
            <a:round/>
          </a:ln>
        </xdr:spPr>
        <xdr:txBody>
          <a:bodyPr vertOverflow="overflow" horzOverflow="overflow" wrap="none" lIns="76200" tIns="0" rIns="76200" bIns="0" rtlCol="0" anchor="ctr">
            <a:noAutofit/>
          </a:bodyPr>
          <a:lstStyle/>
          <a:p>
            <a:pPr algn="l"/>
            <a:r>
              <a:rPr lang="ja-JP" altLang="en-US" sz="750" b="1" dirty="0">
                <a:solidFill>
                  <a:srgbClr val="FFFFFF"/>
                </a:solidFill>
                <a:latin typeface="Meiryo UI"/>
                <a:ea typeface="Meiryo UI"/>
                <a:cs typeface="Meiryo UI"/>
              </a:rPr>
              <a:t>POINT</a:t>
            </a:r>
            <a:r>
              <a:rPr lang="ja-JP" altLang="en-US" sz="800" b="1" dirty="0">
                <a:solidFill>
                  <a:srgbClr val="FFFFFF"/>
                </a:solidFill>
                <a:latin typeface="Meiryo UI"/>
                <a:ea typeface="Meiryo UI"/>
                <a:cs typeface="Meiryo UI"/>
              </a:rPr>
              <a:t>　見出し</a:t>
            </a:r>
            <a:endParaRPr lang="ja-JP" altLang="en-US" sz="800" dirty="0">
              <a:latin typeface="Meiryo UI"/>
              <a:ea typeface="Meiryo UI"/>
            </a:endParaRPr>
          </a:p>
        </xdr:txBody>
      </xdr:sp>
    </xdr:grpSp>
    <xdr:clientData/>
  </xdr:twoCellAnchor>
  <xdr:twoCellAnchor editAs="oneCell">
    <xdr:from>
      <xdr:col>59</xdr:col>
      <xdr:colOff>0</xdr:colOff>
      <xdr:row>131</xdr:row>
      <xdr:rowOff>0</xdr:rowOff>
    </xdr:from>
    <xdr:to>
      <xdr:col>73</xdr:col>
      <xdr:colOff>0</xdr:colOff>
      <xdr:row>135</xdr:row>
      <xdr:rowOff>0</xdr:rowOff>
    </xdr:to>
    <xdr:grpSp>
      <xdr:nvGrpSpPr>
        <xdr:cNvPr id="172" name="コメント: ポイント（ルートC）">
          <a:extLst>
            <a:ext uri="{FF2B5EF4-FFF2-40B4-BE49-F238E27FC236}">
              <a16:creationId xmlns:a16="http://schemas.microsoft.com/office/drawing/2014/main" id="{00000000-0008-0000-0400-0000AC000000}"/>
            </a:ext>
          </a:extLst>
        </xdr:cNvPr>
        <xdr:cNvGrpSpPr/>
      </xdr:nvGrpSpPr>
      <xdr:grpSpPr>
        <a:xfrm>
          <a:off x="11239500" y="23860125"/>
          <a:ext cx="2667000" cy="690563"/>
          <a:chOff x="11239500" y="24955500"/>
          <a:chExt cx="2667000" cy="762000"/>
        </a:xfrm>
      </xdr:grpSpPr>
      <xdr:sp macro="" textlink="">
        <xdr:nvSpPr>
          <xdr:cNvPr id="170" name="本文">
            <a:extLst>
              <a:ext uri="{FF2B5EF4-FFF2-40B4-BE49-F238E27FC236}">
                <a16:creationId xmlns:a16="http://schemas.microsoft.com/office/drawing/2014/main" id="{00000000-0008-0000-0400-0000AA000000}"/>
              </a:ext>
            </a:extLst>
          </xdr:cNvPr>
          <xdr:cNvSpPr/>
        </xdr:nvSpPr>
        <xdr:spPr>
          <a:xfrm>
            <a:off x="11239500" y="24955500"/>
            <a:ext cx="2667000" cy="762000"/>
          </a:xfrm>
          <a:custGeom>
            <a:avLst/>
            <a:gdLst>
              <a:gd name="x1" fmla="*/ w 1 4"/>
              <a:gd name="x2" fmla="*/ w 1 2"/>
              <a:gd name="x3" fmla="*/ w 3 4"/>
              <a:gd name="y1" fmla="*/ h 1 4"/>
              <a:gd name="y2" fmla="*/ h 1 2"/>
              <a:gd name="y3" fmla="*/ h 3 4"/>
              <a:gd name="smin" fmla="min w h"/>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r" y="t"/>
                </a:lnTo>
                <a:lnTo>
                  <a:pt x="r" y="b"/>
                </a:lnTo>
                <a:lnTo>
                  <a:pt x="l" y="b"/>
                </a:lnTo>
                <a:close/>
              </a:path>
            </a:pathLst>
          </a:custGeom>
          <a:solidFill>
            <a:srgbClr val="FEF6F2"/>
          </a:solidFill>
          <a:ln w="9525" cap="flat">
            <a:solidFill>
              <a:srgbClr val="EEC8B5"/>
            </a:solidFill>
            <a:round/>
          </a:ln>
        </xdr:spPr>
        <xdr:txBody>
          <a:bodyPr vertOverflow="overflow" horzOverflow="overflow" wrap="square" lIns="76200" tIns="228600" rIns="76200" bIns="38100" rtlCol="0" anchor="t">
            <a:noAutofit/>
          </a:bodyPr>
          <a:lstStyle/>
          <a:p>
            <a:pPr algn="l">
              <a:lnSpc>
                <a:spcPct val="100000"/>
              </a:lnSpc>
            </a:pPr>
            <a:r>
              <a:rPr lang="ja-JP" altLang="en-US" sz="800" b="0" dirty="0">
                <a:solidFill>
                  <a:srgbClr val="404040"/>
                </a:solidFill>
                <a:latin typeface="Meiryo UI"/>
                <a:ea typeface="Meiryo UI"/>
                <a:cs typeface="Meiryo UI"/>
              </a:rPr>
              <a:t>ポイントを記入（2〜3行）</a:t>
            </a:r>
            <a:endParaRPr lang="ja-JP" altLang="en-US" sz="800" dirty="0">
              <a:latin typeface="Meiryo UI"/>
              <a:ea typeface="Meiryo UI"/>
            </a:endParaRPr>
          </a:p>
          <a:p>
            <a:pPr algn="l">
              <a:lnSpc>
                <a:spcPct val="100000"/>
              </a:lnSpc>
              <a:spcBef>
                <a:spcPts val="100"/>
              </a:spcBef>
            </a:pPr>
            <a:r>
              <a:rPr lang="ja-JP" altLang="en-US" sz="800" b="0" dirty="0">
                <a:solidFill>
                  <a:srgbClr val="404040"/>
                </a:solidFill>
                <a:latin typeface="Meiryo UI"/>
                <a:ea typeface="Meiryo UI"/>
                <a:cs typeface="Meiryo UI"/>
              </a:rPr>
              <a:t>重要な設計判断・注意点</a:t>
            </a:r>
            <a:endParaRPr lang="ja-JP" altLang="en-US" sz="800" dirty="0">
              <a:latin typeface="Meiryo UI"/>
              <a:ea typeface="Meiryo UI"/>
            </a:endParaRPr>
          </a:p>
        </xdr:txBody>
      </xdr:sp>
      <xdr:sp macro="" textlink="">
        <xdr:nvSpPr>
          <xdr:cNvPr id="171" name="見出し">
            <a:extLst>
              <a:ext uri="{FF2B5EF4-FFF2-40B4-BE49-F238E27FC236}">
                <a16:creationId xmlns:a16="http://schemas.microsoft.com/office/drawing/2014/main" id="{00000000-0008-0000-0400-0000AB000000}"/>
              </a:ext>
            </a:extLst>
          </xdr:cNvPr>
          <xdr:cNvSpPr/>
        </xdr:nvSpPr>
        <xdr:spPr>
          <a:xfrm>
            <a:off x="11239500" y="24955500"/>
            <a:ext cx="2667000" cy="190500"/>
          </a:xfrm>
          <a:custGeom>
            <a:avLst/>
            <a:gdLst>
              <a:gd name="x1" fmla="*/ w 1 4"/>
              <a:gd name="x2" fmla="*/ w 1 2"/>
              <a:gd name="x3" fmla="*/ w 3 4"/>
              <a:gd name="y1" fmla="*/ h 1 4"/>
              <a:gd name="y2" fmla="*/ h 1 2"/>
              <a:gd name="y3" fmla="*/ h 3 4"/>
              <a:gd name="smin" fmla="min w h"/>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r" y="t"/>
                </a:lnTo>
                <a:lnTo>
                  <a:pt x="r" y="b"/>
                </a:lnTo>
                <a:lnTo>
                  <a:pt x="l" y="b"/>
                </a:lnTo>
                <a:close/>
              </a:path>
            </a:pathLst>
          </a:custGeom>
          <a:solidFill>
            <a:srgbClr val="C46B39"/>
          </a:solidFill>
          <a:ln w="9525" cap="flat">
            <a:solidFill>
              <a:srgbClr val="C46B39"/>
            </a:solidFill>
            <a:round/>
          </a:ln>
        </xdr:spPr>
        <xdr:txBody>
          <a:bodyPr vertOverflow="overflow" horzOverflow="overflow" wrap="none" lIns="76200" tIns="0" rIns="76200" bIns="0" rtlCol="0" anchor="ctr">
            <a:noAutofit/>
          </a:bodyPr>
          <a:lstStyle/>
          <a:p>
            <a:pPr algn="l"/>
            <a:r>
              <a:rPr lang="ja-JP" altLang="en-US" sz="750" b="1" dirty="0">
                <a:solidFill>
                  <a:srgbClr val="FFFFFF"/>
                </a:solidFill>
                <a:latin typeface="Meiryo UI"/>
                <a:ea typeface="Meiryo UI"/>
                <a:cs typeface="Meiryo UI"/>
              </a:rPr>
              <a:t>POINT</a:t>
            </a:r>
            <a:r>
              <a:rPr lang="ja-JP" altLang="en-US" sz="800" b="1" dirty="0">
                <a:solidFill>
                  <a:srgbClr val="FFFFFF"/>
                </a:solidFill>
                <a:latin typeface="Meiryo UI"/>
                <a:ea typeface="Meiryo UI"/>
                <a:cs typeface="Meiryo UI"/>
              </a:rPr>
              <a:t>　見出し</a:t>
            </a:r>
            <a:endParaRPr lang="ja-JP" altLang="en-US" sz="800" dirty="0">
              <a:latin typeface="Meiryo UI"/>
              <a:ea typeface="Meiryo UI"/>
            </a:endParaRPr>
          </a:p>
        </xdr:txBody>
      </xdr:sp>
    </xdr:grpSp>
    <xdr:clientData/>
  </xdr:twoCellAnchor>
  <xdr:twoCellAnchor editAs="oneCell">
    <xdr:from>
      <xdr:col>11</xdr:col>
      <xdr:colOff>0</xdr:colOff>
      <xdr:row>136</xdr:row>
      <xdr:rowOff>0</xdr:rowOff>
    </xdr:from>
    <xdr:to>
      <xdr:col>25</xdr:col>
      <xdr:colOff>0</xdr:colOff>
      <xdr:row>139</xdr:row>
      <xdr:rowOff>0</xdr:rowOff>
    </xdr:to>
    <xdr:grpSp>
      <xdr:nvGrpSpPr>
        <xdr:cNvPr id="175" name="コメント: 付記（共通）">
          <a:extLst>
            <a:ext uri="{FF2B5EF4-FFF2-40B4-BE49-F238E27FC236}">
              <a16:creationId xmlns:a16="http://schemas.microsoft.com/office/drawing/2014/main" id="{00000000-0008-0000-0400-0000AF000000}"/>
            </a:ext>
          </a:extLst>
        </xdr:cNvPr>
        <xdr:cNvGrpSpPr/>
      </xdr:nvGrpSpPr>
      <xdr:grpSpPr>
        <a:xfrm>
          <a:off x="2095500" y="24741188"/>
          <a:ext cx="2667000" cy="500062"/>
          <a:chOff x="2095500" y="25908000"/>
          <a:chExt cx="2667000" cy="571500"/>
        </a:xfrm>
      </xdr:grpSpPr>
      <xdr:sp macro="" textlink="">
        <xdr:nvSpPr>
          <xdr:cNvPr id="173" name="本文">
            <a:extLst>
              <a:ext uri="{FF2B5EF4-FFF2-40B4-BE49-F238E27FC236}">
                <a16:creationId xmlns:a16="http://schemas.microsoft.com/office/drawing/2014/main" id="{00000000-0008-0000-0400-0000AD000000}"/>
              </a:ext>
            </a:extLst>
          </xdr:cNvPr>
          <xdr:cNvSpPr/>
        </xdr:nvSpPr>
        <xdr:spPr>
          <a:xfrm>
            <a:off x="2095500" y="25908000"/>
            <a:ext cx="2667000" cy="571500"/>
          </a:xfrm>
          <a:custGeom>
            <a:avLst/>
            <a:gdLst>
              <a:gd name="x1" fmla="*/ w 1 4"/>
              <a:gd name="x2" fmla="*/ w 1 2"/>
              <a:gd name="x3" fmla="*/ w 3 4"/>
              <a:gd name="y1" fmla="*/ h 1 4"/>
              <a:gd name="y2" fmla="*/ h 1 2"/>
              <a:gd name="y3" fmla="*/ h 3 4"/>
              <a:gd name="smin" fmla="min w h"/>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r" y="t"/>
                </a:lnTo>
                <a:lnTo>
                  <a:pt x="r" y="b"/>
                </a:lnTo>
                <a:lnTo>
                  <a:pt x="l" y="b"/>
                </a:lnTo>
                <a:close/>
              </a:path>
            </a:pathLst>
          </a:custGeom>
          <a:solidFill>
            <a:srgbClr val="F7F7F7"/>
          </a:solidFill>
          <a:ln>
            <a:noFill/>
          </a:ln>
        </xdr:spPr>
        <xdr:txBody>
          <a:bodyPr vertOverflow="overflow" horzOverflow="overflow" wrap="square" lIns="114300" tIns="50800" rIns="76200" bIns="38100" rtlCol="0" anchor="t">
            <a:noAutofit/>
          </a:bodyPr>
          <a:lstStyle/>
          <a:p>
            <a:pPr algn="l"/>
            <a:r>
              <a:rPr lang="ja-JP" altLang="en-US" sz="800" b="1" dirty="0">
                <a:solidFill>
                  <a:srgbClr val="262626"/>
                </a:solidFill>
                <a:latin typeface="Meiryo UI"/>
                <a:ea typeface="Meiryo UI"/>
                <a:cs typeface="Meiryo UI"/>
              </a:rPr>
              <a:t>付記</a:t>
            </a:r>
            <a:endParaRPr lang="ja-JP" altLang="en-US" sz="800" dirty="0">
              <a:latin typeface="Meiryo UI"/>
              <a:ea typeface="Meiryo UI"/>
            </a:endParaRPr>
          </a:p>
          <a:p>
            <a:pPr algn="l">
              <a:spcBef>
                <a:spcPts val="100"/>
              </a:spcBef>
            </a:pPr>
            <a:r>
              <a:rPr lang="ja-JP" altLang="en-US" sz="800" b="0" dirty="0">
                <a:solidFill>
                  <a:srgbClr val="404040"/>
                </a:solidFill>
                <a:latin typeface="Meiryo UI"/>
                <a:ea typeface="Meiryo UI"/>
                <a:cs typeface="Meiryo UI"/>
              </a:rPr>
              <a:t>前提・制約・補足を記入</a:t>
            </a:r>
            <a:endParaRPr lang="ja-JP" altLang="en-US" sz="800" dirty="0">
              <a:latin typeface="Meiryo UI"/>
              <a:ea typeface="Meiryo UI"/>
            </a:endParaRPr>
          </a:p>
        </xdr:txBody>
      </xdr:sp>
      <xdr:sp macro="" textlink="">
        <xdr:nvSpPr>
          <xdr:cNvPr id="174" name="左ライン">
            <a:extLst>
              <a:ext uri="{FF2B5EF4-FFF2-40B4-BE49-F238E27FC236}">
                <a16:creationId xmlns:a16="http://schemas.microsoft.com/office/drawing/2014/main" id="{00000000-0008-0000-0400-0000AE000000}"/>
              </a:ext>
            </a:extLst>
          </xdr:cNvPr>
          <xdr:cNvSpPr/>
        </xdr:nvSpPr>
        <xdr:spPr>
          <a:xfrm>
            <a:off x="2095500" y="25908000"/>
            <a:ext cx="38100" cy="571500"/>
          </a:xfrm>
          <a:prstGeom prst="rect">
            <a:avLst/>
          </a:prstGeom>
          <a:solidFill>
            <a:srgbClr val="404040"/>
          </a:solidFill>
          <a:ln>
            <a:noFill/>
          </a:ln>
        </xdr:spPr>
        <xdr:txBody>
          <a:bodyPr vertOverflow="overflow" horzOverflow="overflow" wrap="square" lIns="38100" tIns="19050" rIns="38100" bIns="19050" rtlCol="0" anchor="ctr">
            <a:noAutofit/>
          </a:bodyPr>
          <a:lstStyle/>
          <a:p>
            <a:pPr algn="l"/>
            <a:endParaRPr lang="ja-JP" altLang="en-US" sz="600" dirty="0">
              <a:latin typeface="Meiryo UI"/>
              <a:ea typeface="Meiryo UI"/>
            </a:endParaRPr>
          </a:p>
        </xdr:txBody>
      </xdr:sp>
    </xdr:grpSp>
    <xdr:clientData/>
  </xdr:twoCellAnchor>
  <xdr:twoCellAnchor editAs="oneCell">
    <xdr:from>
      <xdr:col>27</xdr:col>
      <xdr:colOff>0</xdr:colOff>
      <xdr:row>136</xdr:row>
      <xdr:rowOff>0</xdr:rowOff>
    </xdr:from>
    <xdr:to>
      <xdr:col>41</xdr:col>
      <xdr:colOff>0</xdr:colOff>
      <xdr:row>139</xdr:row>
      <xdr:rowOff>0</xdr:rowOff>
    </xdr:to>
    <xdr:grpSp>
      <xdr:nvGrpSpPr>
        <xdr:cNvPr id="178" name="コメント: 付記（ルートA）">
          <a:extLst>
            <a:ext uri="{FF2B5EF4-FFF2-40B4-BE49-F238E27FC236}">
              <a16:creationId xmlns:a16="http://schemas.microsoft.com/office/drawing/2014/main" id="{00000000-0008-0000-0400-0000B2000000}"/>
            </a:ext>
          </a:extLst>
        </xdr:cNvPr>
        <xdr:cNvGrpSpPr/>
      </xdr:nvGrpSpPr>
      <xdr:grpSpPr>
        <a:xfrm>
          <a:off x="5143500" y="24741188"/>
          <a:ext cx="2667000" cy="500062"/>
          <a:chOff x="5143500" y="25908000"/>
          <a:chExt cx="2667000" cy="571500"/>
        </a:xfrm>
      </xdr:grpSpPr>
      <xdr:sp macro="" textlink="">
        <xdr:nvSpPr>
          <xdr:cNvPr id="176" name="本文">
            <a:extLst>
              <a:ext uri="{FF2B5EF4-FFF2-40B4-BE49-F238E27FC236}">
                <a16:creationId xmlns:a16="http://schemas.microsoft.com/office/drawing/2014/main" id="{00000000-0008-0000-0400-0000B0000000}"/>
              </a:ext>
            </a:extLst>
          </xdr:cNvPr>
          <xdr:cNvSpPr/>
        </xdr:nvSpPr>
        <xdr:spPr>
          <a:xfrm>
            <a:off x="5143500" y="25908000"/>
            <a:ext cx="2667000" cy="571500"/>
          </a:xfrm>
          <a:custGeom>
            <a:avLst/>
            <a:gdLst>
              <a:gd name="x1" fmla="*/ w 1 4"/>
              <a:gd name="x2" fmla="*/ w 1 2"/>
              <a:gd name="x3" fmla="*/ w 3 4"/>
              <a:gd name="y1" fmla="*/ h 1 4"/>
              <a:gd name="y2" fmla="*/ h 1 2"/>
              <a:gd name="y3" fmla="*/ h 3 4"/>
              <a:gd name="smin" fmla="min w h"/>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r" y="t"/>
                </a:lnTo>
                <a:lnTo>
                  <a:pt x="r" y="b"/>
                </a:lnTo>
                <a:lnTo>
                  <a:pt x="l" y="b"/>
                </a:lnTo>
                <a:close/>
              </a:path>
            </a:pathLst>
          </a:custGeom>
          <a:solidFill>
            <a:srgbClr val="F3F8FF"/>
          </a:solidFill>
          <a:ln>
            <a:noFill/>
          </a:ln>
        </xdr:spPr>
        <xdr:txBody>
          <a:bodyPr vertOverflow="overflow" horzOverflow="overflow" wrap="square" lIns="114300" tIns="50800" rIns="76200" bIns="38100" rtlCol="0" anchor="t">
            <a:noAutofit/>
          </a:bodyPr>
          <a:lstStyle/>
          <a:p>
            <a:pPr algn="l"/>
            <a:r>
              <a:rPr lang="ja-JP" altLang="en-US" sz="800" b="1" dirty="0">
                <a:solidFill>
                  <a:srgbClr val="113866"/>
                </a:solidFill>
                <a:latin typeface="Meiryo UI"/>
                <a:ea typeface="Meiryo UI"/>
                <a:cs typeface="Meiryo UI"/>
              </a:rPr>
              <a:t>付記</a:t>
            </a:r>
            <a:endParaRPr lang="ja-JP" altLang="en-US" sz="800" dirty="0">
              <a:latin typeface="Meiryo UI"/>
              <a:ea typeface="Meiryo UI"/>
            </a:endParaRPr>
          </a:p>
          <a:p>
            <a:pPr algn="l">
              <a:spcBef>
                <a:spcPts val="100"/>
              </a:spcBef>
            </a:pPr>
            <a:r>
              <a:rPr lang="ja-JP" altLang="en-US" sz="800" b="0" dirty="0">
                <a:solidFill>
                  <a:srgbClr val="404040"/>
                </a:solidFill>
                <a:latin typeface="Meiryo UI"/>
                <a:ea typeface="Meiryo UI"/>
                <a:cs typeface="Meiryo UI"/>
              </a:rPr>
              <a:t>前提・制約・補足を記入</a:t>
            </a:r>
            <a:endParaRPr lang="ja-JP" altLang="en-US" sz="800" dirty="0">
              <a:latin typeface="Meiryo UI"/>
              <a:ea typeface="Meiryo UI"/>
            </a:endParaRPr>
          </a:p>
        </xdr:txBody>
      </xdr:sp>
      <xdr:sp macro="" textlink="">
        <xdr:nvSpPr>
          <xdr:cNvPr id="177" name="左ライン">
            <a:extLst>
              <a:ext uri="{FF2B5EF4-FFF2-40B4-BE49-F238E27FC236}">
                <a16:creationId xmlns:a16="http://schemas.microsoft.com/office/drawing/2014/main" id="{00000000-0008-0000-0400-0000B1000000}"/>
              </a:ext>
            </a:extLst>
          </xdr:cNvPr>
          <xdr:cNvSpPr/>
        </xdr:nvSpPr>
        <xdr:spPr>
          <a:xfrm>
            <a:off x="5143500" y="25908000"/>
            <a:ext cx="38100" cy="571500"/>
          </a:xfrm>
          <a:prstGeom prst="rect">
            <a:avLst/>
          </a:prstGeom>
          <a:solidFill>
            <a:srgbClr val="315C92"/>
          </a:solidFill>
          <a:ln>
            <a:noFill/>
          </a:ln>
        </xdr:spPr>
        <xdr:txBody>
          <a:bodyPr vertOverflow="overflow" horzOverflow="overflow" wrap="square" lIns="38100" tIns="19050" rIns="38100" bIns="19050" rtlCol="0" anchor="ctr">
            <a:noAutofit/>
          </a:bodyPr>
          <a:lstStyle/>
          <a:p>
            <a:pPr algn="l"/>
            <a:endParaRPr lang="ja-JP" altLang="en-US" sz="600" dirty="0">
              <a:latin typeface="Meiryo UI"/>
              <a:ea typeface="Meiryo UI"/>
            </a:endParaRPr>
          </a:p>
        </xdr:txBody>
      </xdr:sp>
    </xdr:grpSp>
    <xdr:clientData/>
  </xdr:twoCellAnchor>
  <xdr:twoCellAnchor editAs="oneCell">
    <xdr:from>
      <xdr:col>43</xdr:col>
      <xdr:colOff>0</xdr:colOff>
      <xdr:row>136</xdr:row>
      <xdr:rowOff>0</xdr:rowOff>
    </xdr:from>
    <xdr:to>
      <xdr:col>57</xdr:col>
      <xdr:colOff>0</xdr:colOff>
      <xdr:row>139</xdr:row>
      <xdr:rowOff>0</xdr:rowOff>
    </xdr:to>
    <xdr:grpSp>
      <xdr:nvGrpSpPr>
        <xdr:cNvPr id="181" name="コメント: 付記（ルートB）">
          <a:extLst>
            <a:ext uri="{FF2B5EF4-FFF2-40B4-BE49-F238E27FC236}">
              <a16:creationId xmlns:a16="http://schemas.microsoft.com/office/drawing/2014/main" id="{00000000-0008-0000-0400-0000B5000000}"/>
            </a:ext>
          </a:extLst>
        </xdr:cNvPr>
        <xdr:cNvGrpSpPr/>
      </xdr:nvGrpSpPr>
      <xdr:grpSpPr>
        <a:xfrm>
          <a:off x="8191500" y="24741188"/>
          <a:ext cx="2667000" cy="500062"/>
          <a:chOff x="8191500" y="25908000"/>
          <a:chExt cx="2667000" cy="571500"/>
        </a:xfrm>
      </xdr:grpSpPr>
      <xdr:sp macro="" textlink="">
        <xdr:nvSpPr>
          <xdr:cNvPr id="179" name="本文">
            <a:extLst>
              <a:ext uri="{FF2B5EF4-FFF2-40B4-BE49-F238E27FC236}">
                <a16:creationId xmlns:a16="http://schemas.microsoft.com/office/drawing/2014/main" id="{00000000-0008-0000-0400-0000B3000000}"/>
              </a:ext>
            </a:extLst>
          </xdr:cNvPr>
          <xdr:cNvSpPr/>
        </xdr:nvSpPr>
        <xdr:spPr>
          <a:xfrm>
            <a:off x="8191500" y="25908000"/>
            <a:ext cx="2667000" cy="571500"/>
          </a:xfrm>
          <a:custGeom>
            <a:avLst/>
            <a:gdLst>
              <a:gd name="x1" fmla="*/ w 1 4"/>
              <a:gd name="x2" fmla="*/ w 1 2"/>
              <a:gd name="x3" fmla="*/ w 3 4"/>
              <a:gd name="y1" fmla="*/ h 1 4"/>
              <a:gd name="y2" fmla="*/ h 1 2"/>
              <a:gd name="y3" fmla="*/ h 3 4"/>
              <a:gd name="smin" fmla="min w h"/>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r" y="t"/>
                </a:lnTo>
                <a:lnTo>
                  <a:pt x="r" y="b"/>
                </a:lnTo>
                <a:lnTo>
                  <a:pt x="l" y="b"/>
                </a:lnTo>
                <a:close/>
              </a:path>
            </a:pathLst>
          </a:custGeom>
          <a:solidFill>
            <a:srgbClr val="F1FAF7"/>
          </a:solidFill>
          <a:ln>
            <a:noFill/>
          </a:ln>
        </xdr:spPr>
        <xdr:txBody>
          <a:bodyPr vertOverflow="overflow" horzOverflow="overflow" wrap="square" lIns="114300" tIns="50800" rIns="76200" bIns="38100" rtlCol="0" anchor="t">
            <a:noAutofit/>
          </a:bodyPr>
          <a:lstStyle/>
          <a:p>
            <a:pPr algn="l"/>
            <a:r>
              <a:rPr lang="ja-JP" altLang="en-US" sz="800" b="1" dirty="0">
                <a:solidFill>
                  <a:srgbClr val="005243"/>
                </a:solidFill>
                <a:latin typeface="Meiryo UI"/>
                <a:ea typeface="Meiryo UI"/>
                <a:cs typeface="Meiryo UI"/>
              </a:rPr>
              <a:t>付記</a:t>
            </a:r>
            <a:endParaRPr lang="ja-JP" altLang="en-US" sz="800" dirty="0">
              <a:latin typeface="Meiryo UI"/>
              <a:ea typeface="Meiryo UI"/>
            </a:endParaRPr>
          </a:p>
          <a:p>
            <a:pPr algn="l">
              <a:spcBef>
                <a:spcPts val="100"/>
              </a:spcBef>
            </a:pPr>
            <a:r>
              <a:rPr lang="ja-JP" altLang="en-US" sz="800" b="0" dirty="0">
                <a:solidFill>
                  <a:srgbClr val="404040"/>
                </a:solidFill>
                <a:latin typeface="Meiryo UI"/>
                <a:ea typeface="Meiryo UI"/>
                <a:cs typeface="Meiryo UI"/>
              </a:rPr>
              <a:t>前提・制約・補足を記入</a:t>
            </a:r>
            <a:endParaRPr lang="ja-JP" altLang="en-US" sz="800" dirty="0">
              <a:latin typeface="Meiryo UI"/>
              <a:ea typeface="Meiryo UI"/>
            </a:endParaRPr>
          </a:p>
        </xdr:txBody>
      </xdr:sp>
      <xdr:sp macro="" textlink="">
        <xdr:nvSpPr>
          <xdr:cNvPr id="180" name="左ライン">
            <a:extLst>
              <a:ext uri="{FF2B5EF4-FFF2-40B4-BE49-F238E27FC236}">
                <a16:creationId xmlns:a16="http://schemas.microsoft.com/office/drawing/2014/main" id="{00000000-0008-0000-0400-0000B4000000}"/>
              </a:ext>
            </a:extLst>
          </xdr:cNvPr>
          <xdr:cNvSpPr/>
        </xdr:nvSpPr>
        <xdr:spPr>
          <a:xfrm>
            <a:off x="8191500" y="25908000"/>
            <a:ext cx="38100" cy="571500"/>
          </a:xfrm>
          <a:prstGeom prst="rect">
            <a:avLst/>
          </a:prstGeom>
          <a:solidFill>
            <a:srgbClr val="247966"/>
          </a:solidFill>
          <a:ln>
            <a:noFill/>
          </a:ln>
        </xdr:spPr>
        <xdr:txBody>
          <a:bodyPr vertOverflow="overflow" horzOverflow="overflow" wrap="square" lIns="38100" tIns="19050" rIns="38100" bIns="19050" rtlCol="0" anchor="ctr">
            <a:noAutofit/>
          </a:bodyPr>
          <a:lstStyle/>
          <a:p>
            <a:pPr algn="l"/>
            <a:endParaRPr lang="ja-JP" altLang="en-US" sz="600" dirty="0">
              <a:latin typeface="Meiryo UI"/>
              <a:ea typeface="Meiryo UI"/>
            </a:endParaRPr>
          </a:p>
        </xdr:txBody>
      </xdr:sp>
    </xdr:grpSp>
    <xdr:clientData/>
  </xdr:twoCellAnchor>
  <xdr:twoCellAnchor editAs="oneCell">
    <xdr:from>
      <xdr:col>59</xdr:col>
      <xdr:colOff>0</xdr:colOff>
      <xdr:row>136</xdr:row>
      <xdr:rowOff>0</xdr:rowOff>
    </xdr:from>
    <xdr:to>
      <xdr:col>73</xdr:col>
      <xdr:colOff>0</xdr:colOff>
      <xdr:row>139</xdr:row>
      <xdr:rowOff>0</xdr:rowOff>
    </xdr:to>
    <xdr:grpSp>
      <xdr:nvGrpSpPr>
        <xdr:cNvPr id="184" name="コメント: 付記（ルートC）">
          <a:extLst>
            <a:ext uri="{FF2B5EF4-FFF2-40B4-BE49-F238E27FC236}">
              <a16:creationId xmlns:a16="http://schemas.microsoft.com/office/drawing/2014/main" id="{00000000-0008-0000-0400-0000B8000000}"/>
            </a:ext>
          </a:extLst>
        </xdr:cNvPr>
        <xdr:cNvGrpSpPr/>
      </xdr:nvGrpSpPr>
      <xdr:grpSpPr>
        <a:xfrm>
          <a:off x="11239500" y="24741188"/>
          <a:ext cx="2667000" cy="500062"/>
          <a:chOff x="11239500" y="25908000"/>
          <a:chExt cx="2667000" cy="571500"/>
        </a:xfrm>
      </xdr:grpSpPr>
      <xdr:sp macro="" textlink="">
        <xdr:nvSpPr>
          <xdr:cNvPr id="182" name="本文">
            <a:extLst>
              <a:ext uri="{FF2B5EF4-FFF2-40B4-BE49-F238E27FC236}">
                <a16:creationId xmlns:a16="http://schemas.microsoft.com/office/drawing/2014/main" id="{00000000-0008-0000-0400-0000B6000000}"/>
              </a:ext>
            </a:extLst>
          </xdr:cNvPr>
          <xdr:cNvSpPr/>
        </xdr:nvSpPr>
        <xdr:spPr>
          <a:xfrm>
            <a:off x="11239500" y="25908000"/>
            <a:ext cx="2667000" cy="571500"/>
          </a:xfrm>
          <a:custGeom>
            <a:avLst/>
            <a:gdLst>
              <a:gd name="x1" fmla="*/ w 1 4"/>
              <a:gd name="x2" fmla="*/ w 1 2"/>
              <a:gd name="x3" fmla="*/ w 3 4"/>
              <a:gd name="y1" fmla="*/ h 1 4"/>
              <a:gd name="y2" fmla="*/ h 1 2"/>
              <a:gd name="y3" fmla="*/ h 3 4"/>
              <a:gd name="smin" fmla="min w h"/>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r" y="t"/>
                </a:lnTo>
                <a:lnTo>
                  <a:pt x="r" y="b"/>
                </a:lnTo>
                <a:lnTo>
                  <a:pt x="l" y="b"/>
                </a:lnTo>
                <a:close/>
              </a:path>
            </a:pathLst>
          </a:custGeom>
          <a:solidFill>
            <a:srgbClr val="FEF6F2"/>
          </a:solidFill>
          <a:ln>
            <a:noFill/>
          </a:ln>
        </xdr:spPr>
        <xdr:txBody>
          <a:bodyPr vertOverflow="overflow" horzOverflow="overflow" wrap="square" lIns="114300" tIns="50800" rIns="76200" bIns="38100" rtlCol="0" anchor="t">
            <a:noAutofit/>
          </a:bodyPr>
          <a:lstStyle/>
          <a:p>
            <a:pPr algn="l"/>
            <a:r>
              <a:rPr lang="ja-JP" altLang="en-US" sz="800" b="1" dirty="0">
                <a:solidFill>
                  <a:srgbClr val="954717"/>
                </a:solidFill>
                <a:latin typeface="Meiryo UI"/>
                <a:ea typeface="Meiryo UI"/>
                <a:cs typeface="Meiryo UI"/>
              </a:rPr>
              <a:t>付記</a:t>
            </a:r>
            <a:endParaRPr lang="ja-JP" altLang="en-US" sz="800" dirty="0">
              <a:latin typeface="Meiryo UI"/>
              <a:ea typeface="Meiryo UI"/>
            </a:endParaRPr>
          </a:p>
          <a:p>
            <a:pPr algn="l">
              <a:spcBef>
                <a:spcPts val="100"/>
              </a:spcBef>
            </a:pPr>
            <a:r>
              <a:rPr lang="ja-JP" altLang="en-US" sz="800" b="0" dirty="0">
                <a:solidFill>
                  <a:srgbClr val="404040"/>
                </a:solidFill>
                <a:latin typeface="Meiryo UI"/>
                <a:ea typeface="Meiryo UI"/>
                <a:cs typeface="Meiryo UI"/>
              </a:rPr>
              <a:t>前提・制約・補足を記入</a:t>
            </a:r>
            <a:endParaRPr lang="ja-JP" altLang="en-US" sz="800" dirty="0">
              <a:latin typeface="Meiryo UI"/>
              <a:ea typeface="Meiryo UI"/>
            </a:endParaRPr>
          </a:p>
        </xdr:txBody>
      </xdr:sp>
      <xdr:sp macro="" textlink="">
        <xdr:nvSpPr>
          <xdr:cNvPr id="183" name="左ライン">
            <a:extLst>
              <a:ext uri="{FF2B5EF4-FFF2-40B4-BE49-F238E27FC236}">
                <a16:creationId xmlns:a16="http://schemas.microsoft.com/office/drawing/2014/main" id="{00000000-0008-0000-0400-0000B7000000}"/>
              </a:ext>
            </a:extLst>
          </xdr:cNvPr>
          <xdr:cNvSpPr/>
        </xdr:nvSpPr>
        <xdr:spPr>
          <a:xfrm>
            <a:off x="11239500" y="25908000"/>
            <a:ext cx="38100" cy="571500"/>
          </a:xfrm>
          <a:prstGeom prst="rect">
            <a:avLst/>
          </a:prstGeom>
          <a:solidFill>
            <a:srgbClr val="C46B39"/>
          </a:solidFill>
          <a:ln>
            <a:noFill/>
          </a:ln>
        </xdr:spPr>
        <xdr:txBody>
          <a:bodyPr vertOverflow="overflow" horzOverflow="overflow" wrap="square" lIns="38100" tIns="19050" rIns="38100" bIns="19050" rtlCol="0" anchor="ctr">
            <a:noAutofit/>
          </a:bodyPr>
          <a:lstStyle/>
          <a:p>
            <a:pPr algn="l"/>
            <a:endParaRPr lang="ja-JP" altLang="en-US" sz="600" dirty="0">
              <a:latin typeface="Meiryo UI"/>
              <a:ea typeface="Meiryo UI"/>
            </a:endParaRPr>
          </a:p>
        </xdr:txBody>
      </xdr:sp>
    </xdr:grpSp>
    <xdr:clientData/>
  </xdr:twoCellAnchor>
  <xdr:twoCellAnchor editAs="oneCell">
    <xdr:from>
      <xdr:col>11</xdr:col>
      <xdr:colOff>0</xdr:colOff>
      <xdr:row>140</xdr:row>
      <xdr:rowOff>0</xdr:rowOff>
    </xdr:from>
    <xdr:to>
      <xdr:col>23</xdr:col>
      <xdr:colOff>0</xdr:colOff>
      <xdr:row>143</xdr:row>
      <xdr:rowOff>0</xdr:rowOff>
    </xdr:to>
    <xdr:sp macro="" textlink="">
      <xdr:nvSpPr>
        <xdr:cNvPr id="185" name="コメント: 吹き出し（共通）">
          <a:extLst>
            <a:ext uri="{FF2B5EF4-FFF2-40B4-BE49-F238E27FC236}">
              <a16:creationId xmlns:a16="http://schemas.microsoft.com/office/drawing/2014/main" id="{00000000-0008-0000-0400-0000B9000000}"/>
            </a:ext>
          </a:extLst>
        </xdr:cNvPr>
        <xdr:cNvSpPr/>
      </xdr:nvSpPr>
      <xdr:spPr>
        <a:xfrm>
          <a:off x="2095500" y="26670000"/>
          <a:ext cx="2286000" cy="571500"/>
        </a:xfrm>
        <a:prstGeom prst="wedgeRoundRectCallout">
          <a:avLst>
            <a:gd name="adj1" fmla="val -30000"/>
            <a:gd name="adj2" fmla="val 85000"/>
            <a:gd name="adj3" fmla="val 16667"/>
          </a:avLst>
        </a:prstGeom>
        <a:solidFill>
          <a:srgbClr val="FFFFFF"/>
        </a:solidFill>
        <a:ln w="12700" cap="flat">
          <a:solidFill>
            <a:srgbClr val="404040"/>
          </a:solidFill>
          <a:round/>
        </a:ln>
      </xdr:spPr>
      <xdr:txBody>
        <a:bodyPr vertOverflow="overflow" horzOverflow="overflow" wrap="square" lIns="63500" tIns="25400" rIns="63500" bIns="25400" rtlCol="0" anchor="ctr">
          <a:noAutofit/>
        </a:bodyPr>
        <a:lstStyle/>
        <a:p>
          <a:pPr algn="l"/>
          <a:r>
            <a:rPr lang="ja-JP" altLang="en-US" sz="800" b="0" dirty="0">
              <a:solidFill>
                <a:srgbClr val="404040"/>
              </a:solidFill>
              <a:latin typeface="Meiryo UI"/>
              <a:ea typeface="Meiryo UI"/>
              <a:cs typeface="Meiryo UI"/>
            </a:rPr>
            <a:t>図形や線への短い指摘・補足</a:t>
          </a:r>
          <a:endParaRPr lang="ja-JP" altLang="en-US" sz="800" dirty="0">
            <a:latin typeface="Meiryo UI"/>
            <a:ea typeface="Meiryo UI"/>
          </a:endParaRPr>
        </a:p>
      </xdr:txBody>
    </xdr:sp>
    <xdr:clientData/>
  </xdr:twoCellAnchor>
  <xdr:twoCellAnchor editAs="oneCell">
    <xdr:from>
      <xdr:col>27</xdr:col>
      <xdr:colOff>0</xdr:colOff>
      <xdr:row>140</xdr:row>
      <xdr:rowOff>0</xdr:rowOff>
    </xdr:from>
    <xdr:to>
      <xdr:col>39</xdr:col>
      <xdr:colOff>0</xdr:colOff>
      <xdr:row>143</xdr:row>
      <xdr:rowOff>0</xdr:rowOff>
    </xdr:to>
    <xdr:sp macro="" textlink="">
      <xdr:nvSpPr>
        <xdr:cNvPr id="186" name="コメント: 吹き出し（ルートA）">
          <a:extLst>
            <a:ext uri="{FF2B5EF4-FFF2-40B4-BE49-F238E27FC236}">
              <a16:creationId xmlns:a16="http://schemas.microsoft.com/office/drawing/2014/main" id="{00000000-0008-0000-0400-0000BA000000}"/>
            </a:ext>
          </a:extLst>
        </xdr:cNvPr>
        <xdr:cNvSpPr/>
      </xdr:nvSpPr>
      <xdr:spPr>
        <a:xfrm>
          <a:off x="5143500" y="26670000"/>
          <a:ext cx="2286000" cy="571500"/>
        </a:xfrm>
        <a:prstGeom prst="wedgeRoundRectCallout">
          <a:avLst>
            <a:gd name="adj1" fmla="val -30000"/>
            <a:gd name="adj2" fmla="val 85000"/>
            <a:gd name="adj3" fmla="val 16667"/>
          </a:avLst>
        </a:prstGeom>
        <a:solidFill>
          <a:srgbClr val="FFFFFF"/>
        </a:solidFill>
        <a:ln w="12700" cap="flat">
          <a:solidFill>
            <a:srgbClr val="315C92"/>
          </a:solidFill>
          <a:round/>
        </a:ln>
      </xdr:spPr>
      <xdr:txBody>
        <a:bodyPr vertOverflow="overflow" horzOverflow="overflow" wrap="square" lIns="63500" tIns="25400" rIns="63500" bIns="25400" rtlCol="0" anchor="ctr">
          <a:noAutofit/>
        </a:bodyPr>
        <a:lstStyle/>
        <a:p>
          <a:pPr algn="l"/>
          <a:r>
            <a:rPr lang="ja-JP" altLang="en-US" sz="800" b="0" dirty="0">
              <a:solidFill>
                <a:srgbClr val="404040"/>
              </a:solidFill>
              <a:latin typeface="Meiryo UI"/>
              <a:ea typeface="Meiryo UI"/>
              <a:cs typeface="Meiryo UI"/>
            </a:rPr>
            <a:t>図形や線への短い指摘・補足</a:t>
          </a:r>
          <a:endParaRPr lang="ja-JP" altLang="en-US" sz="800" dirty="0">
            <a:latin typeface="Meiryo UI"/>
            <a:ea typeface="Meiryo UI"/>
          </a:endParaRPr>
        </a:p>
      </xdr:txBody>
    </xdr:sp>
    <xdr:clientData/>
  </xdr:twoCellAnchor>
  <xdr:twoCellAnchor editAs="oneCell">
    <xdr:from>
      <xdr:col>43</xdr:col>
      <xdr:colOff>0</xdr:colOff>
      <xdr:row>140</xdr:row>
      <xdr:rowOff>0</xdr:rowOff>
    </xdr:from>
    <xdr:to>
      <xdr:col>55</xdr:col>
      <xdr:colOff>0</xdr:colOff>
      <xdr:row>143</xdr:row>
      <xdr:rowOff>0</xdr:rowOff>
    </xdr:to>
    <xdr:sp macro="" textlink="">
      <xdr:nvSpPr>
        <xdr:cNvPr id="187" name="コメント: 吹き出し（ルートB）">
          <a:extLst>
            <a:ext uri="{FF2B5EF4-FFF2-40B4-BE49-F238E27FC236}">
              <a16:creationId xmlns:a16="http://schemas.microsoft.com/office/drawing/2014/main" id="{00000000-0008-0000-0400-0000BB000000}"/>
            </a:ext>
          </a:extLst>
        </xdr:cNvPr>
        <xdr:cNvSpPr/>
      </xdr:nvSpPr>
      <xdr:spPr>
        <a:xfrm>
          <a:off x="8191500" y="26670000"/>
          <a:ext cx="2286000" cy="571500"/>
        </a:xfrm>
        <a:prstGeom prst="wedgeRoundRectCallout">
          <a:avLst>
            <a:gd name="adj1" fmla="val -30000"/>
            <a:gd name="adj2" fmla="val 85000"/>
            <a:gd name="adj3" fmla="val 16667"/>
          </a:avLst>
        </a:prstGeom>
        <a:solidFill>
          <a:srgbClr val="FFFFFF"/>
        </a:solidFill>
        <a:ln w="12700" cap="flat">
          <a:solidFill>
            <a:srgbClr val="247966"/>
          </a:solidFill>
          <a:round/>
        </a:ln>
      </xdr:spPr>
      <xdr:txBody>
        <a:bodyPr vertOverflow="overflow" horzOverflow="overflow" wrap="square" lIns="63500" tIns="25400" rIns="63500" bIns="25400" rtlCol="0" anchor="ctr">
          <a:noAutofit/>
        </a:bodyPr>
        <a:lstStyle/>
        <a:p>
          <a:pPr algn="l"/>
          <a:r>
            <a:rPr lang="ja-JP" altLang="en-US" sz="800" b="0" dirty="0">
              <a:solidFill>
                <a:srgbClr val="404040"/>
              </a:solidFill>
              <a:latin typeface="Meiryo UI"/>
              <a:ea typeface="Meiryo UI"/>
              <a:cs typeface="Meiryo UI"/>
            </a:rPr>
            <a:t>図形や線への短い指摘・補足</a:t>
          </a:r>
          <a:endParaRPr lang="ja-JP" altLang="en-US" sz="800" dirty="0">
            <a:latin typeface="Meiryo UI"/>
            <a:ea typeface="Meiryo UI"/>
          </a:endParaRPr>
        </a:p>
      </xdr:txBody>
    </xdr:sp>
    <xdr:clientData/>
  </xdr:twoCellAnchor>
  <xdr:twoCellAnchor editAs="oneCell">
    <xdr:from>
      <xdr:col>59</xdr:col>
      <xdr:colOff>0</xdr:colOff>
      <xdr:row>140</xdr:row>
      <xdr:rowOff>0</xdr:rowOff>
    </xdr:from>
    <xdr:to>
      <xdr:col>71</xdr:col>
      <xdr:colOff>0</xdr:colOff>
      <xdr:row>143</xdr:row>
      <xdr:rowOff>0</xdr:rowOff>
    </xdr:to>
    <xdr:sp macro="" textlink="">
      <xdr:nvSpPr>
        <xdr:cNvPr id="188" name="コメント: 吹き出し（ルートC）">
          <a:extLst>
            <a:ext uri="{FF2B5EF4-FFF2-40B4-BE49-F238E27FC236}">
              <a16:creationId xmlns:a16="http://schemas.microsoft.com/office/drawing/2014/main" id="{00000000-0008-0000-0400-0000BC000000}"/>
            </a:ext>
          </a:extLst>
        </xdr:cNvPr>
        <xdr:cNvSpPr/>
      </xdr:nvSpPr>
      <xdr:spPr>
        <a:xfrm>
          <a:off x="11239500" y="26670000"/>
          <a:ext cx="2286000" cy="571500"/>
        </a:xfrm>
        <a:prstGeom prst="wedgeRoundRectCallout">
          <a:avLst>
            <a:gd name="adj1" fmla="val -30000"/>
            <a:gd name="adj2" fmla="val 85000"/>
            <a:gd name="adj3" fmla="val 16667"/>
          </a:avLst>
        </a:prstGeom>
        <a:solidFill>
          <a:srgbClr val="FFFFFF"/>
        </a:solidFill>
        <a:ln w="12700" cap="flat">
          <a:solidFill>
            <a:srgbClr val="C46B39"/>
          </a:solidFill>
          <a:round/>
        </a:ln>
      </xdr:spPr>
      <xdr:txBody>
        <a:bodyPr vertOverflow="overflow" horzOverflow="overflow" wrap="square" lIns="63500" tIns="25400" rIns="63500" bIns="25400" rtlCol="0" anchor="ctr">
          <a:noAutofit/>
        </a:bodyPr>
        <a:lstStyle/>
        <a:p>
          <a:pPr algn="l"/>
          <a:r>
            <a:rPr lang="ja-JP" altLang="en-US" sz="800" b="0" dirty="0">
              <a:solidFill>
                <a:srgbClr val="404040"/>
              </a:solidFill>
              <a:latin typeface="Meiryo UI"/>
              <a:ea typeface="Meiryo UI"/>
              <a:cs typeface="Meiryo UI"/>
            </a:rPr>
            <a:t>図形や線への短い指摘・補足</a:t>
          </a:r>
          <a:endParaRPr lang="ja-JP" altLang="en-US" sz="800" dirty="0">
            <a:latin typeface="Meiryo UI"/>
            <a:ea typeface="Meiryo UI"/>
          </a:endParaRPr>
        </a:p>
      </xdr:txBody>
    </xdr:sp>
    <xdr:clientData/>
  </xdr:twoCellAnchor>
  <xdr:twoCellAnchor editAs="oneCell">
    <xdr:from>
      <xdr:col>11</xdr:col>
      <xdr:colOff>0</xdr:colOff>
      <xdr:row>146</xdr:row>
      <xdr:rowOff>0</xdr:rowOff>
    </xdr:from>
    <xdr:to>
      <xdr:col>19</xdr:col>
      <xdr:colOff>0</xdr:colOff>
      <xdr:row>150</xdr:row>
      <xdr:rowOff>0</xdr:rowOff>
    </xdr:to>
    <xdr:sp macro="" textlink="">
      <xdr:nvSpPr>
        <xdr:cNvPr id="189" name="コメント: 付箋（共通）">
          <a:extLst>
            <a:ext uri="{FF2B5EF4-FFF2-40B4-BE49-F238E27FC236}">
              <a16:creationId xmlns:a16="http://schemas.microsoft.com/office/drawing/2014/main" id="{00000000-0008-0000-0400-0000BD000000}"/>
            </a:ext>
          </a:extLst>
        </xdr:cNvPr>
        <xdr:cNvSpPr/>
      </xdr:nvSpPr>
      <xdr:spPr>
        <a:xfrm>
          <a:off x="2095500" y="27813000"/>
          <a:ext cx="1524000" cy="762000"/>
        </a:xfrm>
        <a:custGeom>
          <a:avLst/>
          <a:gdLst>
            <a:gd name="x1" fmla="*/ w 1 4"/>
            <a:gd name="x2" fmla="*/ w 1 2"/>
            <a:gd name="x3" fmla="*/ w 3 4"/>
            <a:gd name="y1" fmla="*/ h 1 4"/>
            <a:gd name="y2" fmla="*/ h 1 2"/>
            <a:gd name="y3" fmla="*/ h 3 4"/>
            <a:gd name="smin" fmla="min w h"/>
            <a:gd name="fq" fmla="*/ smin 1 4"/>
            <a:gd name="f" fmla="min 114300 fq"/>
            <a:gd name="fx" fmla="+- r 0 f"/>
            <a:gd name="fy" fmla="+- b 0 f"/>
            <a:gd name="d5" fmla="*/ f 1 5"/>
            <a:gd name="x2b" fmla="+- fx d5 0"/>
            <a:gd name="y2b" fmla="+- fy d5 0"/>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stroke="0">
              <a:moveTo>
                <a:pt x="l" y="t"/>
              </a:moveTo>
              <a:lnTo>
                <a:pt x="r" y="t"/>
              </a:lnTo>
              <a:lnTo>
                <a:pt x="r" y="fy"/>
              </a:lnTo>
              <a:lnTo>
                <a:pt x="fx" y="b"/>
              </a:lnTo>
              <a:lnTo>
                <a:pt x="l" y="b"/>
              </a:lnTo>
              <a:close/>
            </a:path>
            <a:path fill="darkenLess" stroke="0" extrusionOk="0">
              <a:moveTo>
                <a:pt x="fx" y="b"/>
              </a:moveTo>
              <a:lnTo>
                <a:pt x="x2b" y="y2b"/>
              </a:lnTo>
              <a:lnTo>
                <a:pt x="r" y="fy"/>
              </a:lnTo>
              <a:close/>
            </a:path>
            <a:path fill="none" extrusionOk="0">
              <a:moveTo>
                <a:pt x="fx" y="b"/>
              </a:moveTo>
              <a:lnTo>
                <a:pt x="x2b" y="y2b"/>
              </a:lnTo>
              <a:lnTo>
                <a:pt x="r" y="fy"/>
              </a:lnTo>
              <a:lnTo>
                <a:pt x="fx" y="b"/>
              </a:lnTo>
              <a:lnTo>
                <a:pt x="l" y="b"/>
              </a:lnTo>
              <a:lnTo>
                <a:pt x="l" y="t"/>
              </a:lnTo>
              <a:lnTo>
                <a:pt x="r" y="t"/>
              </a:lnTo>
              <a:lnTo>
                <a:pt x="r" y="fy"/>
              </a:lnTo>
            </a:path>
          </a:pathLst>
        </a:custGeom>
        <a:solidFill>
          <a:srgbClr val="F2F2F2"/>
        </a:solidFill>
        <a:ln w="9525" cap="flat">
          <a:solidFill>
            <a:srgbClr val="D9D9D9"/>
          </a:solidFill>
          <a:round/>
        </a:ln>
      </xdr:spPr>
      <xdr:txBody>
        <a:bodyPr vertOverflow="overflow" horzOverflow="overflow" wrap="square" lIns="76200" tIns="50800" rIns="76200" bIns="38100" rtlCol="0" anchor="t">
          <a:noAutofit/>
        </a:bodyPr>
        <a:lstStyle/>
        <a:p>
          <a:pPr algn="l"/>
          <a:r>
            <a:rPr lang="ja-JP" altLang="en-US" sz="800" b="1" dirty="0">
              <a:solidFill>
                <a:srgbClr val="262626"/>
              </a:solidFill>
              <a:latin typeface="Meiryo UI"/>
              <a:ea typeface="Meiryo UI"/>
              <a:cs typeface="Meiryo UI"/>
            </a:rPr>
            <a:t>確認事項</a:t>
          </a:r>
          <a:endParaRPr lang="ja-JP" altLang="en-US" sz="800" dirty="0">
            <a:latin typeface="Meiryo UI"/>
            <a:ea typeface="Meiryo UI"/>
          </a:endParaRPr>
        </a:p>
        <a:p>
          <a:pPr algn="l">
            <a:spcBef>
              <a:spcPts val="100"/>
            </a:spcBef>
          </a:pPr>
          <a:r>
            <a:rPr lang="ja-JP" altLang="en-US" sz="800" b="0" dirty="0">
              <a:solidFill>
                <a:srgbClr val="404040"/>
              </a:solidFill>
              <a:latin typeface="Meiryo UI"/>
              <a:ea typeface="Meiryo UI"/>
              <a:cs typeface="Meiryo UI"/>
            </a:rPr>
            <a:t>検討中・TODO</a:t>
          </a:r>
          <a:endParaRPr lang="ja-JP" altLang="en-US" sz="800" dirty="0">
            <a:latin typeface="Meiryo UI"/>
            <a:ea typeface="Meiryo UI"/>
          </a:endParaRPr>
        </a:p>
      </xdr:txBody>
    </xdr:sp>
    <xdr:clientData/>
  </xdr:twoCellAnchor>
  <xdr:twoCellAnchor editAs="oneCell">
    <xdr:from>
      <xdr:col>20</xdr:col>
      <xdr:colOff>0</xdr:colOff>
      <xdr:row>147</xdr:row>
      <xdr:rowOff>0</xdr:rowOff>
    </xdr:from>
    <xdr:to>
      <xdr:col>26</xdr:col>
      <xdr:colOff>0</xdr:colOff>
      <xdr:row>149</xdr:row>
      <xdr:rowOff>0</xdr:rowOff>
    </xdr:to>
    <xdr:grpSp>
      <xdr:nvGrpSpPr>
        <xdr:cNvPr id="192" name="コメント: 番号付き注記（共通）">
          <a:extLst>
            <a:ext uri="{FF2B5EF4-FFF2-40B4-BE49-F238E27FC236}">
              <a16:creationId xmlns:a16="http://schemas.microsoft.com/office/drawing/2014/main" id="{00000000-0008-0000-0400-0000C0000000}"/>
            </a:ext>
          </a:extLst>
        </xdr:cNvPr>
        <xdr:cNvGrpSpPr/>
      </xdr:nvGrpSpPr>
      <xdr:grpSpPr>
        <a:xfrm>
          <a:off x="3810000" y="26670000"/>
          <a:ext cx="1143000" cy="333375"/>
          <a:chOff x="3810000" y="28003500"/>
          <a:chExt cx="1143000" cy="381000"/>
        </a:xfrm>
      </xdr:grpSpPr>
      <xdr:sp macro="" textlink="">
        <xdr:nvSpPr>
          <xdr:cNvPr id="190" name="番号">
            <a:extLst>
              <a:ext uri="{FF2B5EF4-FFF2-40B4-BE49-F238E27FC236}">
                <a16:creationId xmlns:a16="http://schemas.microsoft.com/office/drawing/2014/main" id="{00000000-0008-0000-0400-0000BE000000}"/>
              </a:ext>
            </a:extLst>
          </xdr:cNvPr>
          <xdr:cNvSpPr/>
        </xdr:nvSpPr>
        <xdr:spPr>
          <a:xfrm>
            <a:off x="3810000" y="28098750"/>
            <a:ext cx="190500" cy="190500"/>
          </a:xfrm>
          <a:prstGeom prst="ellipse">
            <a:avLst/>
          </a:prstGeom>
          <a:solidFill>
            <a:srgbClr val="404040"/>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1</a:t>
            </a:r>
            <a:endParaRPr lang="ja-JP" altLang="en-US" sz="750" dirty="0">
              <a:latin typeface="Meiryo UI"/>
              <a:ea typeface="Meiryo UI"/>
            </a:endParaRPr>
          </a:p>
        </xdr:txBody>
      </xdr:sp>
      <xdr:sp macro="" textlink="">
        <xdr:nvSpPr>
          <xdr:cNvPr id="191" name="本文">
            <a:extLst>
              <a:ext uri="{FF2B5EF4-FFF2-40B4-BE49-F238E27FC236}">
                <a16:creationId xmlns:a16="http://schemas.microsoft.com/office/drawing/2014/main" id="{00000000-0008-0000-0400-0000BF000000}"/>
              </a:ext>
            </a:extLst>
          </xdr:cNvPr>
          <xdr:cNvSpPr/>
        </xdr:nvSpPr>
        <xdr:spPr>
          <a:xfrm>
            <a:off x="4057650" y="28003500"/>
            <a:ext cx="895350" cy="381000"/>
          </a:xfrm>
          <a:custGeom>
            <a:avLst/>
            <a:gdLst>
              <a:gd name="x1" fmla="*/ w 1 4"/>
              <a:gd name="x2" fmla="*/ w 1 2"/>
              <a:gd name="x3" fmla="*/ w 3 4"/>
              <a:gd name="y1" fmla="*/ h 1 4"/>
              <a:gd name="y2" fmla="*/ h 1 2"/>
              <a:gd name="y3" fmla="*/ h 3 4"/>
              <a:gd name="smin" fmla="min w h"/>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r" y="t"/>
                </a:lnTo>
                <a:lnTo>
                  <a:pt x="r" y="b"/>
                </a:lnTo>
                <a:lnTo>
                  <a:pt x="l" y="b"/>
                </a:lnTo>
                <a:close/>
              </a:path>
            </a:pathLst>
          </a:custGeom>
          <a:noFill/>
          <a:ln>
            <a:noFill/>
          </a:ln>
        </xdr:spPr>
        <xdr:txBody>
          <a:bodyPr vertOverflow="overflow" horzOverflow="overflow" wrap="square" lIns="25400" tIns="0" rIns="25400" bIns="0" rtlCol="0" anchor="ctr">
            <a:noAutofit/>
          </a:bodyPr>
          <a:lstStyle/>
          <a:p>
            <a:pPr algn="l"/>
            <a:r>
              <a:rPr lang="ja-JP" altLang="en-US" sz="800" b="0" dirty="0">
                <a:solidFill>
                  <a:srgbClr val="404040"/>
                </a:solidFill>
                <a:latin typeface="Meiryo UI"/>
                <a:ea typeface="Meiryo UI"/>
                <a:cs typeface="Meiryo UI"/>
              </a:rPr>
              <a:t>番号付きの注記</a:t>
            </a:r>
            <a:endParaRPr lang="ja-JP" altLang="en-US" sz="800" dirty="0">
              <a:latin typeface="Meiryo UI"/>
              <a:ea typeface="Meiryo UI"/>
            </a:endParaRPr>
          </a:p>
        </xdr:txBody>
      </xdr:sp>
    </xdr:grpSp>
    <xdr:clientData/>
  </xdr:twoCellAnchor>
  <xdr:twoCellAnchor editAs="oneCell">
    <xdr:from>
      <xdr:col>27</xdr:col>
      <xdr:colOff>0</xdr:colOff>
      <xdr:row>146</xdr:row>
      <xdr:rowOff>0</xdr:rowOff>
    </xdr:from>
    <xdr:to>
      <xdr:col>35</xdr:col>
      <xdr:colOff>0</xdr:colOff>
      <xdr:row>150</xdr:row>
      <xdr:rowOff>0</xdr:rowOff>
    </xdr:to>
    <xdr:sp macro="" textlink="">
      <xdr:nvSpPr>
        <xdr:cNvPr id="193" name="コメント: 付箋（ルートA）">
          <a:extLst>
            <a:ext uri="{FF2B5EF4-FFF2-40B4-BE49-F238E27FC236}">
              <a16:creationId xmlns:a16="http://schemas.microsoft.com/office/drawing/2014/main" id="{00000000-0008-0000-0400-0000C1000000}"/>
            </a:ext>
          </a:extLst>
        </xdr:cNvPr>
        <xdr:cNvSpPr/>
      </xdr:nvSpPr>
      <xdr:spPr>
        <a:xfrm>
          <a:off x="5143500" y="27813000"/>
          <a:ext cx="1524000" cy="762000"/>
        </a:xfrm>
        <a:custGeom>
          <a:avLst/>
          <a:gdLst>
            <a:gd name="x1" fmla="*/ w 1 4"/>
            <a:gd name="x2" fmla="*/ w 1 2"/>
            <a:gd name="x3" fmla="*/ w 3 4"/>
            <a:gd name="y1" fmla="*/ h 1 4"/>
            <a:gd name="y2" fmla="*/ h 1 2"/>
            <a:gd name="y3" fmla="*/ h 3 4"/>
            <a:gd name="smin" fmla="min w h"/>
            <a:gd name="fq" fmla="*/ smin 1 4"/>
            <a:gd name="f" fmla="min 114300 fq"/>
            <a:gd name="fx" fmla="+- r 0 f"/>
            <a:gd name="fy" fmla="+- b 0 f"/>
            <a:gd name="d5" fmla="*/ f 1 5"/>
            <a:gd name="x2b" fmla="+- fx d5 0"/>
            <a:gd name="y2b" fmla="+- fy d5 0"/>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stroke="0">
              <a:moveTo>
                <a:pt x="l" y="t"/>
              </a:moveTo>
              <a:lnTo>
                <a:pt x="r" y="t"/>
              </a:lnTo>
              <a:lnTo>
                <a:pt x="r" y="fy"/>
              </a:lnTo>
              <a:lnTo>
                <a:pt x="fx" y="b"/>
              </a:lnTo>
              <a:lnTo>
                <a:pt x="l" y="b"/>
              </a:lnTo>
              <a:close/>
            </a:path>
            <a:path fill="darkenLess" stroke="0" extrusionOk="0">
              <a:moveTo>
                <a:pt x="fx" y="b"/>
              </a:moveTo>
              <a:lnTo>
                <a:pt x="x2b" y="y2b"/>
              </a:lnTo>
              <a:lnTo>
                <a:pt x="r" y="fy"/>
              </a:lnTo>
              <a:close/>
            </a:path>
            <a:path fill="none" extrusionOk="0">
              <a:moveTo>
                <a:pt x="fx" y="b"/>
              </a:moveTo>
              <a:lnTo>
                <a:pt x="x2b" y="y2b"/>
              </a:lnTo>
              <a:lnTo>
                <a:pt x="r" y="fy"/>
              </a:lnTo>
              <a:lnTo>
                <a:pt x="fx" y="b"/>
              </a:lnTo>
              <a:lnTo>
                <a:pt x="l" y="b"/>
              </a:lnTo>
              <a:lnTo>
                <a:pt x="l" y="t"/>
              </a:lnTo>
              <a:lnTo>
                <a:pt x="r" y="t"/>
              </a:lnTo>
              <a:lnTo>
                <a:pt x="r" y="fy"/>
              </a:lnTo>
            </a:path>
          </a:pathLst>
        </a:custGeom>
        <a:solidFill>
          <a:srgbClr val="E7F1FF"/>
        </a:solidFill>
        <a:ln w="9525" cap="flat">
          <a:solidFill>
            <a:srgbClr val="BCD3F2"/>
          </a:solidFill>
          <a:round/>
        </a:ln>
      </xdr:spPr>
      <xdr:txBody>
        <a:bodyPr vertOverflow="overflow" horzOverflow="overflow" wrap="square" lIns="76200" tIns="50800" rIns="76200" bIns="38100" rtlCol="0" anchor="t">
          <a:noAutofit/>
        </a:bodyPr>
        <a:lstStyle/>
        <a:p>
          <a:pPr algn="l"/>
          <a:r>
            <a:rPr lang="ja-JP" altLang="en-US" sz="800" b="1" dirty="0">
              <a:solidFill>
                <a:srgbClr val="113866"/>
              </a:solidFill>
              <a:latin typeface="Meiryo UI"/>
              <a:ea typeface="Meiryo UI"/>
              <a:cs typeface="Meiryo UI"/>
            </a:rPr>
            <a:t>確認事項</a:t>
          </a:r>
          <a:endParaRPr lang="ja-JP" altLang="en-US" sz="800" dirty="0">
            <a:latin typeface="Meiryo UI"/>
            <a:ea typeface="Meiryo UI"/>
          </a:endParaRPr>
        </a:p>
        <a:p>
          <a:pPr algn="l">
            <a:spcBef>
              <a:spcPts val="100"/>
            </a:spcBef>
          </a:pPr>
          <a:r>
            <a:rPr lang="ja-JP" altLang="en-US" sz="800" b="0" dirty="0">
              <a:solidFill>
                <a:srgbClr val="404040"/>
              </a:solidFill>
              <a:latin typeface="Meiryo UI"/>
              <a:ea typeface="Meiryo UI"/>
              <a:cs typeface="Meiryo UI"/>
            </a:rPr>
            <a:t>検討中・TODO</a:t>
          </a:r>
          <a:endParaRPr lang="ja-JP" altLang="en-US" sz="800" dirty="0">
            <a:latin typeface="Meiryo UI"/>
            <a:ea typeface="Meiryo UI"/>
          </a:endParaRPr>
        </a:p>
      </xdr:txBody>
    </xdr:sp>
    <xdr:clientData/>
  </xdr:twoCellAnchor>
  <xdr:twoCellAnchor editAs="oneCell">
    <xdr:from>
      <xdr:col>36</xdr:col>
      <xdr:colOff>0</xdr:colOff>
      <xdr:row>147</xdr:row>
      <xdr:rowOff>0</xdr:rowOff>
    </xdr:from>
    <xdr:to>
      <xdr:col>42</xdr:col>
      <xdr:colOff>0</xdr:colOff>
      <xdr:row>149</xdr:row>
      <xdr:rowOff>0</xdr:rowOff>
    </xdr:to>
    <xdr:grpSp>
      <xdr:nvGrpSpPr>
        <xdr:cNvPr id="196" name="コメント: 番号付き注記（ルートA）">
          <a:extLst>
            <a:ext uri="{FF2B5EF4-FFF2-40B4-BE49-F238E27FC236}">
              <a16:creationId xmlns:a16="http://schemas.microsoft.com/office/drawing/2014/main" id="{00000000-0008-0000-0400-0000C4000000}"/>
            </a:ext>
          </a:extLst>
        </xdr:cNvPr>
        <xdr:cNvGrpSpPr/>
      </xdr:nvGrpSpPr>
      <xdr:grpSpPr>
        <a:xfrm>
          <a:off x="6858000" y="26670000"/>
          <a:ext cx="1143000" cy="333375"/>
          <a:chOff x="6858000" y="28003500"/>
          <a:chExt cx="1143000" cy="381000"/>
        </a:xfrm>
      </xdr:grpSpPr>
      <xdr:sp macro="" textlink="">
        <xdr:nvSpPr>
          <xdr:cNvPr id="194" name="番号">
            <a:extLst>
              <a:ext uri="{FF2B5EF4-FFF2-40B4-BE49-F238E27FC236}">
                <a16:creationId xmlns:a16="http://schemas.microsoft.com/office/drawing/2014/main" id="{00000000-0008-0000-0400-0000C2000000}"/>
              </a:ext>
            </a:extLst>
          </xdr:cNvPr>
          <xdr:cNvSpPr/>
        </xdr:nvSpPr>
        <xdr:spPr>
          <a:xfrm>
            <a:off x="6858000" y="28098750"/>
            <a:ext cx="190500" cy="190500"/>
          </a:xfrm>
          <a:prstGeom prst="ellipse">
            <a:avLst/>
          </a:prstGeom>
          <a:solidFill>
            <a:srgbClr val="315C92"/>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1</a:t>
            </a:r>
            <a:endParaRPr lang="ja-JP" altLang="en-US" sz="750" dirty="0">
              <a:latin typeface="Meiryo UI"/>
              <a:ea typeface="Meiryo UI"/>
            </a:endParaRPr>
          </a:p>
        </xdr:txBody>
      </xdr:sp>
      <xdr:sp macro="" textlink="">
        <xdr:nvSpPr>
          <xdr:cNvPr id="195" name="本文">
            <a:extLst>
              <a:ext uri="{FF2B5EF4-FFF2-40B4-BE49-F238E27FC236}">
                <a16:creationId xmlns:a16="http://schemas.microsoft.com/office/drawing/2014/main" id="{00000000-0008-0000-0400-0000C3000000}"/>
              </a:ext>
            </a:extLst>
          </xdr:cNvPr>
          <xdr:cNvSpPr/>
        </xdr:nvSpPr>
        <xdr:spPr>
          <a:xfrm>
            <a:off x="7105650" y="28003500"/>
            <a:ext cx="895350" cy="381000"/>
          </a:xfrm>
          <a:custGeom>
            <a:avLst/>
            <a:gdLst>
              <a:gd name="x1" fmla="*/ w 1 4"/>
              <a:gd name="x2" fmla="*/ w 1 2"/>
              <a:gd name="x3" fmla="*/ w 3 4"/>
              <a:gd name="y1" fmla="*/ h 1 4"/>
              <a:gd name="y2" fmla="*/ h 1 2"/>
              <a:gd name="y3" fmla="*/ h 3 4"/>
              <a:gd name="smin" fmla="min w h"/>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r" y="t"/>
                </a:lnTo>
                <a:lnTo>
                  <a:pt x="r" y="b"/>
                </a:lnTo>
                <a:lnTo>
                  <a:pt x="l" y="b"/>
                </a:lnTo>
                <a:close/>
              </a:path>
            </a:pathLst>
          </a:custGeom>
          <a:noFill/>
          <a:ln>
            <a:noFill/>
          </a:ln>
        </xdr:spPr>
        <xdr:txBody>
          <a:bodyPr vertOverflow="overflow" horzOverflow="overflow" wrap="square" lIns="25400" tIns="0" rIns="25400" bIns="0" rtlCol="0" anchor="ctr">
            <a:noAutofit/>
          </a:bodyPr>
          <a:lstStyle/>
          <a:p>
            <a:pPr algn="l"/>
            <a:r>
              <a:rPr lang="ja-JP" altLang="en-US" sz="800" b="0" dirty="0">
                <a:solidFill>
                  <a:srgbClr val="404040"/>
                </a:solidFill>
                <a:latin typeface="Meiryo UI"/>
                <a:ea typeface="Meiryo UI"/>
                <a:cs typeface="Meiryo UI"/>
              </a:rPr>
              <a:t>番号付きの注記</a:t>
            </a:r>
            <a:endParaRPr lang="ja-JP" altLang="en-US" sz="800" dirty="0">
              <a:latin typeface="Meiryo UI"/>
              <a:ea typeface="Meiryo UI"/>
            </a:endParaRPr>
          </a:p>
        </xdr:txBody>
      </xdr:sp>
    </xdr:grpSp>
    <xdr:clientData/>
  </xdr:twoCellAnchor>
  <xdr:twoCellAnchor editAs="oneCell">
    <xdr:from>
      <xdr:col>43</xdr:col>
      <xdr:colOff>0</xdr:colOff>
      <xdr:row>146</xdr:row>
      <xdr:rowOff>0</xdr:rowOff>
    </xdr:from>
    <xdr:to>
      <xdr:col>51</xdr:col>
      <xdr:colOff>0</xdr:colOff>
      <xdr:row>150</xdr:row>
      <xdr:rowOff>0</xdr:rowOff>
    </xdr:to>
    <xdr:sp macro="" textlink="">
      <xdr:nvSpPr>
        <xdr:cNvPr id="197" name="コメント: 付箋（ルートB）">
          <a:extLst>
            <a:ext uri="{FF2B5EF4-FFF2-40B4-BE49-F238E27FC236}">
              <a16:creationId xmlns:a16="http://schemas.microsoft.com/office/drawing/2014/main" id="{00000000-0008-0000-0400-0000C5000000}"/>
            </a:ext>
          </a:extLst>
        </xdr:cNvPr>
        <xdr:cNvSpPr/>
      </xdr:nvSpPr>
      <xdr:spPr>
        <a:xfrm>
          <a:off x="8191500" y="27813000"/>
          <a:ext cx="1524000" cy="762000"/>
        </a:xfrm>
        <a:custGeom>
          <a:avLst/>
          <a:gdLst>
            <a:gd name="x1" fmla="*/ w 1 4"/>
            <a:gd name="x2" fmla="*/ w 1 2"/>
            <a:gd name="x3" fmla="*/ w 3 4"/>
            <a:gd name="y1" fmla="*/ h 1 4"/>
            <a:gd name="y2" fmla="*/ h 1 2"/>
            <a:gd name="y3" fmla="*/ h 3 4"/>
            <a:gd name="smin" fmla="min w h"/>
            <a:gd name="fq" fmla="*/ smin 1 4"/>
            <a:gd name="f" fmla="min 114300 fq"/>
            <a:gd name="fx" fmla="+- r 0 f"/>
            <a:gd name="fy" fmla="+- b 0 f"/>
            <a:gd name="d5" fmla="*/ f 1 5"/>
            <a:gd name="x2b" fmla="+- fx d5 0"/>
            <a:gd name="y2b" fmla="+- fy d5 0"/>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stroke="0">
              <a:moveTo>
                <a:pt x="l" y="t"/>
              </a:moveTo>
              <a:lnTo>
                <a:pt x="r" y="t"/>
              </a:lnTo>
              <a:lnTo>
                <a:pt x="r" y="fy"/>
              </a:lnTo>
              <a:lnTo>
                <a:pt x="fx" y="b"/>
              </a:lnTo>
              <a:lnTo>
                <a:pt x="l" y="b"/>
              </a:lnTo>
              <a:close/>
            </a:path>
            <a:path fill="darkenLess" stroke="0" extrusionOk="0">
              <a:moveTo>
                <a:pt x="fx" y="b"/>
              </a:moveTo>
              <a:lnTo>
                <a:pt x="x2b" y="y2b"/>
              </a:lnTo>
              <a:lnTo>
                <a:pt x="r" y="fy"/>
              </a:lnTo>
              <a:close/>
            </a:path>
            <a:path fill="none" extrusionOk="0">
              <a:moveTo>
                <a:pt x="fx" y="b"/>
              </a:moveTo>
              <a:lnTo>
                <a:pt x="x2b" y="y2b"/>
              </a:lnTo>
              <a:lnTo>
                <a:pt x="r" y="fy"/>
              </a:lnTo>
              <a:lnTo>
                <a:pt x="fx" y="b"/>
              </a:lnTo>
              <a:lnTo>
                <a:pt x="l" y="b"/>
              </a:lnTo>
              <a:lnTo>
                <a:pt x="l" y="t"/>
              </a:lnTo>
              <a:lnTo>
                <a:pt x="r" y="t"/>
              </a:lnTo>
              <a:lnTo>
                <a:pt x="r" y="fy"/>
              </a:lnTo>
            </a:path>
          </a:pathLst>
        </a:custGeom>
        <a:solidFill>
          <a:srgbClr val="E3F5EF"/>
        </a:solidFill>
        <a:ln w="9525" cap="flat">
          <a:solidFill>
            <a:srgbClr val="B0DCCF"/>
          </a:solidFill>
          <a:round/>
        </a:ln>
      </xdr:spPr>
      <xdr:txBody>
        <a:bodyPr vertOverflow="overflow" horzOverflow="overflow" wrap="square" lIns="76200" tIns="50800" rIns="76200" bIns="38100" rtlCol="0" anchor="t">
          <a:noAutofit/>
        </a:bodyPr>
        <a:lstStyle/>
        <a:p>
          <a:pPr algn="l"/>
          <a:r>
            <a:rPr lang="ja-JP" altLang="en-US" sz="800" b="1" dirty="0">
              <a:solidFill>
                <a:srgbClr val="005243"/>
              </a:solidFill>
              <a:latin typeface="Meiryo UI"/>
              <a:ea typeface="Meiryo UI"/>
              <a:cs typeface="Meiryo UI"/>
            </a:rPr>
            <a:t>確認事項</a:t>
          </a:r>
          <a:endParaRPr lang="ja-JP" altLang="en-US" sz="800" dirty="0">
            <a:latin typeface="Meiryo UI"/>
            <a:ea typeface="Meiryo UI"/>
          </a:endParaRPr>
        </a:p>
        <a:p>
          <a:pPr algn="l">
            <a:spcBef>
              <a:spcPts val="100"/>
            </a:spcBef>
          </a:pPr>
          <a:r>
            <a:rPr lang="ja-JP" altLang="en-US" sz="800" b="0" dirty="0">
              <a:solidFill>
                <a:srgbClr val="404040"/>
              </a:solidFill>
              <a:latin typeface="Meiryo UI"/>
              <a:ea typeface="Meiryo UI"/>
              <a:cs typeface="Meiryo UI"/>
            </a:rPr>
            <a:t>検討中・TODO</a:t>
          </a:r>
          <a:endParaRPr lang="ja-JP" altLang="en-US" sz="800" dirty="0">
            <a:latin typeface="Meiryo UI"/>
            <a:ea typeface="Meiryo UI"/>
          </a:endParaRPr>
        </a:p>
      </xdr:txBody>
    </xdr:sp>
    <xdr:clientData/>
  </xdr:twoCellAnchor>
  <xdr:twoCellAnchor editAs="oneCell">
    <xdr:from>
      <xdr:col>52</xdr:col>
      <xdr:colOff>0</xdr:colOff>
      <xdr:row>147</xdr:row>
      <xdr:rowOff>0</xdr:rowOff>
    </xdr:from>
    <xdr:to>
      <xdr:col>58</xdr:col>
      <xdr:colOff>0</xdr:colOff>
      <xdr:row>149</xdr:row>
      <xdr:rowOff>0</xdr:rowOff>
    </xdr:to>
    <xdr:grpSp>
      <xdr:nvGrpSpPr>
        <xdr:cNvPr id="200" name="コメント: 番号付き注記（ルートB）">
          <a:extLst>
            <a:ext uri="{FF2B5EF4-FFF2-40B4-BE49-F238E27FC236}">
              <a16:creationId xmlns:a16="http://schemas.microsoft.com/office/drawing/2014/main" id="{00000000-0008-0000-0400-0000C8000000}"/>
            </a:ext>
          </a:extLst>
        </xdr:cNvPr>
        <xdr:cNvGrpSpPr/>
      </xdr:nvGrpSpPr>
      <xdr:grpSpPr>
        <a:xfrm>
          <a:off x="9906000" y="26670000"/>
          <a:ext cx="1143000" cy="333375"/>
          <a:chOff x="9906000" y="28003500"/>
          <a:chExt cx="1143000" cy="381000"/>
        </a:xfrm>
      </xdr:grpSpPr>
      <xdr:sp macro="" textlink="">
        <xdr:nvSpPr>
          <xdr:cNvPr id="198" name="番号">
            <a:extLst>
              <a:ext uri="{FF2B5EF4-FFF2-40B4-BE49-F238E27FC236}">
                <a16:creationId xmlns:a16="http://schemas.microsoft.com/office/drawing/2014/main" id="{00000000-0008-0000-0400-0000C6000000}"/>
              </a:ext>
            </a:extLst>
          </xdr:cNvPr>
          <xdr:cNvSpPr/>
        </xdr:nvSpPr>
        <xdr:spPr>
          <a:xfrm>
            <a:off x="9906000" y="28098750"/>
            <a:ext cx="190500" cy="190500"/>
          </a:xfrm>
          <a:prstGeom prst="ellipse">
            <a:avLst/>
          </a:prstGeom>
          <a:solidFill>
            <a:srgbClr val="247966"/>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1</a:t>
            </a:r>
            <a:endParaRPr lang="ja-JP" altLang="en-US" sz="750" dirty="0">
              <a:latin typeface="Meiryo UI"/>
              <a:ea typeface="Meiryo UI"/>
            </a:endParaRPr>
          </a:p>
        </xdr:txBody>
      </xdr:sp>
      <xdr:sp macro="" textlink="">
        <xdr:nvSpPr>
          <xdr:cNvPr id="199" name="本文">
            <a:extLst>
              <a:ext uri="{FF2B5EF4-FFF2-40B4-BE49-F238E27FC236}">
                <a16:creationId xmlns:a16="http://schemas.microsoft.com/office/drawing/2014/main" id="{00000000-0008-0000-0400-0000C7000000}"/>
              </a:ext>
            </a:extLst>
          </xdr:cNvPr>
          <xdr:cNvSpPr/>
        </xdr:nvSpPr>
        <xdr:spPr>
          <a:xfrm>
            <a:off x="10153650" y="28003500"/>
            <a:ext cx="895350" cy="381000"/>
          </a:xfrm>
          <a:custGeom>
            <a:avLst/>
            <a:gdLst>
              <a:gd name="x1" fmla="*/ w 1 4"/>
              <a:gd name="x2" fmla="*/ w 1 2"/>
              <a:gd name="x3" fmla="*/ w 3 4"/>
              <a:gd name="y1" fmla="*/ h 1 4"/>
              <a:gd name="y2" fmla="*/ h 1 2"/>
              <a:gd name="y3" fmla="*/ h 3 4"/>
              <a:gd name="smin" fmla="min w h"/>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r" y="t"/>
                </a:lnTo>
                <a:lnTo>
                  <a:pt x="r" y="b"/>
                </a:lnTo>
                <a:lnTo>
                  <a:pt x="l" y="b"/>
                </a:lnTo>
                <a:close/>
              </a:path>
            </a:pathLst>
          </a:custGeom>
          <a:noFill/>
          <a:ln>
            <a:noFill/>
          </a:ln>
        </xdr:spPr>
        <xdr:txBody>
          <a:bodyPr vertOverflow="overflow" horzOverflow="overflow" wrap="square" lIns="25400" tIns="0" rIns="25400" bIns="0" rtlCol="0" anchor="ctr">
            <a:noAutofit/>
          </a:bodyPr>
          <a:lstStyle/>
          <a:p>
            <a:pPr algn="l"/>
            <a:r>
              <a:rPr lang="ja-JP" altLang="en-US" sz="800" b="0" dirty="0">
                <a:solidFill>
                  <a:srgbClr val="404040"/>
                </a:solidFill>
                <a:latin typeface="Meiryo UI"/>
                <a:ea typeface="Meiryo UI"/>
                <a:cs typeface="Meiryo UI"/>
              </a:rPr>
              <a:t>番号付きの注記</a:t>
            </a:r>
            <a:endParaRPr lang="ja-JP" altLang="en-US" sz="800" dirty="0">
              <a:latin typeface="Meiryo UI"/>
              <a:ea typeface="Meiryo UI"/>
            </a:endParaRPr>
          </a:p>
        </xdr:txBody>
      </xdr:sp>
    </xdr:grpSp>
    <xdr:clientData/>
  </xdr:twoCellAnchor>
  <xdr:twoCellAnchor editAs="oneCell">
    <xdr:from>
      <xdr:col>59</xdr:col>
      <xdr:colOff>0</xdr:colOff>
      <xdr:row>146</xdr:row>
      <xdr:rowOff>0</xdr:rowOff>
    </xdr:from>
    <xdr:to>
      <xdr:col>67</xdr:col>
      <xdr:colOff>0</xdr:colOff>
      <xdr:row>150</xdr:row>
      <xdr:rowOff>0</xdr:rowOff>
    </xdr:to>
    <xdr:sp macro="" textlink="">
      <xdr:nvSpPr>
        <xdr:cNvPr id="201" name="コメント: 付箋（ルートC）">
          <a:extLst>
            <a:ext uri="{FF2B5EF4-FFF2-40B4-BE49-F238E27FC236}">
              <a16:creationId xmlns:a16="http://schemas.microsoft.com/office/drawing/2014/main" id="{00000000-0008-0000-0400-0000C9000000}"/>
            </a:ext>
          </a:extLst>
        </xdr:cNvPr>
        <xdr:cNvSpPr/>
      </xdr:nvSpPr>
      <xdr:spPr>
        <a:xfrm>
          <a:off x="11239500" y="27813000"/>
          <a:ext cx="1524000" cy="762000"/>
        </a:xfrm>
        <a:custGeom>
          <a:avLst/>
          <a:gdLst>
            <a:gd name="x1" fmla="*/ w 1 4"/>
            <a:gd name="x2" fmla="*/ w 1 2"/>
            <a:gd name="x3" fmla="*/ w 3 4"/>
            <a:gd name="y1" fmla="*/ h 1 4"/>
            <a:gd name="y2" fmla="*/ h 1 2"/>
            <a:gd name="y3" fmla="*/ h 3 4"/>
            <a:gd name="smin" fmla="min w h"/>
            <a:gd name="fq" fmla="*/ smin 1 4"/>
            <a:gd name="f" fmla="min 114300 fq"/>
            <a:gd name="fx" fmla="+- r 0 f"/>
            <a:gd name="fy" fmla="+- b 0 f"/>
            <a:gd name="d5" fmla="*/ f 1 5"/>
            <a:gd name="x2b" fmla="+- fx d5 0"/>
            <a:gd name="y2b" fmla="+- fy d5 0"/>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stroke="0">
              <a:moveTo>
                <a:pt x="l" y="t"/>
              </a:moveTo>
              <a:lnTo>
                <a:pt x="r" y="t"/>
              </a:lnTo>
              <a:lnTo>
                <a:pt x="r" y="fy"/>
              </a:lnTo>
              <a:lnTo>
                <a:pt x="fx" y="b"/>
              </a:lnTo>
              <a:lnTo>
                <a:pt x="l" y="b"/>
              </a:lnTo>
              <a:close/>
            </a:path>
            <a:path fill="darkenLess" stroke="0" extrusionOk="0">
              <a:moveTo>
                <a:pt x="fx" y="b"/>
              </a:moveTo>
              <a:lnTo>
                <a:pt x="x2b" y="y2b"/>
              </a:lnTo>
              <a:lnTo>
                <a:pt x="r" y="fy"/>
              </a:lnTo>
              <a:close/>
            </a:path>
            <a:path fill="none" extrusionOk="0">
              <a:moveTo>
                <a:pt x="fx" y="b"/>
              </a:moveTo>
              <a:lnTo>
                <a:pt x="x2b" y="y2b"/>
              </a:lnTo>
              <a:lnTo>
                <a:pt x="r" y="fy"/>
              </a:lnTo>
              <a:lnTo>
                <a:pt x="fx" y="b"/>
              </a:lnTo>
              <a:lnTo>
                <a:pt x="l" y="b"/>
              </a:lnTo>
              <a:lnTo>
                <a:pt x="l" y="t"/>
              </a:lnTo>
              <a:lnTo>
                <a:pt x="r" y="t"/>
              </a:lnTo>
              <a:lnTo>
                <a:pt x="r" y="fy"/>
              </a:lnTo>
            </a:path>
          </a:pathLst>
        </a:custGeom>
        <a:solidFill>
          <a:srgbClr val="FDECE4"/>
        </a:solidFill>
        <a:ln w="9525" cap="flat">
          <a:solidFill>
            <a:srgbClr val="EEC8B5"/>
          </a:solidFill>
          <a:round/>
        </a:ln>
      </xdr:spPr>
      <xdr:txBody>
        <a:bodyPr vertOverflow="overflow" horzOverflow="overflow" wrap="square" lIns="76200" tIns="50800" rIns="76200" bIns="38100" rtlCol="0" anchor="t">
          <a:noAutofit/>
        </a:bodyPr>
        <a:lstStyle/>
        <a:p>
          <a:pPr algn="l"/>
          <a:r>
            <a:rPr lang="ja-JP" altLang="en-US" sz="800" b="1" dirty="0">
              <a:solidFill>
                <a:srgbClr val="954717"/>
              </a:solidFill>
              <a:latin typeface="Meiryo UI"/>
              <a:ea typeface="Meiryo UI"/>
              <a:cs typeface="Meiryo UI"/>
            </a:rPr>
            <a:t>確認事項</a:t>
          </a:r>
          <a:endParaRPr lang="ja-JP" altLang="en-US" sz="800" dirty="0">
            <a:latin typeface="Meiryo UI"/>
            <a:ea typeface="Meiryo UI"/>
          </a:endParaRPr>
        </a:p>
        <a:p>
          <a:pPr algn="l">
            <a:spcBef>
              <a:spcPts val="100"/>
            </a:spcBef>
          </a:pPr>
          <a:r>
            <a:rPr lang="ja-JP" altLang="en-US" sz="800" b="0" dirty="0">
              <a:solidFill>
                <a:srgbClr val="404040"/>
              </a:solidFill>
              <a:latin typeface="Meiryo UI"/>
              <a:ea typeface="Meiryo UI"/>
              <a:cs typeface="Meiryo UI"/>
            </a:rPr>
            <a:t>検討中・TODO</a:t>
          </a:r>
          <a:endParaRPr lang="ja-JP" altLang="en-US" sz="800" dirty="0">
            <a:latin typeface="Meiryo UI"/>
            <a:ea typeface="Meiryo UI"/>
          </a:endParaRPr>
        </a:p>
      </xdr:txBody>
    </xdr:sp>
    <xdr:clientData/>
  </xdr:twoCellAnchor>
  <xdr:twoCellAnchor editAs="oneCell">
    <xdr:from>
      <xdr:col>68</xdr:col>
      <xdr:colOff>0</xdr:colOff>
      <xdr:row>147</xdr:row>
      <xdr:rowOff>0</xdr:rowOff>
    </xdr:from>
    <xdr:to>
      <xdr:col>74</xdr:col>
      <xdr:colOff>0</xdr:colOff>
      <xdr:row>149</xdr:row>
      <xdr:rowOff>0</xdr:rowOff>
    </xdr:to>
    <xdr:grpSp>
      <xdr:nvGrpSpPr>
        <xdr:cNvPr id="204" name="コメント: 番号付き注記（ルートC）">
          <a:extLst>
            <a:ext uri="{FF2B5EF4-FFF2-40B4-BE49-F238E27FC236}">
              <a16:creationId xmlns:a16="http://schemas.microsoft.com/office/drawing/2014/main" id="{00000000-0008-0000-0400-0000CC000000}"/>
            </a:ext>
          </a:extLst>
        </xdr:cNvPr>
        <xdr:cNvGrpSpPr/>
      </xdr:nvGrpSpPr>
      <xdr:grpSpPr>
        <a:xfrm>
          <a:off x="12954000" y="26670000"/>
          <a:ext cx="1143000" cy="333375"/>
          <a:chOff x="12954000" y="28003500"/>
          <a:chExt cx="1143000" cy="381000"/>
        </a:xfrm>
      </xdr:grpSpPr>
      <xdr:sp macro="" textlink="">
        <xdr:nvSpPr>
          <xdr:cNvPr id="202" name="番号">
            <a:extLst>
              <a:ext uri="{FF2B5EF4-FFF2-40B4-BE49-F238E27FC236}">
                <a16:creationId xmlns:a16="http://schemas.microsoft.com/office/drawing/2014/main" id="{00000000-0008-0000-0400-0000CA000000}"/>
              </a:ext>
            </a:extLst>
          </xdr:cNvPr>
          <xdr:cNvSpPr/>
        </xdr:nvSpPr>
        <xdr:spPr>
          <a:xfrm>
            <a:off x="12954000" y="28098750"/>
            <a:ext cx="190500" cy="190500"/>
          </a:xfrm>
          <a:prstGeom prst="ellipse">
            <a:avLst/>
          </a:prstGeom>
          <a:solidFill>
            <a:srgbClr val="C46B39"/>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1</a:t>
            </a:r>
            <a:endParaRPr lang="ja-JP" altLang="en-US" sz="750" dirty="0">
              <a:latin typeface="Meiryo UI"/>
              <a:ea typeface="Meiryo UI"/>
            </a:endParaRPr>
          </a:p>
        </xdr:txBody>
      </xdr:sp>
      <xdr:sp macro="" textlink="">
        <xdr:nvSpPr>
          <xdr:cNvPr id="203" name="本文">
            <a:extLst>
              <a:ext uri="{FF2B5EF4-FFF2-40B4-BE49-F238E27FC236}">
                <a16:creationId xmlns:a16="http://schemas.microsoft.com/office/drawing/2014/main" id="{00000000-0008-0000-0400-0000CB000000}"/>
              </a:ext>
            </a:extLst>
          </xdr:cNvPr>
          <xdr:cNvSpPr/>
        </xdr:nvSpPr>
        <xdr:spPr>
          <a:xfrm>
            <a:off x="13201650" y="28003500"/>
            <a:ext cx="895350" cy="381000"/>
          </a:xfrm>
          <a:custGeom>
            <a:avLst/>
            <a:gdLst>
              <a:gd name="x1" fmla="*/ w 1 4"/>
              <a:gd name="x2" fmla="*/ w 1 2"/>
              <a:gd name="x3" fmla="*/ w 3 4"/>
              <a:gd name="y1" fmla="*/ h 1 4"/>
              <a:gd name="y2" fmla="*/ h 1 2"/>
              <a:gd name="y3" fmla="*/ h 3 4"/>
              <a:gd name="smin" fmla="min w h"/>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l" y="t"/>
                </a:moveTo>
                <a:lnTo>
                  <a:pt x="r" y="t"/>
                </a:lnTo>
                <a:lnTo>
                  <a:pt x="r" y="b"/>
                </a:lnTo>
                <a:lnTo>
                  <a:pt x="l" y="b"/>
                </a:lnTo>
                <a:close/>
              </a:path>
            </a:pathLst>
          </a:custGeom>
          <a:noFill/>
          <a:ln>
            <a:noFill/>
          </a:ln>
        </xdr:spPr>
        <xdr:txBody>
          <a:bodyPr vertOverflow="overflow" horzOverflow="overflow" wrap="square" lIns="25400" tIns="0" rIns="25400" bIns="0" rtlCol="0" anchor="ctr">
            <a:noAutofit/>
          </a:bodyPr>
          <a:lstStyle/>
          <a:p>
            <a:pPr algn="l"/>
            <a:r>
              <a:rPr lang="ja-JP" altLang="en-US" sz="800" b="0" dirty="0">
                <a:solidFill>
                  <a:srgbClr val="404040"/>
                </a:solidFill>
                <a:latin typeface="Meiryo UI"/>
                <a:ea typeface="Meiryo UI"/>
                <a:cs typeface="Meiryo UI"/>
              </a:rPr>
              <a:t>番号付きの注記</a:t>
            </a:r>
            <a:endParaRPr lang="ja-JP" altLang="en-US" sz="800" dirty="0">
              <a:latin typeface="Meiryo UI"/>
              <a:ea typeface="Meiryo UI"/>
            </a:endParaRPr>
          </a:p>
        </xdr:txBody>
      </xdr:sp>
    </xdr:grpSp>
    <xdr:clientData/>
  </xdr:twoCellAnchor>
  <xdr:twoCellAnchor editAs="oneCell">
    <xdr:from>
      <xdr:col>11</xdr:col>
      <xdr:colOff>0</xdr:colOff>
      <xdr:row>157</xdr:row>
      <xdr:rowOff>0</xdr:rowOff>
    </xdr:from>
    <xdr:to>
      <xdr:col>13</xdr:col>
      <xdr:colOff>0</xdr:colOff>
      <xdr:row>158</xdr:row>
      <xdr:rowOff>0</xdr:rowOff>
    </xdr:to>
    <xdr:sp macro="" textlink="">
      <xdr:nvSpPr>
        <xdr:cNvPr id="205" name="番号: 1（共通）">
          <a:extLst>
            <a:ext uri="{FF2B5EF4-FFF2-40B4-BE49-F238E27FC236}">
              <a16:creationId xmlns:a16="http://schemas.microsoft.com/office/drawing/2014/main" id="{00000000-0008-0000-0400-0000CD000000}"/>
            </a:ext>
          </a:extLst>
        </xdr:cNvPr>
        <xdr:cNvSpPr/>
      </xdr:nvSpPr>
      <xdr:spPr>
        <a:xfrm>
          <a:off x="2095500" y="29908500"/>
          <a:ext cx="381000" cy="190500"/>
        </a:xfrm>
        <a:prstGeom prst="roundRect">
          <a:avLst>
            <a:gd name="adj" fmla="val 50000"/>
          </a:avLst>
        </a:prstGeom>
        <a:solidFill>
          <a:srgbClr val="404040"/>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1</a:t>
          </a:r>
          <a:endParaRPr lang="ja-JP" altLang="en-US" sz="750" dirty="0">
            <a:latin typeface="Meiryo UI"/>
            <a:ea typeface="Meiryo UI"/>
          </a:endParaRPr>
        </a:p>
      </xdr:txBody>
    </xdr:sp>
    <xdr:clientData/>
  </xdr:twoCellAnchor>
  <xdr:twoCellAnchor editAs="oneCell">
    <xdr:from>
      <xdr:col>14</xdr:col>
      <xdr:colOff>0</xdr:colOff>
      <xdr:row>157</xdr:row>
      <xdr:rowOff>0</xdr:rowOff>
    </xdr:from>
    <xdr:to>
      <xdr:col>16</xdr:col>
      <xdr:colOff>0</xdr:colOff>
      <xdr:row>158</xdr:row>
      <xdr:rowOff>0</xdr:rowOff>
    </xdr:to>
    <xdr:sp macro="" textlink="">
      <xdr:nvSpPr>
        <xdr:cNvPr id="206" name="番号: 2（共通）">
          <a:extLst>
            <a:ext uri="{FF2B5EF4-FFF2-40B4-BE49-F238E27FC236}">
              <a16:creationId xmlns:a16="http://schemas.microsoft.com/office/drawing/2014/main" id="{00000000-0008-0000-0400-0000CE000000}"/>
            </a:ext>
          </a:extLst>
        </xdr:cNvPr>
        <xdr:cNvSpPr/>
      </xdr:nvSpPr>
      <xdr:spPr>
        <a:xfrm>
          <a:off x="2667000" y="29908500"/>
          <a:ext cx="381000" cy="190500"/>
        </a:xfrm>
        <a:prstGeom prst="roundRect">
          <a:avLst>
            <a:gd name="adj" fmla="val 50000"/>
          </a:avLst>
        </a:prstGeom>
        <a:solidFill>
          <a:srgbClr val="404040"/>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2</a:t>
          </a:r>
          <a:endParaRPr lang="ja-JP" altLang="en-US" sz="750" dirty="0">
            <a:latin typeface="Meiryo UI"/>
            <a:ea typeface="Meiryo UI"/>
          </a:endParaRPr>
        </a:p>
      </xdr:txBody>
    </xdr:sp>
    <xdr:clientData/>
  </xdr:twoCellAnchor>
  <xdr:twoCellAnchor editAs="oneCell">
    <xdr:from>
      <xdr:col>17</xdr:col>
      <xdr:colOff>0</xdr:colOff>
      <xdr:row>157</xdr:row>
      <xdr:rowOff>0</xdr:rowOff>
    </xdr:from>
    <xdr:to>
      <xdr:col>19</xdr:col>
      <xdr:colOff>0</xdr:colOff>
      <xdr:row>158</xdr:row>
      <xdr:rowOff>0</xdr:rowOff>
    </xdr:to>
    <xdr:sp macro="" textlink="">
      <xdr:nvSpPr>
        <xdr:cNvPr id="207" name="番号: 3（共通）">
          <a:extLst>
            <a:ext uri="{FF2B5EF4-FFF2-40B4-BE49-F238E27FC236}">
              <a16:creationId xmlns:a16="http://schemas.microsoft.com/office/drawing/2014/main" id="{00000000-0008-0000-0400-0000CF000000}"/>
            </a:ext>
          </a:extLst>
        </xdr:cNvPr>
        <xdr:cNvSpPr/>
      </xdr:nvSpPr>
      <xdr:spPr>
        <a:xfrm>
          <a:off x="3238500" y="29908500"/>
          <a:ext cx="381000" cy="190500"/>
        </a:xfrm>
        <a:prstGeom prst="roundRect">
          <a:avLst>
            <a:gd name="adj" fmla="val 50000"/>
          </a:avLst>
        </a:prstGeom>
        <a:solidFill>
          <a:srgbClr val="404040"/>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3</a:t>
          </a:r>
          <a:endParaRPr lang="ja-JP" altLang="en-US" sz="750" dirty="0">
            <a:latin typeface="Meiryo UI"/>
            <a:ea typeface="Meiryo UI"/>
          </a:endParaRPr>
        </a:p>
      </xdr:txBody>
    </xdr:sp>
    <xdr:clientData/>
  </xdr:twoCellAnchor>
  <xdr:twoCellAnchor editAs="oneCell">
    <xdr:from>
      <xdr:col>20</xdr:col>
      <xdr:colOff>0</xdr:colOff>
      <xdr:row>157</xdr:row>
      <xdr:rowOff>0</xdr:rowOff>
    </xdr:from>
    <xdr:to>
      <xdr:col>22</xdr:col>
      <xdr:colOff>0</xdr:colOff>
      <xdr:row>158</xdr:row>
      <xdr:rowOff>0</xdr:rowOff>
    </xdr:to>
    <xdr:sp macro="" textlink="">
      <xdr:nvSpPr>
        <xdr:cNvPr id="208" name="番号: 4（共通）">
          <a:extLst>
            <a:ext uri="{FF2B5EF4-FFF2-40B4-BE49-F238E27FC236}">
              <a16:creationId xmlns:a16="http://schemas.microsoft.com/office/drawing/2014/main" id="{00000000-0008-0000-0400-0000D0000000}"/>
            </a:ext>
          </a:extLst>
        </xdr:cNvPr>
        <xdr:cNvSpPr/>
      </xdr:nvSpPr>
      <xdr:spPr>
        <a:xfrm>
          <a:off x="3810000" y="29908500"/>
          <a:ext cx="381000" cy="190500"/>
        </a:xfrm>
        <a:prstGeom prst="roundRect">
          <a:avLst>
            <a:gd name="adj" fmla="val 50000"/>
          </a:avLst>
        </a:prstGeom>
        <a:solidFill>
          <a:srgbClr val="404040"/>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4</a:t>
          </a:r>
          <a:endParaRPr lang="ja-JP" altLang="en-US" sz="750" dirty="0">
            <a:latin typeface="Meiryo UI"/>
            <a:ea typeface="Meiryo UI"/>
          </a:endParaRPr>
        </a:p>
      </xdr:txBody>
    </xdr:sp>
    <xdr:clientData/>
  </xdr:twoCellAnchor>
  <xdr:twoCellAnchor editAs="oneCell">
    <xdr:from>
      <xdr:col>27</xdr:col>
      <xdr:colOff>0</xdr:colOff>
      <xdr:row>157</xdr:row>
      <xdr:rowOff>0</xdr:rowOff>
    </xdr:from>
    <xdr:to>
      <xdr:col>29</xdr:col>
      <xdr:colOff>0</xdr:colOff>
      <xdr:row>158</xdr:row>
      <xdr:rowOff>0</xdr:rowOff>
    </xdr:to>
    <xdr:sp macro="" textlink="">
      <xdr:nvSpPr>
        <xdr:cNvPr id="209" name="番号: A1（ルートA）">
          <a:extLst>
            <a:ext uri="{FF2B5EF4-FFF2-40B4-BE49-F238E27FC236}">
              <a16:creationId xmlns:a16="http://schemas.microsoft.com/office/drawing/2014/main" id="{00000000-0008-0000-0400-0000D1000000}"/>
            </a:ext>
          </a:extLst>
        </xdr:cNvPr>
        <xdr:cNvSpPr/>
      </xdr:nvSpPr>
      <xdr:spPr>
        <a:xfrm>
          <a:off x="5143500" y="29908500"/>
          <a:ext cx="381000" cy="190500"/>
        </a:xfrm>
        <a:prstGeom prst="roundRect">
          <a:avLst>
            <a:gd name="adj" fmla="val 50000"/>
          </a:avLst>
        </a:prstGeom>
        <a:solidFill>
          <a:srgbClr val="315C92"/>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A1</a:t>
          </a:r>
          <a:endParaRPr lang="ja-JP" altLang="en-US" sz="750" dirty="0">
            <a:latin typeface="Meiryo UI"/>
            <a:ea typeface="Meiryo UI"/>
          </a:endParaRPr>
        </a:p>
      </xdr:txBody>
    </xdr:sp>
    <xdr:clientData/>
  </xdr:twoCellAnchor>
  <xdr:twoCellAnchor editAs="oneCell">
    <xdr:from>
      <xdr:col>30</xdr:col>
      <xdr:colOff>0</xdr:colOff>
      <xdr:row>157</xdr:row>
      <xdr:rowOff>0</xdr:rowOff>
    </xdr:from>
    <xdr:to>
      <xdr:col>32</xdr:col>
      <xdr:colOff>0</xdr:colOff>
      <xdr:row>158</xdr:row>
      <xdr:rowOff>0</xdr:rowOff>
    </xdr:to>
    <xdr:sp macro="" textlink="">
      <xdr:nvSpPr>
        <xdr:cNvPr id="210" name="番号: A2（ルートA）">
          <a:extLst>
            <a:ext uri="{FF2B5EF4-FFF2-40B4-BE49-F238E27FC236}">
              <a16:creationId xmlns:a16="http://schemas.microsoft.com/office/drawing/2014/main" id="{00000000-0008-0000-0400-0000D2000000}"/>
            </a:ext>
          </a:extLst>
        </xdr:cNvPr>
        <xdr:cNvSpPr/>
      </xdr:nvSpPr>
      <xdr:spPr>
        <a:xfrm>
          <a:off x="5715000" y="29908500"/>
          <a:ext cx="381000" cy="190500"/>
        </a:xfrm>
        <a:prstGeom prst="roundRect">
          <a:avLst>
            <a:gd name="adj" fmla="val 50000"/>
          </a:avLst>
        </a:prstGeom>
        <a:solidFill>
          <a:srgbClr val="315C92"/>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A2</a:t>
          </a:r>
          <a:endParaRPr lang="ja-JP" altLang="en-US" sz="750" dirty="0">
            <a:latin typeface="Meiryo UI"/>
            <a:ea typeface="Meiryo UI"/>
          </a:endParaRPr>
        </a:p>
      </xdr:txBody>
    </xdr:sp>
    <xdr:clientData/>
  </xdr:twoCellAnchor>
  <xdr:twoCellAnchor editAs="oneCell">
    <xdr:from>
      <xdr:col>33</xdr:col>
      <xdr:colOff>0</xdr:colOff>
      <xdr:row>157</xdr:row>
      <xdr:rowOff>0</xdr:rowOff>
    </xdr:from>
    <xdr:to>
      <xdr:col>35</xdr:col>
      <xdr:colOff>0</xdr:colOff>
      <xdr:row>158</xdr:row>
      <xdr:rowOff>0</xdr:rowOff>
    </xdr:to>
    <xdr:sp macro="" textlink="">
      <xdr:nvSpPr>
        <xdr:cNvPr id="211" name="番号: A3（ルートA）">
          <a:extLst>
            <a:ext uri="{FF2B5EF4-FFF2-40B4-BE49-F238E27FC236}">
              <a16:creationId xmlns:a16="http://schemas.microsoft.com/office/drawing/2014/main" id="{00000000-0008-0000-0400-0000D3000000}"/>
            </a:ext>
          </a:extLst>
        </xdr:cNvPr>
        <xdr:cNvSpPr/>
      </xdr:nvSpPr>
      <xdr:spPr>
        <a:xfrm>
          <a:off x="6286500" y="29908500"/>
          <a:ext cx="381000" cy="190500"/>
        </a:xfrm>
        <a:prstGeom prst="roundRect">
          <a:avLst>
            <a:gd name="adj" fmla="val 50000"/>
          </a:avLst>
        </a:prstGeom>
        <a:solidFill>
          <a:srgbClr val="315C92"/>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A3</a:t>
          </a:r>
          <a:endParaRPr lang="ja-JP" altLang="en-US" sz="750" dirty="0">
            <a:latin typeface="Meiryo UI"/>
            <a:ea typeface="Meiryo UI"/>
          </a:endParaRPr>
        </a:p>
      </xdr:txBody>
    </xdr:sp>
    <xdr:clientData/>
  </xdr:twoCellAnchor>
  <xdr:twoCellAnchor editAs="oneCell">
    <xdr:from>
      <xdr:col>36</xdr:col>
      <xdr:colOff>0</xdr:colOff>
      <xdr:row>157</xdr:row>
      <xdr:rowOff>0</xdr:rowOff>
    </xdr:from>
    <xdr:to>
      <xdr:col>38</xdr:col>
      <xdr:colOff>0</xdr:colOff>
      <xdr:row>158</xdr:row>
      <xdr:rowOff>0</xdr:rowOff>
    </xdr:to>
    <xdr:sp macro="" textlink="">
      <xdr:nvSpPr>
        <xdr:cNvPr id="212" name="番号: A4（ルートA）">
          <a:extLst>
            <a:ext uri="{FF2B5EF4-FFF2-40B4-BE49-F238E27FC236}">
              <a16:creationId xmlns:a16="http://schemas.microsoft.com/office/drawing/2014/main" id="{00000000-0008-0000-0400-0000D4000000}"/>
            </a:ext>
          </a:extLst>
        </xdr:cNvPr>
        <xdr:cNvSpPr/>
      </xdr:nvSpPr>
      <xdr:spPr>
        <a:xfrm>
          <a:off x="6858000" y="29908500"/>
          <a:ext cx="381000" cy="190500"/>
        </a:xfrm>
        <a:prstGeom prst="roundRect">
          <a:avLst>
            <a:gd name="adj" fmla="val 50000"/>
          </a:avLst>
        </a:prstGeom>
        <a:solidFill>
          <a:srgbClr val="315C92"/>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A4</a:t>
          </a:r>
          <a:endParaRPr lang="ja-JP" altLang="en-US" sz="750" dirty="0">
            <a:latin typeface="Meiryo UI"/>
            <a:ea typeface="Meiryo UI"/>
          </a:endParaRPr>
        </a:p>
      </xdr:txBody>
    </xdr:sp>
    <xdr:clientData/>
  </xdr:twoCellAnchor>
  <xdr:twoCellAnchor editAs="oneCell">
    <xdr:from>
      <xdr:col>43</xdr:col>
      <xdr:colOff>0</xdr:colOff>
      <xdr:row>157</xdr:row>
      <xdr:rowOff>0</xdr:rowOff>
    </xdr:from>
    <xdr:to>
      <xdr:col>45</xdr:col>
      <xdr:colOff>0</xdr:colOff>
      <xdr:row>158</xdr:row>
      <xdr:rowOff>0</xdr:rowOff>
    </xdr:to>
    <xdr:sp macro="" textlink="">
      <xdr:nvSpPr>
        <xdr:cNvPr id="213" name="番号: B1（ルートB）">
          <a:extLst>
            <a:ext uri="{FF2B5EF4-FFF2-40B4-BE49-F238E27FC236}">
              <a16:creationId xmlns:a16="http://schemas.microsoft.com/office/drawing/2014/main" id="{00000000-0008-0000-0400-0000D5000000}"/>
            </a:ext>
          </a:extLst>
        </xdr:cNvPr>
        <xdr:cNvSpPr/>
      </xdr:nvSpPr>
      <xdr:spPr>
        <a:xfrm>
          <a:off x="8191500" y="29908500"/>
          <a:ext cx="381000" cy="190500"/>
        </a:xfrm>
        <a:prstGeom prst="roundRect">
          <a:avLst>
            <a:gd name="adj" fmla="val 50000"/>
          </a:avLst>
        </a:prstGeom>
        <a:solidFill>
          <a:srgbClr val="247966"/>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B1</a:t>
          </a:r>
          <a:endParaRPr lang="ja-JP" altLang="en-US" sz="750" dirty="0">
            <a:latin typeface="Meiryo UI"/>
            <a:ea typeface="Meiryo UI"/>
          </a:endParaRPr>
        </a:p>
      </xdr:txBody>
    </xdr:sp>
    <xdr:clientData/>
  </xdr:twoCellAnchor>
  <xdr:twoCellAnchor editAs="oneCell">
    <xdr:from>
      <xdr:col>46</xdr:col>
      <xdr:colOff>0</xdr:colOff>
      <xdr:row>157</xdr:row>
      <xdr:rowOff>0</xdr:rowOff>
    </xdr:from>
    <xdr:to>
      <xdr:col>48</xdr:col>
      <xdr:colOff>0</xdr:colOff>
      <xdr:row>158</xdr:row>
      <xdr:rowOff>0</xdr:rowOff>
    </xdr:to>
    <xdr:sp macro="" textlink="">
      <xdr:nvSpPr>
        <xdr:cNvPr id="214" name="番号: B2（ルートB）">
          <a:extLst>
            <a:ext uri="{FF2B5EF4-FFF2-40B4-BE49-F238E27FC236}">
              <a16:creationId xmlns:a16="http://schemas.microsoft.com/office/drawing/2014/main" id="{00000000-0008-0000-0400-0000D6000000}"/>
            </a:ext>
          </a:extLst>
        </xdr:cNvPr>
        <xdr:cNvSpPr/>
      </xdr:nvSpPr>
      <xdr:spPr>
        <a:xfrm>
          <a:off x="8763000" y="29908500"/>
          <a:ext cx="381000" cy="190500"/>
        </a:xfrm>
        <a:prstGeom prst="roundRect">
          <a:avLst>
            <a:gd name="adj" fmla="val 50000"/>
          </a:avLst>
        </a:prstGeom>
        <a:solidFill>
          <a:srgbClr val="247966"/>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B2</a:t>
          </a:r>
          <a:endParaRPr lang="ja-JP" altLang="en-US" sz="750" dirty="0">
            <a:latin typeface="Meiryo UI"/>
            <a:ea typeface="Meiryo UI"/>
          </a:endParaRPr>
        </a:p>
      </xdr:txBody>
    </xdr:sp>
    <xdr:clientData/>
  </xdr:twoCellAnchor>
  <xdr:twoCellAnchor editAs="oneCell">
    <xdr:from>
      <xdr:col>49</xdr:col>
      <xdr:colOff>0</xdr:colOff>
      <xdr:row>157</xdr:row>
      <xdr:rowOff>0</xdr:rowOff>
    </xdr:from>
    <xdr:to>
      <xdr:col>51</xdr:col>
      <xdr:colOff>0</xdr:colOff>
      <xdr:row>158</xdr:row>
      <xdr:rowOff>0</xdr:rowOff>
    </xdr:to>
    <xdr:sp macro="" textlink="">
      <xdr:nvSpPr>
        <xdr:cNvPr id="215" name="番号: B3（ルートB）">
          <a:extLst>
            <a:ext uri="{FF2B5EF4-FFF2-40B4-BE49-F238E27FC236}">
              <a16:creationId xmlns:a16="http://schemas.microsoft.com/office/drawing/2014/main" id="{00000000-0008-0000-0400-0000D7000000}"/>
            </a:ext>
          </a:extLst>
        </xdr:cNvPr>
        <xdr:cNvSpPr/>
      </xdr:nvSpPr>
      <xdr:spPr>
        <a:xfrm>
          <a:off x="9334500" y="29908500"/>
          <a:ext cx="381000" cy="190500"/>
        </a:xfrm>
        <a:prstGeom prst="roundRect">
          <a:avLst>
            <a:gd name="adj" fmla="val 50000"/>
          </a:avLst>
        </a:prstGeom>
        <a:solidFill>
          <a:srgbClr val="247966"/>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B3</a:t>
          </a:r>
          <a:endParaRPr lang="ja-JP" altLang="en-US" sz="750" dirty="0">
            <a:latin typeface="Meiryo UI"/>
            <a:ea typeface="Meiryo UI"/>
          </a:endParaRPr>
        </a:p>
      </xdr:txBody>
    </xdr:sp>
    <xdr:clientData/>
  </xdr:twoCellAnchor>
  <xdr:twoCellAnchor editAs="oneCell">
    <xdr:from>
      <xdr:col>52</xdr:col>
      <xdr:colOff>0</xdr:colOff>
      <xdr:row>157</xdr:row>
      <xdr:rowOff>0</xdr:rowOff>
    </xdr:from>
    <xdr:to>
      <xdr:col>54</xdr:col>
      <xdr:colOff>0</xdr:colOff>
      <xdr:row>158</xdr:row>
      <xdr:rowOff>0</xdr:rowOff>
    </xdr:to>
    <xdr:sp macro="" textlink="">
      <xdr:nvSpPr>
        <xdr:cNvPr id="216" name="番号: B4（ルートB）">
          <a:extLst>
            <a:ext uri="{FF2B5EF4-FFF2-40B4-BE49-F238E27FC236}">
              <a16:creationId xmlns:a16="http://schemas.microsoft.com/office/drawing/2014/main" id="{00000000-0008-0000-0400-0000D8000000}"/>
            </a:ext>
          </a:extLst>
        </xdr:cNvPr>
        <xdr:cNvSpPr/>
      </xdr:nvSpPr>
      <xdr:spPr>
        <a:xfrm>
          <a:off x="9906000" y="29908500"/>
          <a:ext cx="381000" cy="190500"/>
        </a:xfrm>
        <a:prstGeom prst="roundRect">
          <a:avLst>
            <a:gd name="adj" fmla="val 50000"/>
          </a:avLst>
        </a:prstGeom>
        <a:solidFill>
          <a:srgbClr val="247966"/>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B4</a:t>
          </a:r>
          <a:endParaRPr lang="ja-JP" altLang="en-US" sz="750" dirty="0">
            <a:latin typeface="Meiryo UI"/>
            <a:ea typeface="Meiryo UI"/>
          </a:endParaRPr>
        </a:p>
      </xdr:txBody>
    </xdr:sp>
    <xdr:clientData/>
  </xdr:twoCellAnchor>
  <xdr:twoCellAnchor editAs="oneCell">
    <xdr:from>
      <xdr:col>59</xdr:col>
      <xdr:colOff>0</xdr:colOff>
      <xdr:row>157</xdr:row>
      <xdr:rowOff>0</xdr:rowOff>
    </xdr:from>
    <xdr:to>
      <xdr:col>61</xdr:col>
      <xdr:colOff>0</xdr:colOff>
      <xdr:row>158</xdr:row>
      <xdr:rowOff>0</xdr:rowOff>
    </xdr:to>
    <xdr:sp macro="" textlink="">
      <xdr:nvSpPr>
        <xdr:cNvPr id="217" name="番号: C1（ルートC）">
          <a:extLst>
            <a:ext uri="{FF2B5EF4-FFF2-40B4-BE49-F238E27FC236}">
              <a16:creationId xmlns:a16="http://schemas.microsoft.com/office/drawing/2014/main" id="{00000000-0008-0000-0400-0000D9000000}"/>
            </a:ext>
          </a:extLst>
        </xdr:cNvPr>
        <xdr:cNvSpPr/>
      </xdr:nvSpPr>
      <xdr:spPr>
        <a:xfrm>
          <a:off x="11239500" y="29908500"/>
          <a:ext cx="381000" cy="190500"/>
        </a:xfrm>
        <a:prstGeom prst="roundRect">
          <a:avLst>
            <a:gd name="adj" fmla="val 50000"/>
          </a:avLst>
        </a:prstGeom>
        <a:solidFill>
          <a:srgbClr val="C46B39"/>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C1</a:t>
          </a:r>
          <a:endParaRPr lang="ja-JP" altLang="en-US" sz="750" dirty="0">
            <a:latin typeface="Meiryo UI"/>
            <a:ea typeface="Meiryo UI"/>
          </a:endParaRPr>
        </a:p>
      </xdr:txBody>
    </xdr:sp>
    <xdr:clientData/>
  </xdr:twoCellAnchor>
  <xdr:twoCellAnchor editAs="oneCell">
    <xdr:from>
      <xdr:col>62</xdr:col>
      <xdr:colOff>0</xdr:colOff>
      <xdr:row>157</xdr:row>
      <xdr:rowOff>0</xdr:rowOff>
    </xdr:from>
    <xdr:to>
      <xdr:col>64</xdr:col>
      <xdr:colOff>0</xdr:colOff>
      <xdr:row>158</xdr:row>
      <xdr:rowOff>0</xdr:rowOff>
    </xdr:to>
    <xdr:sp macro="" textlink="">
      <xdr:nvSpPr>
        <xdr:cNvPr id="218" name="番号: C2（ルートC）">
          <a:extLst>
            <a:ext uri="{FF2B5EF4-FFF2-40B4-BE49-F238E27FC236}">
              <a16:creationId xmlns:a16="http://schemas.microsoft.com/office/drawing/2014/main" id="{00000000-0008-0000-0400-0000DA000000}"/>
            </a:ext>
          </a:extLst>
        </xdr:cNvPr>
        <xdr:cNvSpPr/>
      </xdr:nvSpPr>
      <xdr:spPr>
        <a:xfrm>
          <a:off x="11811000" y="29908500"/>
          <a:ext cx="381000" cy="190500"/>
        </a:xfrm>
        <a:prstGeom prst="roundRect">
          <a:avLst>
            <a:gd name="adj" fmla="val 50000"/>
          </a:avLst>
        </a:prstGeom>
        <a:solidFill>
          <a:srgbClr val="C46B39"/>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C2</a:t>
          </a:r>
          <a:endParaRPr lang="ja-JP" altLang="en-US" sz="750" dirty="0">
            <a:latin typeface="Meiryo UI"/>
            <a:ea typeface="Meiryo UI"/>
          </a:endParaRPr>
        </a:p>
      </xdr:txBody>
    </xdr:sp>
    <xdr:clientData/>
  </xdr:twoCellAnchor>
  <xdr:twoCellAnchor editAs="oneCell">
    <xdr:from>
      <xdr:col>65</xdr:col>
      <xdr:colOff>0</xdr:colOff>
      <xdr:row>157</xdr:row>
      <xdr:rowOff>0</xdr:rowOff>
    </xdr:from>
    <xdr:to>
      <xdr:col>67</xdr:col>
      <xdr:colOff>0</xdr:colOff>
      <xdr:row>158</xdr:row>
      <xdr:rowOff>0</xdr:rowOff>
    </xdr:to>
    <xdr:sp macro="" textlink="">
      <xdr:nvSpPr>
        <xdr:cNvPr id="219" name="番号: C3（ルートC）">
          <a:extLst>
            <a:ext uri="{FF2B5EF4-FFF2-40B4-BE49-F238E27FC236}">
              <a16:creationId xmlns:a16="http://schemas.microsoft.com/office/drawing/2014/main" id="{00000000-0008-0000-0400-0000DB000000}"/>
            </a:ext>
          </a:extLst>
        </xdr:cNvPr>
        <xdr:cNvSpPr/>
      </xdr:nvSpPr>
      <xdr:spPr>
        <a:xfrm>
          <a:off x="12382500" y="29908500"/>
          <a:ext cx="381000" cy="190500"/>
        </a:xfrm>
        <a:prstGeom prst="roundRect">
          <a:avLst>
            <a:gd name="adj" fmla="val 50000"/>
          </a:avLst>
        </a:prstGeom>
        <a:solidFill>
          <a:srgbClr val="C46B39"/>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C3</a:t>
          </a:r>
          <a:endParaRPr lang="ja-JP" altLang="en-US" sz="750" dirty="0">
            <a:latin typeface="Meiryo UI"/>
            <a:ea typeface="Meiryo UI"/>
          </a:endParaRPr>
        </a:p>
      </xdr:txBody>
    </xdr:sp>
    <xdr:clientData/>
  </xdr:twoCellAnchor>
  <xdr:twoCellAnchor editAs="oneCell">
    <xdr:from>
      <xdr:col>68</xdr:col>
      <xdr:colOff>0</xdr:colOff>
      <xdr:row>157</xdr:row>
      <xdr:rowOff>0</xdr:rowOff>
    </xdr:from>
    <xdr:to>
      <xdr:col>70</xdr:col>
      <xdr:colOff>0</xdr:colOff>
      <xdr:row>158</xdr:row>
      <xdr:rowOff>0</xdr:rowOff>
    </xdr:to>
    <xdr:sp macro="" textlink="">
      <xdr:nvSpPr>
        <xdr:cNvPr id="220" name="番号: C4（ルートC）">
          <a:extLst>
            <a:ext uri="{FF2B5EF4-FFF2-40B4-BE49-F238E27FC236}">
              <a16:creationId xmlns:a16="http://schemas.microsoft.com/office/drawing/2014/main" id="{00000000-0008-0000-0400-0000DC000000}"/>
            </a:ext>
          </a:extLst>
        </xdr:cNvPr>
        <xdr:cNvSpPr/>
      </xdr:nvSpPr>
      <xdr:spPr>
        <a:xfrm>
          <a:off x="12954000" y="29908500"/>
          <a:ext cx="381000" cy="190500"/>
        </a:xfrm>
        <a:prstGeom prst="roundRect">
          <a:avLst>
            <a:gd name="adj" fmla="val 50000"/>
          </a:avLst>
        </a:prstGeom>
        <a:solidFill>
          <a:srgbClr val="C46B39"/>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C4</a:t>
          </a:r>
          <a:endParaRPr lang="ja-JP" altLang="en-US" sz="750" dirty="0">
            <a:latin typeface="Meiryo UI"/>
            <a:ea typeface="Meiryo UI"/>
          </a:endParaRPr>
        </a:p>
      </xdr:txBody>
    </xdr:sp>
    <xdr:clientData/>
  </xdr:twoCellAnchor>
  <xdr:twoCellAnchor editAs="oneCell">
    <xdr:from>
      <xdr:col>11</xdr:col>
      <xdr:colOff>0</xdr:colOff>
      <xdr:row>160</xdr:row>
      <xdr:rowOff>0</xdr:rowOff>
    </xdr:from>
    <xdr:to>
      <xdr:col>12</xdr:col>
      <xdr:colOff>0</xdr:colOff>
      <xdr:row>161</xdr:row>
      <xdr:rowOff>0</xdr:rowOff>
    </xdr:to>
    <xdr:sp macro="" textlink="">
      <xdr:nvSpPr>
        <xdr:cNvPr id="221" name="丸番号: 1（共通）">
          <a:extLst>
            <a:ext uri="{FF2B5EF4-FFF2-40B4-BE49-F238E27FC236}">
              <a16:creationId xmlns:a16="http://schemas.microsoft.com/office/drawing/2014/main" id="{00000000-0008-0000-0400-0000DD000000}"/>
            </a:ext>
          </a:extLst>
        </xdr:cNvPr>
        <xdr:cNvSpPr/>
      </xdr:nvSpPr>
      <xdr:spPr>
        <a:xfrm>
          <a:off x="2095500" y="30480000"/>
          <a:ext cx="190500" cy="190500"/>
        </a:xfrm>
        <a:prstGeom prst="ellipse">
          <a:avLst/>
        </a:prstGeom>
        <a:solidFill>
          <a:srgbClr val="404040"/>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1</a:t>
          </a:r>
          <a:endParaRPr lang="ja-JP" altLang="en-US" sz="750" dirty="0">
            <a:latin typeface="Meiryo UI"/>
            <a:ea typeface="Meiryo UI"/>
          </a:endParaRPr>
        </a:p>
      </xdr:txBody>
    </xdr:sp>
    <xdr:clientData/>
  </xdr:twoCellAnchor>
  <xdr:twoCellAnchor editAs="oneCell">
    <xdr:from>
      <xdr:col>13</xdr:col>
      <xdr:colOff>0</xdr:colOff>
      <xdr:row>160</xdr:row>
      <xdr:rowOff>0</xdr:rowOff>
    </xdr:from>
    <xdr:to>
      <xdr:col>14</xdr:col>
      <xdr:colOff>0</xdr:colOff>
      <xdr:row>161</xdr:row>
      <xdr:rowOff>0</xdr:rowOff>
    </xdr:to>
    <xdr:sp macro="" textlink="">
      <xdr:nvSpPr>
        <xdr:cNvPr id="222" name="丸番号: 2（共通）">
          <a:extLst>
            <a:ext uri="{FF2B5EF4-FFF2-40B4-BE49-F238E27FC236}">
              <a16:creationId xmlns:a16="http://schemas.microsoft.com/office/drawing/2014/main" id="{00000000-0008-0000-0400-0000DE000000}"/>
            </a:ext>
          </a:extLst>
        </xdr:cNvPr>
        <xdr:cNvSpPr/>
      </xdr:nvSpPr>
      <xdr:spPr>
        <a:xfrm>
          <a:off x="2476500" y="30480000"/>
          <a:ext cx="190500" cy="190500"/>
        </a:xfrm>
        <a:prstGeom prst="ellipse">
          <a:avLst/>
        </a:prstGeom>
        <a:solidFill>
          <a:srgbClr val="404040"/>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2</a:t>
          </a:r>
          <a:endParaRPr lang="ja-JP" altLang="en-US" sz="750" dirty="0">
            <a:latin typeface="Meiryo UI"/>
            <a:ea typeface="Meiryo UI"/>
          </a:endParaRPr>
        </a:p>
      </xdr:txBody>
    </xdr:sp>
    <xdr:clientData/>
  </xdr:twoCellAnchor>
  <xdr:twoCellAnchor editAs="oneCell">
    <xdr:from>
      <xdr:col>15</xdr:col>
      <xdr:colOff>0</xdr:colOff>
      <xdr:row>160</xdr:row>
      <xdr:rowOff>0</xdr:rowOff>
    </xdr:from>
    <xdr:to>
      <xdr:col>16</xdr:col>
      <xdr:colOff>0</xdr:colOff>
      <xdr:row>161</xdr:row>
      <xdr:rowOff>0</xdr:rowOff>
    </xdr:to>
    <xdr:sp macro="" textlink="">
      <xdr:nvSpPr>
        <xdr:cNvPr id="223" name="丸番号: 3（共通）">
          <a:extLst>
            <a:ext uri="{FF2B5EF4-FFF2-40B4-BE49-F238E27FC236}">
              <a16:creationId xmlns:a16="http://schemas.microsoft.com/office/drawing/2014/main" id="{00000000-0008-0000-0400-0000DF000000}"/>
            </a:ext>
          </a:extLst>
        </xdr:cNvPr>
        <xdr:cNvSpPr/>
      </xdr:nvSpPr>
      <xdr:spPr>
        <a:xfrm>
          <a:off x="2857500" y="30480000"/>
          <a:ext cx="190500" cy="190500"/>
        </a:xfrm>
        <a:prstGeom prst="ellipse">
          <a:avLst/>
        </a:prstGeom>
        <a:solidFill>
          <a:srgbClr val="404040"/>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3</a:t>
          </a:r>
          <a:endParaRPr lang="ja-JP" altLang="en-US" sz="750" dirty="0">
            <a:latin typeface="Meiryo UI"/>
            <a:ea typeface="Meiryo UI"/>
          </a:endParaRPr>
        </a:p>
      </xdr:txBody>
    </xdr:sp>
    <xdr:clientData/>
  </xdr:twoCellAnchor>
  <xdr:twoCellAnchor editAs="oneCell">
    <xdr:from>
      <xdr:col>17</xdr:col>
      <xdr:colOff>0</xdr:colOff>
      <xdr:row>160</xdr:row>
      <xdr:rowOff>0</xdr:rowOff>
    </xdr:from>
    <xdr:to>
      <xdr:col>18</xdr:col>
      <xdr:colOff>0</xdr:colOff>
      <xdr:row>161</xdr:row>
      <xdr:rowOff>0</xdr:rowOff>
    </xdr:to>
    <xdr:sp macro="" textlink="">
      <xdr:nvSpPr>
        <xdr:cNvPr id="224" name="丸番号: 4（共通）">
          <a:extLst>
            <a:ext uri="{FF2B5EF4-FFF2-40B4-BE49-F238E27FC236}">
              <a16:creationId xmlns:a16="http://schemas.microsoft.com/office/drawing/2014/main" id="{00000000-0008-0000-0400-0000E0000000}"/>
            </a:ext>
          </a:extLst>
        </xdr:cNvPr>
        <xdr:cNvSpPr/>
      </xdr:nvSpPr>
      <xdr:spPr>
        <a:xfrm>
          <a:off x="3238500" y="30480000"/>
          <a:ext cx="190500" cy="190500"/>
        </a:xfrm>
        <a:prstGeom prst="ellipse">
          <a:avLst/>
        </a:prstGeom>
        <a:solidFill>
          <a:srgbClr val="404040"/>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4</a:t>
          </a:r>
          <a:endParaRPr lang="ja-JP" altLang="en-US" sz="750" dirty="0">
            <a:latin typeface="Meiryo UI"/>
            <a:ea typeface="Meiryo UI"/>
          </a:endParaRPr>
        </a:p>
      </xdr:txBody>
    </xdr:sp>
    <xdr:clientData/>
  </xdr:twoCellAnchor>
  <xdr:twoCellAnchor editAs="oneCell">
    <xdr:from>
      <xdr:col>19</xdr:col>
      <xdr:colOff>0</xdr:colOff>
      <xdr:row>160</xdr:row>
      <xdr:rowOff>0</xdr:rowOff>
    </xdr:from>
    <xdr:to>
      <xdr:col>20</xdr:col>
      <xdr:colOff>0</xdr:colOff>
      <xdr:row>161</xdr:row>
      <xdr:rowOff>0</xdr:rowOff>
    </xdr:to>
    <xdr:sp macro="" textlink="">
      <xdr:nvSpPr>
        <xdr:cNvPr id="225" name="丸番号: 5（共通）">
          <a:extLst>
            <a:ext uri="{FF2B5EF4-FFF2-40B4-BE49-F238E27FC236}">
              <a16:creationId xmlns:a16="http://schemas.microsoft.com/office/drawing/2014/main" id="{00000000-0008-0000-0400-0000E1000000}"/>
            </a:ext>
          </a:extLst>
        </xdr:cNvPr>
        <xdr:cNvSpPr/>
      </xdr:nvSpPr>
      <xdr:spPr>
        <a:xfrm>
          <a:off x="3619500" y="30480000"/>
          <a:ext cx="190500" cy="190500"/>
        </a:xfrm>
        <a:prstGeom prst="ellipse">
          <a:avLst/>
        </a:prstGeom>
        <a:solidFill>
          <a:srgbClr val="404040"/>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5</a:t>
          </a:r>
          <a:endParaRPr lang="ja-JP" altLang="en-US" sz="750" dirty="0">
            <a:latin typeface="Meiryo UI"/>
            <a:ea typeface="Meiryo UI"/>
          </a:endParaRPr>
        </a:p>
      </xdr:txBody>
    </xdr:sp>
    <xdr:clientData/>
  </xdr:twoCellAnchor>
  <xdr:twoCellAnchor editAs="oneCell">
    <xdr:from>
      <xdr:col>27</xdr:col>
      <xdr:colOff>0</xdr:colOff>
      <xdr:row>160</xdr:row>
      <xdr:rowOff>0</xdr:rowOff>
    </xdr:from>
    <xdr:to>
      <xdr:col>28</xdr:col>
      <xdr:colOff>0</xdr:colOff>
      <xdr:row>161</xdr:row>
      <xdr:rowOff>0</xdr:rowOff>
    </xdr:to>
    <xdr:sp macro="" textlink="">
      <xdr:nvSpPr>
        <xdr:cNvPr id="226" name="丸番号: 1（ルートA）">
          <a:extLst>
            <a:ext uri="{FF2B5EF4-FFF2-40B4-BE49-F238E27FC236}">
              <a16:creationId xmlns:a16="http://schemas.microsoft.com/office/drawing/2014/main" id="{00000000-0008-0000-0400-0000E2000000}"/>
            </a:ext>
          </a:extLst>
        </xdr:cNvPr>
        <xdr:cNvSpPr/>
      </xdr:nvSpPr>
      <xdr:spPr>
        <a:xfrm>
          <a:off x="5143500" y="30480000"/>
          <a:ext cx="190500" cy="190500"/>
        </a:xfrm>
        <a:prstGeom prst="ellipse">
          <a:avLst/>
        </a:prstGeom>
        <a:solidFill>
          <a:srgbClr val="315C92"/>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1</a:t>
          </a:r>
          <a:endParaRPr lang="ja-JP" altLang="en-US" sz="750" dirty="0">
            <a:latin typeface="Meiryo UI"/>
            <a:ea typeface="Meiryo UI"/>
          </a:endParaRPr>
        </a:p>
      </xdr:txBody>
    </xdr:sp>
    <xdr:clientData/>
  </xdr:twoCellAnchor>
  <xdr:twoCellAnchor editAs="oneCell">
    <xdr:from>
      <xdr:col>29</xdr:col>
      <xdr:colOff>0</xdr:colOff>
      <xdr:row>160</xdr:row>
      <xdr:rowOff>0</xdr:rowOff>
    </xdr:from>
    <xdr:to>
      <xdr:col>30</xdr:col>
      <xdr:colOff>0</xdr:colOff>
      <xdr:row>161</xdr:row>
      <xdr:rowOff>0</xdr:rowOff>
    </xdr:to>
    <xdr:sp macro="" textlink="">
      <xdr:nvSpPr>
        <xdr:cNvPr id="227" name="丸番号: 2（ルートA）">
          <a:extLst>
            <a:ext uri="{FF2B5EF4-FFF2-40B4-BE49-F238E27FC236}">
              <a16:creationId xmlns:a16="http://schemas.microsoft.com/office/drawing/2014/main" id="{00000000-0008-0000-0400-0000E3000000}"/>
            </a:ext>
          </a:extLst>
        </xdr:cNvPr>
        <xdr:cNvSpPr/>
      </xdr:nvSpPr>
      <xdr:spPr>
        <a:xfrm>
          <a:off x="5524500" y="30480000"/>
          <a:ext cx="190500" cy="190500"/>
        </a:xfrm>
        <a:prstGeom prst="ellipse">
          <a:avLst/>
        </a:prstGeom>
        <a:solidFill>
          <a:srgbClr val="315C92"/>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2</a:t>
          </a:r>
          <a:endParaRPr lang="ja-JP" altLang="en-US" sz="750" dirty="0">
            <a:latin typeface="Meiryo UI"/>
            <a:ea typeface="Meiryo UI"/>
          </a:endParaRPr>
        </a:p>
      </xdr:txBody>
    </xdr:sp>
    <xdr:clientData/>
  </xdr:twoCellAnchor>
  <xdr:twoCellAnchor editAs="oneCell">
    <xdr:from>
      <xdr:col>31</xdr:col>
      <xdr:colOff>0</xdr:colOff>
      <xdr:row>160</xdr:row>
      <xdr:rowOff>0</xdr:rowOff>
    </xdr:from>
    <xdr:to>
      <xdr:col>32</xdr:col>
      <xdr:colOff>0</xdr:colOff>
      <xdr:row>161</xdr:row>
      <xdr:rowOff>0</xdr:rowOff>
    </xdr:to>
    <xdr:sp macro="" textlink="">
      <xdr:nvSpPr>
        <xdr:cNvPr id="228" name="丸番号: 3（ルートA）">
          <a:extLst>
            <a:ext uri="{FF2B5EF4-FFF2-40B4-BE49-F238E27FC236}">
              <a16:creationId xmlns:a16="http://schemas.microsoft.com/office/drawing/2014/main" id="{00000000-0008-0000-0400-0000E4000000}"/>
            </a:ext>
          </a:extLst>
        </xdr:cNvPr>
        <xdr:cNvSpPr/>
      </xdr:nvSpPr>
      <xdr:spPr>
        <a:xfrm>
          <a:off x="5905500" y="30480000"/>
          <a:ext cx="190500" cy="190500"/>
        </a:xfrm>
        <a:prstGeom prst="ellipse">
          <a:avLst/>
        </a:prstGeom>
        <a:solidFill>
          <a:srgbClr val="315C92"/>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3</a:t>
          </a:r>
          <a:endParaRPr lang="ja-JP" altLang="en-US" sz="750" dirty="0">
            <a:latin typeface="Meiryo UI"/>
            <a:ea typeface="Meiryo UI"/>
          </a:endParaRPr>
        </a:p>
      </xdr:txBody>
    </xdr:sp>
    <xdr:clientData/>
  </xdr:twoCellAnchor>
  <xdr:twoCellAnchor editAs="oneCell">
    <xdr:from>
      <xdr:col>33</xdr:col>
      <xdr:colOff>0</xdr:colOff>
      <xdr:row>160</xdr:row>
      <xdr:rowOff>0</xdr:rowOff>
    </xdr:from>
    <xdr:to>
      <xdr:col>34</xdr:col>
      <xdr:colOff>0</xdr:colOff>
      <xdr:row>161</xdr:row>
      <xdr:rowOff>0</xdr:rowOff>
    </xdr:to>
    <xdr:sp macro="" textlink="">
      <xdr:nvSpPr>
        <xdr:cNvPr id="229" name="丸番号: 4（ルートA）">
          <a:extLst>
            <a:ext uri="{FF2B5EF4-FFF2-40B4-BE49-F238E27FC236}">
              <a16:creationId xmlns:a16="http://schemas.microsoft.com/office/drawing/2014/main" id="{00000000-0008-0000-0400-0000E5000000}"/>
            </a:ext>
          </a:extLst>
        </xdr:cNvPr>
        <xdr:cNvSpPr/>
      </xdr:nvSpPr>
      <xdr:spPr>
        <a:xfrm>
          <a:off x="6286500" y="30480000"/>
          <a:ext cx="190500" cy="190500"/>
        </a:xfrm>
        <a:prstGeom prst="ellipse">
          <a:avLst/>
        </a:prstGeom>
        <a:solidFill>
          <a:srgbClr val="315C92"/>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4</a:t>
          </a:r>
          <a:endParaRPr lang="ja-JP" altLang="en-US" sz="750" dirty="0">
            <a:latin typeface="Meiryo UI"/>
            <a:ea typeface="Meiryo UI"/>
          </a:endParaRPr>
        </a:p>
      </xdr:txBody>
    </xdr:sp>
    <xdr:clientData/>
  </xdr:twoCellAnchor>
  <xdr:twoCellAnchor editAs="oneCell">
    <xdr:from>
      <xdr:col>35</xdr:col>
      <xdr:colOff>0</xdr:colOff>
      <xdr:row>160</xdr:row>
      <xdr:rowOff>0</xdr:rowOff>
    </xdr:from>
    <xdr:to>
      <xdr:col>36</xdr:col>
      <xdr:colOff>0</xdr:colOff>
      <xdr:row>161</xdr:row>
      <xdr:rowOff>0</xdr:rowOff>
    </xdr:to>
    <xdr:sp macro="" textlink="">
      <xdr:nvSpPr>
        <xdr:cNvPr id="230" name="丸番号: 5（ルートA）">
          <a:extLst>
            <a:ext uri="{FF2B5EF4-FFF2-40B4-BE49-F238E27FC236}">
              <a16:creationId xmlns:a16="http://schemas.microsoft.com/office/drawing/2014/main" id="{00000000-0008-0000-0400-0000E6000000}"/>
            </a:ext>
          </a:extLst>
        </xdr:cNvPr>
        <xdr:cNvSpPr/>
      </xdr:nvSpPr>
      <xdr:spPr>
        <a:xfrm>
          <a:off x="6667500" y="30480000"/>
          <a:ext cx="190500" cy="190500"/>
        </a:xfrm>
        <a:prstGeom prst="ellipse">
          <a:avLst/>
        </a:prstGeom>
        <a:solidFill>
          <a:srgbClr val="315C92"/>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5</a:t>
          </a:r>
          <a:endParaRPr lang="ja-JP" altLang="en-US" sz="750" dirty="0">
            <a:latin typeface="Meiryo UI"/>
            <a:ea typeface="Meiryo UI"/>
          </a:endParaRPr>
        </a:p>
      </xdr:txBody>
    </xdr:sp>
    <xdr:clientData/>
  </xdr:twoCellAnchor>
  <xdr:twoCellAnchor editAs="oneCell">
    <xdr:from>
      <xdr:col>43</xdr:col>
      <xdr:colOff>0</xdr:colOff>
      <xdr:row>160</xdr:row>
      <xdr:rowOff>0</xdr:rowOff>
    </xdr:from>
    <xdr:to>
      <xdr:col>44</xdr:col>
      <xdr:colOff>0</xdr:colOff>
      <xdr:row>161</xdr:row>
      <xdr:rowOff>0</xdr:rowOff>
    </xdr:to>
    <xdr:sp macro="" textlink="">
      <xdr:nvSpPr>
        <xdr:cNvPr id="231" name="丸番号: 1（ルートB）">
          <a:extLst>
            <a:ext uri="{FF2B5EF4-FFF2-40B4-BE49-F238E27FC236}">
              <a16:creationId xmlns:a16="http://schemas.microsoft.com/office/drawing/2014/main" id="{00000000-0008-0000-0400-0000E7000000}"/>
            </a:ext>
          </a:extLst>
        </xdr:cNvPr>
        <xdr:cNvSpPr/>
      </xdr:nvSpPr>
      <xdr:spPr>
        <a:xfrm>
          <a:off x="8191500" y="30480000"/>
          <a:ext cx="190500" cy="190500"/>
        </a:xfrm>
        <a:prstGeom prst="ellipse">
          <a:avLst/>
        </a:prstGeom>
        <a:solidFill>
          <a:srgbClr val="247966"/>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1</a:t>
          </a:r>
          <a:endParaRPr lang="ja-JP" altLang="en-US" sz="750" dirty="0">
            <a:latin typeface="Meiryo UI"/>
            <a:ea typeface="Meiryo UI"/>
          </a:endParaRPr>
        </a:p>
      </xdr:txBody>
    </xdr:sp>
    <xdr:clientData/>
  </xdr:twoCellAnchor>
  <xdr:twoCellAnchor editAs="oneCell">
    <xdr:from>
      <xdr:col>45</xdr:col>
      <xdr:colOff>0</xdr:colOff>
      <xdr:row>160</xdr:row>
      <xdr:rowOff>0</xdr:rowOff>
    </xdr:from>
    <xdr:to>
      <xdr:col>46</xdr:col>
      <xdr:colOff>0</xdr:colOff>
      <xdr:row>161</xdr:row>
      <xdr:rowOff>0</xdr:rowOff>
    </xdr:to>
    <xdr:sp macro="" textlink="">
      <xdr:nvSpPr>
        <xdr:cNvPr id="232" name="丸番号: 2（ルートB）">
          <a:extLst>
            <a:ext uri="{FF2B5EF4-FFF2-40B4-BE49-F238E27FC236}">
              <a16:creationId xmlns:a16="http://schemas.microsoft.com/office/drawing/2014/main" id="{00000000-0008-0000-0400-0000E8000000}"/>
            </a:ext>
          </a:extLst>
        </xdr:cNvPr>
        <xdr:cNvSpPr/>
      </xdr:nvSpPr>
      <xdr:spPr>
        <a:xfrm>
          <a:off x="8572500" y="30480000"/>
          <a:ext cx="190500" cy="190500"/>
        </a:xfrm>
        <a:prstGeom prst="ellipse">
          <a:avLst/>
        </a:prstGeom>
        <a:solidFill>
          <a:srgbClr val="247966"/>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2</a:t>
          </a:r>
          <a:endParaRPr lang="ja-JP" altLang="en-US" sz="750" dirty="0">
            <a:latin typeface="Meiryo UI"/>
            <a:ea typeface="Meiryo UI"/>
          </a:endParaRPr>
        </a:p>
      </xdr:txBody>
    </xdr:sp>
    <xdr:clientData/>
  </xdr:twoCellAnchor>
  <xdr:twoCellAnchor editAs="oneCell">
    <xdr:from>
      <xdr:col>47</xdr:col>
      <xdr:colOff>0</xdr:colOff>
      <xdr:row>160</xdr:row>
      <xdr:rowOff>0</xdr:rowOff>
    </xdr:from>
    <xdr:to>
      <xdr:col>48</xdr:col>
      <xdr:colOff>0</xdr:colOff>
      <xdr:row>161</xdr:row>
      <xdr:rowOff>0</xdr:rowOff>
    </xdr:to>
    <xdr:sp macro="" textlink="">
      <xdr:nvSpPr>
        <xdr:cNvPr id="233" name="丸番号: 3（ルートB）">
          <a:extLst>
            <a:ext uri="{FF2B5EF4-FFF2-40B4-BE49-F238E27FC236}">
              <a16:creationId xmlns:a16="http://schemas.microsoft.com/office/drawing/2014/main" id="{00000000-0008-0000-0400-0000E9000000}"/>
            </a:ext>
          </a:extLst>
        </xdr:cNvPr>
        <xdr:cNvSpPr/>
      </xdr:nvSpPr>
      <xdr:spPr>
        <a:xfrm>
          <a:off x="8953500" y="30480000"/>
          <a:ext cx="190500" cy="190500"/>
        </a:xfrm>
        <a:prstGeom prst="ellipse">
          <a:avLst/>
        </a:prstGeom>
        <a:solidFill>
          <a:srgbClr val="247966"/>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3</a:t>
          </a:r>
          <a:endParaRPr lang="ja-JP" altLang="en-US" sz="750" dirty="0">
            <a:latin typeface="Meiryo UI"/>
            <a:ea typeface="Meiryo UI"/>
          </a:endParaRPr>
        </a:p>
      </xdr:txBody>
    </xdr:sp>
    <xdr:clientData/>
  </xdr:twoCellAnchor>
  <xdr:twoCellAnchor editAs="oneCell">
    <xdr:from>
      <xdr:col>49</xdr:col>
      <xdr:colOff>0</xdr:colOff>
      <xdr:row>160</xdr:row>
      <xdr:rowOff>0</xdr:rowOff>
    </xdr:from>
    <xdr:to>
      <xdr:col>50</xdr:col>
      <xdr:colOff>0</xdr:colOff>
      <xdr:row>161</xdr:row>
      <xdr:rowOff>0</xdr:rowOff>
    </xdr:to>
    <xdr:sp macro="" textlink="">
      <xdr:nvSpPr>
        <xdr:cNvPr id="234" name="丸番号: 4（ルートB）">
          <a:extLst>
            <a:ext uri="{FF2B5EF4-FFF2-40B4-BE49-F238E27FC236}">
              <a16:creationId xmlns:a16="http://schemas.microsoft.com/office/drawing/2014/main" id="{00000000-0008-0000-0400-0000EA000000}"/>
            </a:ext>
          </a:extLst>
        </xdr:cNvPr>
        <xdr:cNvSpPr/>
      </xdr:nvSpPr>
      <xdr:spPr>
        <a:xfrm>
          <a:off x="9334500" y="30480000"/>
          <a:ext cx="190500" cy="190500"/>
        </a:xfrm>
        <a:prstGeom prst="ellipse">
          <a:avLst/>
        </a:prstGeom>
        <a:solidFill>
          <a:srgbClr val="247966"/>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4</a:t>
          </a:r>
          <a:endParaRPr lang="ja-JP" altLang="en-US" sz="750" dirty="0">
            <a:latin typeface="Meiryo UI"/>
            <a:ea typeface="Meiryo UI"/>
          </a:endParaRPr>
        </a:p>
      </xdr:txBody>
    </xdr:sp>
    <xdr:clientData/>
  </xdr:twoCellAnchor>
  <xdr:twoCellAnchor editAs="oneCell">
    <xdr:from>
      <xdr:col>51</xdr:col>
      <xdr:colOff>0</xdr:colOff>
      <xdr:row>160</xdr:row>
      <xdr:rowOff>0</xdr:rowOff>
    </xdr:from>
    <xdr:to>
      <xdr:col>52</xdr:col>
      <xdr:colOff>0</xdr:colOff>
      <xdr:row>161</xdr:row>
      <xdr:rowOff>0</xdr:rowOff>
    </xdr:to>
    <xdr:sp macro="" textlink="">
      <xdr:nvSpPr>
        <xdr:cNvPr id="235" name="丸番号: 5（ルートB）">
          <a:extLst>
            <a:ext uri="{FF2B5EF4-FFF2-40B4-BE49-F238E27FC236}">
              <a16:creationId xmlns:a16="http://schemas.microsoft.com/office/drawing/2014/main" id="{00000000-0008-0000-0400-0000EB000000}"/>
            </a:ext>
          </a:extLst>
        </xdr:cNvPr>
        <xdr:cNvSpPr/>
      </xdr:nvSpPr>
      <xdr:spPr>
        <a:xfrm>
          <a:off x="9715500" y="30480000"/>
          <a:ext cx="190500" cy="190500"/>
        </a:xfrm>
        <a:prstGeom prst="ellipse">
          <a:avLst/>
        </a:prstGeom>
        <a:solidFill>
          <a:srgbClr val="247966"/>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5</a:t>
          </a:r>
          <a:endParaRPr lang="ja-JP" altLang="en-US" sz="750" dirty="0">
            <a:latin typeface="Meiryo UI"/>
            <a:ea typeface="Meiryo UI"/>
          </a:endParaRPr>
        </a:p>
      </xdr:txBody>
    </xdr:sp>
    <xdr:clientData/>
  </xdr:twoCellAnchor>
  <xdr:twoCellAnchor editAs="oneCell">
    <xdr:from>
      <xdr:col>59</xdr:col>
      <xdr:colOff>0</xdr:colOff>
      <xdr:row>160</xdr:row>
      <xdr:rowOff>0</xdr:rowOff>
    </xdr:from>
    <xdr:to>
      <xdr:col>60</xdr:col>
      <xdr:colOff>0</xdr:colOff>
      <xdr:row>161</xdr:row>
      <xdr:rowOff>0</xdr:rowOff>
    </xdr:to>
    <xdr:sp macro="" textlink="">
      <xdr:nvSpPr>
        <xdr:cNvPr id="236" name="丸番号: 1（ルートC）">
          <a:extLst>
            <a:ext uri="{FF2B5EF4-FFF2-40B4-BE49-F238E27FC236}">
              <a16:creationId xmlns:a16="http://schemas.microsoft.com/office/drawing/2014/main" id="{00000000-0008-0000-0400-0000EC000000}"/>
            </a:ext>
          </a:extLst>
        </xdr:cNvPr>
        <xdr:cNvSpPr/>
      </xdr:nvSpPr>
      <xdr:spPr>
        <a:xfrm>
          <a:off x="11239500" y="30480000"/>
          <a:ext cx="190500" cy="190500"/>
        </a:xfrm>
        <a:prstGeom prst="ellipse">
          <a:avLst/>
        </a:prstGeom>
        <a:solidFill>
          <a:srgbClr val="C46B39"/>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1</a:t>
          </a:r>
          <a:endParaRPr lang="ja-JP" altLang="en-US" sz="750" dirty="0">
            <a:latin typeface="Meiryo UI"/>
            <a:ea typeface="Meiryo UI"/>
          </a:endParaRPr>
        </a:p>
      </xdr:txBody>
    </xdr:sp>
    <xdr:clientData/>
  </xdr:twoCellAnchor>
  <xdr:twoCellAnchor editAs="oneCell">
    <xdr:from>
      <xdr:col>61</xdr:col>
      <xdr:colOff>0</xdr:colOff>
      <xdr:row>160</xdr:row>
      <xdr:rowOff>0</xdr:rowOff>
    </xdr:from>
    <xdr:to>
      <xdr:col>62</xdr:col>
      <xdr:colOff>0</xdr:colOff>
      <xdr:row>161</xdr:row>
      <xdr:rowOff>0</xdr:rowOff>
    </xdr:to>
    <xdr:sp macro="" textlink="">
      <xdr:nvSpPr>
        <xdr:cNvPr id="237" name="丸番号: 2（ルートC）">
          <a:extLst>
            <a:ext uri="{FF2B5EF4-FFF2-40B4-BE49-F238E27FC236}">
              <a16:creationId xmlns:a16="http://schemas.microsoft.com/office/drawing/2014/main" id="{00000000-0008-0000-0400-0000ED000000}"/>
            </a:ext>
          </a:extLst>
        </xdr:cNvPr>
        <xdr:cNvSpPr/>
      </xdr:nvSpPr>
      <xdr:spPr>
        <a:xfrm>
          <a:off x="11620500" y="30480000"/>
          <a:ext cx="190500" cy="190500"/>
        </a:xfrm>
        <a:prstGeom prst="ellipse">
          <a:avLst/>
        </a:prstGeom>
        <a:solidFill>
          <a:srgbClr val="C46B39"/>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2</a:t>
          </a:r>
          <a:endParaRPr lang="ja-JP" altLang="en-US" sz="750" dirty="0">
            <a:latin typeface="Meiryo UI"/>
            <a:ea typeface="Meiryo UI"/>
          </a:endParaRPr>
        </a:p>
      </xdr:txBody>
    </xdr:sp>
    <xdr:clientData/>
  </xdr:twoCellAnchor>
  <xdr:twoCellAnchor editAs="oneCell">
    <xdr:from>
      <xdr:col>63</xdr:col>
      <xdr:colOff>0</xdr:colOff>
      <xdr:row>160</xdr:row>
      <xdr:rowOff>0</xdr:rowOff>
    </xdr:from>
    <xdr:to>
      <xdr:col>64</xdr:col>
      <xdr:colOff>0</xdr:colOff>
      <xdr:row>161</xdr:row>
      <xdr:rowOff>0</xdr:rowOff>
    </xdr:to>
    <xdr:sp macro="" textlink="">
      <xdr:nvSpPr>
        <xdr:cNvPr id="238" name="丸番号: 3（ルートC）">
          <a:extLst>
            <a:ext uri="{FF2B5EF4-FFF2-40B4-BE49-F238E27FC236}">
              <a16:creationId xmlns:a16="http://schemas.microsoft.com/office/drawing/2014/main" id="{00000000-0008-0000-0400-0000EE000000}"/>
            </a:ext>
          </a:extLst>
        </xdr:cNvPr>
        <xdr:cNvSpPr/>
      </xdr:nvSpPr>
      <xdr:spPr>
        <a:xfrm>
          <a:off x="12001500" y="30480000"/>
          <a:ext cx="190500" cy="190500"/>
        </a:xfrm>
        <a:prstGeom prst="ellipse">
          <a:avLst/>
        </a:prstGeom>
        <a:solidFill>
          <a:srgbClr val="C46B39"/>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3</a:t>
          </a:r>
          <a:endParaRPr lang="ja-JP" altLang="en-US" sz="750" dirty="0">
            <a:latin typeface="Meiryo UI"/>
            <a:ea typeface="Meiryo UI"/>
          </a:endParaRPr>
        </a:p>
      </xdr:txBody>
    </xdr:sp>
    <xdr:clientData/>
  </xdr:twoCellAnchor>
  <xdr:twoCellAnchor editAs="oneCell">
    <xdr:from>
      <xdr:col>65</xdr:col>
      <xdr:colOff>0</xdr:colOff>
      <xdr:row>160</xdr:row>
      <xdr:rowOff>0</xdr:rowOff>
    </xdr:from>
    <xdr:to>
      <xdr:col>66</xdr:col>
      <xdr:colOff>0</xdr:colOff>
      <xdr:row>161</xdr:row>
      <xdr:rowOff>0</xdr:rowOff>
    </xdr:to>
    <xdr:sp macro="" textlink="">
      <xdr:nvSpPr>
        <xdr:cNvPr id="239" name="丸番号: 4（ルートC）">
          <a:extLst>
            <a:ext uri="{FF2B5EF4-FFF2-40B4-BE49-F238E27FC236}">
              <a16:creationId xmlns:a16="http://schemas.microsoft.com/office/drawing/2014/main" id="{00000000-0008-0000-0400-0000EF000000}"/>
            </a:ext>
          </a:extLst>
        </xdr:cNvPr>
        <xdr:cNvSpPr/>
      </xdr:nvSpPr>
      <xdr:spPr>
        <a:xfrm>
          <a:off x="12382500" y="30480000"/>
          <a:ext cx="190500" cy="190500"/>
        </a:xfrm>
        <a:prstGeom prst="ellipse">
          <a:avLst/>
        </a:prstGeom>
        <a:solidFill>
          <a:srgbClr val="C46B39"/>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4</a:t>
          </a:r>
          <a:endParaRPr lang="ja-JP" altLang="en-US" sz="750" dirty="0">
            <a:latin typeface="Meiryo UI"/>
            <a:ea typeface="Meiryo UI"/>
          </a:endParaRPr>
        </a:p>
      </xdr:txBody>
    </xdr:sp>
    <xdr:clientData/>
  </xdr:twoCellAnchor>
  <xdr:twoCellAnchor editAs="oneCell">
    <xdr:from>
      <xdr:col>67</xdr:col>
      <xdr:colOff>0</xdr:colOff>
      <xdr:row>160</xdr:row>
      <xdr:rowOff>0</xdr:rowOff>
    </xdr:from>
    <xdr:to>
      <xdr:col>68</xdr:col>
      <xdr:colOff>0</xdr:colOff>
      <xdr:row>161</xdr:row>
      <xdr:rowOff>0</xdr:rowOff>
    </xdr:to>
    <xdr:sp macro="" textlink="">
      <xdr:nvSpPr>
        <xdr:cNvPr id="240" name="丸番号: 5（ルートC）">
          <a:extLst>
            <a:ext uri="{FF2B5EF4-FFF2-40B4-BE49-F238E27FC236}">
              <a16:creationId xmlns:a16="http://schemas.microsoft.com/office/drawing/2014/main" id="{00000000-0008-0000-0400-0000F0000000}"/>
            </a:ext>
          </a:extLst>
        </xdr:cNvPr>
        <xdr:cNvSpPr/>
      </xdr:nvSpPr>
      <xdr:spPr>
        <a:xfrm>
          <a:off x="12763500" y="30480000"/>
          <a:ext cx="190500" cy="190500"/>
        </a:xfrm>
        <a:prstGeom prst="ellipse">
          <a:avLst/>
        </a:prstGeom>
        <a:solidFill>
          <a:srgbClr val="C46B39"/>
        </a:solidFill>
        <a:ln>
          <a:noFill/>
        </a:ln>
      </xdr:spPr>
      <xdr:txBody>
        <a:bodyPr vertOverflow="overflow" horzOverflow="overflow" wrap="none" lIns="0" tIns="0" rIns="0" bIns="0" rtlCol="0" anchor="ctr">
          <a:noAutofit/>
        </a:bodyPr>
        <a:lstStyle/>
        <a:p>
          <a:pPr algn="ctr"/>
          <a:r>
            <a:rPr lang="ja-JP" altLang="en-US" sz="750" b="1" dirty="0">
              <a:solidFill>
                <a:srgbClr val="FFFFFF"/>
              </a:solidFill>
              <a:latin typeface="Meiryo UI"/>
              <a:ea typeface="Meiryo UI"/>
              <a:cs typeface="Meiryo UI"/>
            </a:rPr>
            <a:t>5</a:t>
          </a:r>
          <a:endParaRPr lang="ja-JP" altLang="en-US" sz="750" dirty="0">
            <a:latin typeface="Meiryo UI"/>
            <a:ea typeface="Meiryo UI"/>
          </a:endParaRPr>
        </a:p>
      </xdr:txBody>
    </xdr:sp>
    <xdr:clientData/>
  </xdr:twoCellAnchor>
  <xdr:twoCellAnchor editAs="oneCell">
    <xdr:from>
      <xdr:col>11</xdr:col>
      <xdr:colOff>0</xdr:colOff>
      <xdr:row>163</xdr:row>
      <xdr:rowOff>0</xdr:rowOff>
    </xdr:from>
    <xdr:to>
      <xdr:col>19</xdr:col>
      <xdr:colOff>0</xdr:colOff>
      <xdr:row>164</xdr:row>
      <xdr:rowOff>0</xdr:rowOff>
    </xdr:to>
    <xdr:sp macro="" textlink="">
      <xdr:nvSpPr>
        <xdr:cNvPr id="241" name="線ラベル（共通）">
          <a:extLst>
            <a:ext uri="{FF2B5EF4-FFF2-40B4-BE49-F238E27FC236}">
              <a16:creationId xmlns:a16="http://schemas.microsoft.com/office/drawing/2014/main" id="{00000000-0008-0000-0400-0000F1000000}"/>
            </a:ext>
          </a:extLst>
        </xdr:cNvPr>
        <xdr:cNvSpPr/>
      </xdr:nvSpPr>
      <xdr:spPr>
        <a:xfrm>
          <a:off x="2095500" y="31051500"/>
          <a:ext cx="1524000" cy="190500"/>
        </a:xfrm>
        <a:prstGeom prst="roundRect">
          <a:avLst>
            <a:gd name="adj" fmla="val 50000"/>
          </a:avLst>
        </a:prstGeom>
        <a:solidFill>
          <a:srgbClr val="FFFFFF"/>
        </a:solidFill>
        <a:ln w="9525" cap="flat">
          <a:solidFill>
            <a:srgbClr val="404040"/>
          </a:solidFill>
          <a:round/>
        </a:ln>
      </xdr:spPr>
      <xdr:txBody>
        <a:bodyPr vertOverflow="overflow" horzOverflow="overflow" wrap="none" lIns="25400" tIns="0" rIns="25400" bIns="0" rtlCol="0" anchor="ctr">
          <a:noAutofit/>
        </a:bodyPr>
        <a:lstStyle/>
        <a:p>
          <a:pPr algn="ctr"/>
          <a:r>
            <a:rPr lang="ja-JP" altLang="en-US" sz="750" b="0" dirty="0">
              <a:solidFill>
                <a:srgbClr val="404040"/>
              </a:solidFill>
              <a:latin typeface="Meiryo UI"/>
              <a:ea typeface="Meiryo UI"/>
              <a:cs typeface="Meiryo UI"/>
            </a:rPr>
            <a:t>HTTPS（REST API）</a:t>
          </a:r>
          <a:endParaRPr lang="ja-JP" altLang="en-US" sz="750" dirty="0">
            <a:latin typeface="Meiryo UI"/>
            <a:ea typeface="Meiryo UI"/>
          </a:endParaRPr>
        </a:p>
      </xdr:txBody>
    </xdr:sp>
    <xdr:clientData/>
  </xdr:twoCellAnchor>
  <xdr:twoCellAnchor editAs="oneCell">
    <xdr:from>
      <xdr:col>20</xdr:col>
      <xdr:colOff>0</xdr:colOff>
      <xdr:row>163</xdr:row>
      <xdr:rowOff>0</xdr:rowOff>
    </xdr:from>
    <xdr:to>
      <xdr:col>25</xdr:col>
      <xdr:colOff>0</xdr:colOff>
      <xdr:row>164</xdr:row>
      <xdr:rowOff>0</xdr:rowOff>
    </xdr:to>
    <xdr:sp macro="" textlink="">
      <xdr:nvSpPr>
        <xdr:cNvPr id="242" name="線ラベル（共通）">
          <a:extLst>
            <a:ext uri="{FF2B5EF4-FFF2-40B4-BE49-F238E27FC236}">
              <a16:creationId xmlns:a16="http://schemas.microsoft.com/office/drawing/2014/main" id="{00000000-0008-0000-0400-0000F2000000}"/>
            </a:ext>
          </a:extLst>
        </xdr:cNvPr>
        <xdr:cNvSpPr/>
      </xdr:nvSpPr>
      <xdr:spPr>
        <a:xfrm>
          <a:off x="3810000" y="31051500"/>
          <a:ext cx="952500" cy="190500"/>
        </a:xfrm>
        <a:prstGeom prst="roundRect">
          <a:avLst>
            <a:gd name="adj" fmla="val 50000"/>
          </a:avLst>
        </a:prstGeom>
        <a:solidFill>
          <a:srgbClr val="FFFFFF"/>
        </a:solidFill>
        <a:ln w="9525" cap="flat">
          <a:solidFill>
            <a:srgbClr val="404040"/>
          </a:solidFill>
          <a:round/>
        </a:ln>
      </xdr:spPr>
      <xdr:txBody>
        <a:bodyPr vertOverflow="overflow" horzOverflow="overflow" wrap="none" lIns="25400" tIns="0" rIns="25400" bIns="0" rtlCol="0" anchor="ctr">
          <a:noAutofit/>
        </a:bodyPr>
        <a:lstStyle/>
        <a:p>
          <a:pPr algn="ctr"/>
          <a:r>
            <a:rPr lang="ja-JP" altLang="en-US" sz="750" b="0" dirty="0">
              <a:solidFill>
                <a:srgbClr val="404040"/>
              </a:solidFill>
              <a:latin typeface="Meiryo UI"/>
              <a:ea typeface="Meiryo UI"/>
              <a:cs typeface="Meiryo UI"/>
            </a:rPr>
            <a:t>SFTP（日次）</a:t>
          </a:r>
          <a:endParaRPr lang="ja-JP" altLang="en-US" sz="750" dirty="0">
            <a:latin typeface="Meiryo UI"/>
            <a:ea typeface="Meiryo UI"/>
          </a:endParaRPr>
        </a:p>
      </xdr:txBody>
    </xdr:sp>
    <xdr:clientData/>
  </xdr:twoCellAnchor>
  <xdr:twoCellAnchor editAs="oneCell">
    <xdr:from>
      <xdr:col>27</xdr:col>
      <xdr:colOff>0</xdr:colOff>
      <xdr:row>163</xdr:row>
      <xdr:rowOff>0</xdr:rowOff>
    </xdr:from>
    <xdr:to>
      <xdr:col>35</xdr:col>
      <xdr:colOff>0</xdr:colOff>
      <xdr:row>164</xdr:row>
      <xdr:rowOff>0</xdr:rowOff>
    </xdr:to>
    <xdr:sp macro="" textlink="">
      <xdr:nvSpPr>
        <xdr:cNvPr id="243" name="線ラベル（ルートA）">
          <a:extLst>
            <a:ext uri="{FF2B5EF4-FFF2-40B4-BE49-F238E27FC236}">
              <a16:creationId xmlns:a16="http://schemas.microsoft.com/office/drawing/2014/main" id="{00000000-0008-0000-0400-0000F3000000}"/>
            </a:ext>
          </a:extLst>
        </xdr:cNvPr>
        <xdr:cNvSpPr/>
      </xdr:nvSpPr>
      <xdr:spPr>
        <a:xfrm>
          <a:off x="5143500" y="31051500"/>
          <a:ext cx="1524000" cy="190500"/>
        </a:xfrm>
        <a:prstGeom prst="roundRect">
          <a:avLst>
            <a:gd name="adj" fmla="val 50000"/>
          </a:avLst>
        </a:prstGeom>
        <a:solidFill>
          <a:srgbClr val="FFFFFF"/>
        </a:solidFill>
        <a:ln w="9525" cap="flat">
          <a:solidFill>
            <a:srgbClr val="315C92"/>
          </a:solidFill>
          <a:round/>
        </a:ln>
      </xdr:spPr>
      <xdr:txBody>
        <a:bodyPr vertOverflow="overflow" horzOverflow="overflow" wrap="none" lIns="25400" tIns="0" rIns="25400" bIns="0" rtlCol="0" anchor="ctr">
          <a:noAutofit/>
        </a:bodyPr>
        <a:lstStyle/>
        <a:p>
          <a:pPr algn="ctr"/>
          <a:r>
            <a:rPr lang="ja-JP" altLang="en-US" sz="750" b="0" dirty="0">
              <a:solidFill>
                <a:srgbClr val="113866"/>
              </a:solidFill>
              <a:latin typeface="Meiryo UI"/>
              <a:ea typeface="Meiryo UI"/>
              <a:cs typeface="Meiryo UI"/>
            </a:rPr>
            <a:t>HTTPS（REST API）</a:t>
          </a:r>
          <a:endParaRPr lang="ja-JP" altLang="en-US" sz="750" dirty="0">
            <a:latin typeface="Meiryo UI"/>
            <a:ea typeface="Meiryo UI"/>
          </a:endParaRPr>
        </a:p>
      </xdr:txBody>
    </xdr:sp>
    <xdr:clientData/>
  </xdr:twoCellAnchor>
  <xdr:twoCellAnchor editAs="oneCell">
    <xdr:from>
      <xdr:col>36</xdr:col>
      <xdr:colOff>0</xdr:colOff>
      <xdr:row>163</xdr:row>
      <xdr:rowOff>0</xdr:rowOff>
    </xdr:from>
    <xdr:to>
      <xdr:col>41</xdr:col>
      <xdr:colOff>0</xdr:colOff>
      <xdr:row>164</xdr:row>
      <xdr:rowOff>0</xdr:rowOff>
    </xdr:to>
    <xdr:sp macro="" textlink="">
      <xdr:nvSpPr>
        <xdr:cNvPr id="244" name="線ラベル（ルートA）">
          <a:extLst>
            <a:ext uri="{FF2B5EF4-FFF2-40B4-BE49-F238E27FC236}">
              <a16:creationId xmlns:a16="http://schemas.microsoft.com/office/drawing/2014/main" id="{00000000-0008-0000-0400-0000F4000000}"/>
            </a:ext>
          </a:extLst>
        </xdr:cNvPr>
        <xdr:cNvSpPr/>
      </xdr:nvSpPr>
      <xdr:spPr>
        <a:xfrm>
          <a:off x="6858000" y="31051500"/>
          <a:ext cx="952500" cy="190500"/>
        </a:xfrm>
        <a:prstGeom prst="roundRect">
          <a:avLst>
            <a:gd name="adj" fmla="val 50000"/>
          </a:avLst>
        </a:prstGeom>
        <a:solidFill>
          <a:srgbClr val="FFFFFF"/>
        </a:solidFill>
        <a:ln w="9525" cap="flat">
          <a:solidFill>
            <a:srgbClr val="315C92"/>
          </a:solidFill>
          <a:round/>
        </a:ln>
      </xdr:spPr>
      <xdr:txBody>
        <a:bodyPr vertOverflow="overflow" horzOverflow="overflow" wrap="none" lIns="25400" tIns="0" rIns="25400" bIns="0" rtlCol="0" anchor="ctr">
          <a:noAutofit/>
        </a:bodyPr>
        <a:lstStyle/>
        <a:p>
          <a:pPr algn="ctr"/>
          <a:r>
            <a:rPr lang="ja-JP" altLang="en-US" sz="750" b="0" dirty="0">
              <a:solidFill>
                <a:srgbClr val="113866"/>
              </a:solidFill>
              <a:latin typeface="Meiryo UI"/>
              <a:ea typeface="Meiryo UI"/>
              <a:cs typeface="Meiryo UI"/>
            </a:rPr>
            <a:t>SFTP（日次）</a:t>
          </a:r>
          <a:endParaRPr lang="ja-JP" altLang="en-US" sz="750" dirty="0">
            <a:latin typeface="Meiryo UI"/>
            <a:ea typeface="Meiryo UI"/>
          </a:endParaRPr>
        </a:p>
      </xdr:txBody>
    </xdr:sp>
    <xdr:clientData/>
  </xdr:twoCellAnchor>
  <xdr:twoCellAnchor editAs="oneCell">
    <xdr:from>
      <xdr:col>43</xdr:col>
      <xdr:colOff>0</xdr:colOff>
      <xdr:row>163</xdr:row>
      <xdr:rowOff>0</xdr:rowOff>
    </xdr:from>
    <xdr:to>
      <xdr:col>51</xdr:col>
      <xdr:colOff>0</xdr:colOff>
      <xdr:row>164</xdr:row>
      <xdr:rowOff>0</xdr:rowOff>
    </xdr:to>
    <xdr:sp macro="" textlink="">
      <xdr:nvSpPr>
        <xdr:cNvPr id="245" name="線ラベル（ルートB）">
          <a:extLst>
            <a:ext uri="{FF2B5EF4-FFF2-40B4-BE49-F238E27FC236}">
              <a16:creationId xmlns:a16="http://schemas.microsoft.com/office/drawing/2014/main" id="{00000000-0008-0000-0400-0000F5000000}"/>
            </a:ext>
          </a:extLst>
        </xdr:cNvPr>
        <xdr:cNvSpPr/>
      </xdr:nvSpPr>
      <xdr:spPr>
        <a:xfrm>
          <a:off x="8191500" y="31051500"/>
          <a:ext cx="1524000" cy="190500"/>
        </a:xfrm>
        <a:prstGeom prst="roundRect">
          <a:avLst>
            <a:gd name="adj" fmla="val 50000"/>
          </a:avLst>
        </a:prstGeom>
        <a:solidFill>
          <a:srgbClr val="FFFFFF"/>
        </a:solidFill>
        <a:ln w="9525" cap="flat">
          <a:solidFill>
            <a:srgbClr val="247966"/>
          </a:solidFill>
          <a:round/>
        </a:ln>
      </xdr:spPr>
      <xdr:txBody>
        <a:bodyPr vertOverflow="overflow" horzOverflow="overflow" wrap="none" lIns="25400" tIns="0" rIns="25400" bIns="0" rtlCol="0" anchor="ctr">
          <a:noAutofit/>
        </a:bodyPr>
        <a:lstStyle/>
        <a:p>
          <a:pPr algn="ctr"/>
          <a:r>
            <a:rPr lang="ja-JP" altLang="en-US" sz="750" b="0" dirty="0">
              <a:solidFill>
                <a:srgbClr val="005243"/>
              </a:solidFill>
              <a:latin typeface="Meiryo UI"/>
              <a:ea typeface="Meiryo UI"/>
              <a:cs typeface="Meiryo UI"/>
            </a:rPr>
            <a:t>HTTPS（REST API）</a:t>
          </a:r>
          <a:endParaRPr lang="ja-JP" altLang="en-US" sz="750" dirty="0">
            <a:latin typeface="Meiryo UI"/>
            <a:ea typeface="Meiryo UI"/>
          </a:endParaRPr>
        </a:p>
      </xdr:txBody>
    </xdr:sp>
    <xdr:clientData/>
  </xdr:twoCellAnchor>
  <xdr:twoCellAnchor editAs="oneCell">
    <xdr:from>
      <xdr:col>52</xdr:col>
      <xdr:colOff>0</xdr:colOff>
      <xdr:row>163</xdr:row>
      <xdr:rowOff>0</xdr:rowOff>
    </xdr:from>
    <xdr:to>
      <xdr:col>57</xdr:col>
      <xdr:colOff>0</xdr:colOff>
      <xdr:row>164</xdr:row>
      <xdr:rowOff>0</xdr:rowOff>
    </xdr:to>
    <xdr:sp macro="" textlink="">
      <xdr:nvSpPr>
        <xdr:cNvPr id="246" name="線ラベル（ルートB）">
          <a:extLst>
            <a:ext uri="{FF2B5EF4-FFF2-40B4-BE49-F238E27FC236}">
              <a16:creationId xmlns:a16="http://schemas.microsoft.com/office/drawing/2014/main" id="{00000000-0008-0000-0400-0000F6000000}"/>
            </a:ext>
          </a:extLst>
        </xdr:cNvPr>
        <xdr:cNvSpPr/>
      </xdr:nvSpPr>
      <xdr:spPr>
        <a:xfrm>
          <a:off x="9906000" y="31051500"/>
          <a:ext cx="952500" cy="190500"/>
        </a:xfrm>
        <a:prstGeom prst="roundRect">
          <a:avLst>
            <a:gd name="adj" fmla="val 50000"/>
          </a:avLst>
        </a:prstGeom>
        <a:solidFill>
          <a:srgbClr val="FFFFFF"/>
        </a:solidFill>
        <a:ln w="9525" cap="flat">
          <a:solidFill>
            <a:srgbClr val="247966"/>
          </a:solidFill>
          <a:round/>
        </a:ln>
      </xdr:spPr>
      <xdr:txBody>
        <a:bodyPr vertOverflow="overflow" horzOverflow="overflow" wrap="none" lIns="25400" tIns="0" rIns="25400" bIns="0" rtlCol="0" anchor="ctr">
          <a:noAutofit/>
        </a:bodyPr>
        <a:lstStyle/>
        <a:p>
          <a:pPr algn="ctr"/>
          <a:r>
            <a:rPr lang="ja-JP" altLang="en-US" sz="750" b="0" dirty="0">
              <a:solidFill>
                <a:srgbClr val="005243"/>
              </a:solidFill>
              <a:latin typeface="Meiryo UI"/>
              <a:ea typeface="Meiryo UI"/>
              <a:cs typeface="Meiryo UI"/>
            </a:rPr>
            <a:t>SFTP（日次）</a:t>
          </a:r>
          <a:endParaRPr lang="ja-JP" altLang="en-US" sz="750" dirty="0">
            <a:latin typeface="Meiryo UI"/>
            <a:ea typeface="Meiryo UI"/>
          </a:endParaRPr>
        </a:p>
      </xdr:txBody>
    </xdr:sp>
    <xdr:clientData/>
  </xdr:twoCellAnchor>
  <xdr:twoCellAnchor editAs="oneCell">
    <xdr:from>
      <xdr:col>59</xdr:col>
      <xdr:colOff>0</xdr:colOff>
      <xdr:row>163</xdr:row>
      <xdr:rowOff>0</xdr:rowOff>
    </xdr:from>
    <xdr:to>
      <xdr:col>67</xdr:col>
      <xdr:colOff>0</xdr:colOff>
      <xdr:row>164</xdr:row>
      <xdr:rowOff>0</xdr:rowOff>
    </xdr:to>
    <xdr:sp macro="" textlink="">
      <xdr:nvSpPr>
        <xdr:cNvPr id="247" name="線ラベル（ルートC）">
          <a:extLst>
            <a:ext uri="{FF2B5EF4-FFF2-40B4-BE49-F238E27FC236}">
              <a16:creationId xmlns:a16="http://schemas.microsoft.com/office/drawing/2014/main" id="{00000000-0008-0000-0400-0000F7000000}"/>
            </a:ext>
          </a:extLst>
        </xdr:cNvPr>
        <xdr:cNvSpPr/>
      </xdr:nvSpPr>
      <xdr:spPr>
        <a:xfrm>
          <a:off x="11239500" y="31051500"/>
          <a:ext cx="1524000" cy="190500"/>
        </a:xfrm>
        <a:prstGeom prst="roundRect">
          <a:avLst>
            <a:gd name="adj" fmla="val 50000"/>
          </a:avLst>
        </a:prstGeom>
        <a:solidFill>
          <a:srgbClr val="FFFFFF"/>
        </a:solidFill>
        <a:ln w="9525" cap="flat">
          <a:solidFill>
            <a:srgbClr val="C46B39"/>
          </a:solidFill>
          <a:round/>
        </a:ln>
      </xdr:spPr>
      <xdr:txBody>
        <a:bodyPr vertOverflow="overflow" horzOverflow="overflow" wrap="none" lIns="25400" tIns="0" rIns="25400" bIns="0" rtlCol="0" anchor="ctr">
          <a:noAutofit/>
        </a:bodyPr>
        <a:lstStyle/>
        <a:p>
          <a:pPr algn="ctr"/>
          <a:r>
            <a:rPr lang="ja-JP" altLang="en-US" sz="750" b="0" dirty="0">
              <a:solidFill>
                <a:srgbClr val="954717"/>
              </a:solidFill>
              <a:latin typeface="Meiryo UI"/>
              <a:ea typeface="Meiryo UI"/>
              <a:cs typeface="Meiryo UI"/>
            </a:rPr>
            <a:t>HTTPS（REST API）</a:t>
          </a:r>
          <a:endParaRPr lang="ja-JP" altLang="en-US" sz="750" dirty="0">
            <a:latin typeface="Meiryo UI"/>
            <a:ea typeface="Meiryo UI"/>
          </a:endParaRPr>
        </a:p>
      </xdr:txBody>
    </xdr:sp>
    <xdr:clientData/>
  </xdr:twoCellAnchor>
  <xdr:twoCellAnchor editAs="oneCell">
    <xdr:from>
      <xdr:col>68</xdr:col>
      <xdr:colOff>0</xdr:colOff>
      <xdr:row>163</xdr:row>
      <xdr:rowOff>0</xdr:rowOff>
    </xdr:from>
    <xdr:to>
      <xdr:col>73</xdr:col>
      <xdr:colOff>0</xdr:colOff>
      <xdr:row>164</xdr:row>
      <xdr:rowOff>0</xdr:rowOff>
    </xdr:to>
    <xdr:sp macro="" textlink="">
      <xdr:nvSpPr>
        <xdr:cNvPr id="248" name="線ラベル（ルートC）">
          <a:extLst>
            <a:ext uri="{FF2B5EF4-FFF2-40B4-BE49-F238E27FC236}">
              <a16:creationId xmlns:a16="http://schemas.microsoft.com/office/drawing/2014/main" id="{00000000-0008-0000-0400-0000F8000000}"/>
            </a:ext>
          </a:extLst>
        </xdr:cNvPr>
        <xdr:cNvSpPr/>
      </xdr:nvSpPr>
      <xdr:spPr>
        <a:xfrm>
          <a:off x="12954000" y="31051500"/>
          <a:ext cx="952500" cy="190500"/>
        </a:xfrm>
        <a:prstGeom prst="roundRect">
          <a:avLst>
            <a:gd name="adj" fmla="val 50000"/>
          </a:avLst>
        </a:prstGeom>
        <a:solidFill>
          <a:srgbClr val="FFFFFF"/>
        </a:solidFill>
        <a:ln w="9525" cap="flat">
          <a:solidFill>
            <a:srgbClr val="C46B39"/>
          </a:solidFill>
          <a:round/>
        </a:ln>
      </xdr:spPr>
      <xdr:txBody>
        <a:bodyPr vertOverflow="overflow" horzOverflow="overflow" wrap="none" lIns="25400" tIns="0" rIns="25400" bIns="0" rtlCol="0" anchor="ctr">
          <a:noAutofit/>
        </a:bodyPr>
        <a:lstStyle/>
        <a:p>
          <a:pPr algn="ctr"/>
          <a:r>
            <a:rPr lang="ja-JP" altLang="en-US" sz="750" b="0" dirty="0">
              <a:solidFill>
                <a:srgbClr val="954717"/>
              </a:solidFill>
              <a:latin typeface="Meiryo UI"/>
              <a:ea typeface="Meiryo UI"/>
              <a:cs typeface="Meiryo UI"/>
            </a:rPr>
            <a:t>SFTP（日次）</a:t>
          </a:r>
          <a:endParaRPr lang="ja-JP" altLang="en-US" sz="750" dirty="0">
            <a:latin typeface="Meiryo UI"/>
            <a:ea typeface="Meiryo UI"/>
          </a:endParaRPr>
        </a:p>
      </xdr:txBody>
    </xdr:sp>
    <xdr:clientData/>
  </xdr:twoCellAnchor>
  <xdr:twoCellAnchor editAs="oneCell">
    <xdr:from>
      <xdr:col>11</xdr:col>
      <xdr:colOff>0</xdr:colOff>
      <xdr:row>166</xdr:row>
      <xdr:rowOff>0</xdr:rowOff>
    </xdr:from>
    <xdr:to>
      <xdr:col>13</xdr:col>
      <xdr:colOff>0</xdr:colOff>
      <xdr:row>167</xdr:row>
      <xdr:rowOff>0</xdr:rowOff>
    </xdr:to>
    <xdr:sp macro="" textlink="">
      <xdr:nvSpPr>
        <xdr:cNvPr id="249" name="タグ: 新規">
          <a:extLst>
            <a:ext uri="{FF2B5EF4-FFF2-40B4-BE49-F238E27FC236}">
              <a16:creationId xmlns:a16="http://schemas.microsoft.com/office/drawing/2014/main" id="{00000000-0008-0000-0400-0000F9000000}"/>
            </a:ext>
          </a:extLst>
        </xdr:cNvPr>
        <xdr:cNvSpPr/>
      </xdr:nvSpPr>
      <xdr:spPr>
        <a:xfrm>
          <a:off x="2095500" y="31623000"/>
          <a:ext cx="381000" cy="190500"/>
        </a:xfrm>
        <a:prstGeom prst="rect">
          <a:avLst/>
        </a:prstGeom>
        <a:solidFill>
          <a:srgbClr val="C00000"/>
        </a:solidFill>
        <a:ln w="9525" cap="flat">
          <a:solidFill>
            <a:srgbClr val="C00000"/>
          </a:solidFill>
          <a:round/>
        </a:ln>
      </xdr:spPr>
      <xdr:txBody>
        <a:bodyPr vertOverflow="overflow" horzOverflow="overflow" wrap="none" lIns="0" tIns="0" rIns="0" bIns="0" rtlCol="0" anchor="ctr">
          <a:noAutofit/>
        </a:bodyPr>
        <a:lstStyle/>
        <a:p>
          <a:pPr algn="ctr"/>
          <a:r>
            <a:rPr lang="ja-JP" altLang="en-US" sz="700" b="1" dirty="0">
              <a:solidFill>
                <a:srgbClr val="FFFFFF"/>
              </a:solidFill>
              <a:latin typeface="Meiryo UI"/>
              <a:ea typeface="Meiryo UI"/>
              <a:cs typeface="Meiryo UI"/>
            </a:rPr>
            <a:t>新規</a:t>
          </a:r>
          <a:endParaRPr lang="ja-JP" altLang="en-US" sz="700" dirty="0">
            <a:latin typeface="Meiryo UI"/>
            <a:ea typeface="Meiryo UI"/>
          </a:endParaRPr>
        </a:p>
      </xdr:txBody>
    </xdr:sp>
    <xdr:clientData/>
  </xdr:twoCellAnchor>
  <xdr:twoCellAnchor editAs="oneCell">
    <xdr:from>
      <xdr:col>14</xdr:col>
      <xdr:colOff>0</xdr:colOff>
      <xdr:row>166</xdr:row>
      <xdr:rowOff>0</xdr:rowOff>
    </xdr:from>
    <xdr:to>
      <xdr:col>16</xdr:col>
      <xdr:colOff>0</xdr:colOff>
      <xdr:row>167</xdr:row>
      <xdr:rowOff>0</xdr:rowOff>
    </xdr:to>
    <xdr:sp macro="" textlink="">
      <xdr:nvSpPr>
        <xdr:cNvPr id="250" name="タグ: 変更">
          <a:extLst>
            <a:ext uri="{FF2B5EF4-FFF2-40B4-BE49-F238E27FC236}">
              <a16:creationId xmlns:a16="http://schemas.microsoft.com/office/drawing/2014/main" id="{00000000-0008-0000-0400-0000FA000000}"/>
            </a:ext>
          </a:extLst>
        </xdr:cNvPr>
        <xdr:cNvSpPr/>
      </xdr:nvSpPr>
      <xdr:spPr>
        <a:xfrm>
          <a:off x="2667000" y="31623000"/>
          <a:ext cx="381000" cy="190500"/>
        </a:xfrm>
        <a:prstGeom prst="rect">
          <a:avLst/>
        </a:prstGeom>
        <a:solidFill>
          <a:srgbClr val="FFFFFF"/>
        </a:solidFill>
        <a:ln w="9525" cap="flat">
          <a:solidFill>
            <a:srgbClr val="C00000"/>
          </a:solidFill>
          <a:round/>
        </a:ln>
      </xdr:spPr>
      <xdr:txBody>
        <a:bodyPr vertOverflow="overflow" horzOverflow="overflow" wrap="none" lIns="0" tIns="0" rIns="0" bIns="0" rtlCol="0" anchor="ctr">
          <a:noAutofit/>
        </a:bodyPr>
        <a:lstStyle/>
        <a:p>
          <a:pPr algn="ctr"/>
          <a:r>
            <a:rPr lang="ja-JP" altLang="en-US" sz="700" b="1" dirty="0">
              <a:solidFill>
                <a:srgbClr val="C00000"/>
              </a:solidFill>
              <a:latin typeface="Meiryo UI"/>
              <a:ea typeface="Meiryo UI"/>
              <a:cs typeface="Meiryo UI"/>
            </a:rPr>
            <a:t>変更</a:t>
          </a:r>
          <a:endParaRPr lang="ja-JP" altLang="en-US" sz="700" dirty="0">
            <a:latin typeface="Meiryo UI"/>
            <a:ea typeface="Meiryo UI"/>
          </a:endParaRPr>
        </a:p>
      </xdr:txBody>
    </xdr:sp>
    <xdr:clientData/>
  </xdr:twoCellAnchor>
  <xdr:twoCellAnchor editAs="oneCell">
    <xdr:from>
      <xdr:col>17</xdr:col>
      <xdr:colOff>0</xdr:colOff>
      <xdr:row>166</xdr:row>
      <xdr:rowOff>0</xdr:rowOff>
    </xdr:from>
    <xdr:to>
      <xdr:col>19</xdr:col>
      <xdr:colOff>0</xdr:colOff>
      <xdr:row>167</xdr:row>
      <xdr:rowOff>0</xdr:rowOff>
    </xdr:to>
    <xdr:sp macro="" textlink="">
      <xdr:nvSpPr>
        <xdr:cNvPr id="251" name="タグ: 既存">
          <a:extLst>
            <a:ext uri="{FF2B5EF4-FFF2-40B4-BE49-F238E27FC236}">
              <a16:creationId xmlns:a16="http://schemas.microsoft.com/office/drawing/2014/main" id="{00000000-0008-0000-0400-0000FB000000}"/>
            </a:ext>
          </a:extLst>
        </xdr:cNvPr>
        <xdr:cNvSpPr/>
      </xdr:nvSpPr>
      <xdr:spPr>
        <a:xfrm>
          <a:off x="3238500" y="31623000"/>
          <a:ext cx="381000" cy="190500"/>
        </a:xfrm>
        <a:prstGeom prst="rect">
          <a:avLst/>
        </a:prstGeom>
        <a:solidFill>
          <a:srgbClr val="E6E6E6"/>
        </a:solidFill>
        <a:ln w="9525" cap="flat">
          <a:solidFill>
            <a:srgbClr val="E6E6E6"/>
          </a:solidFill>
          <a:round/>
        </a:ln>
      </xdr:spPr>
      <xdr:txBody>
        <a:bodyPr vertOverflow="overflow" horzOverflow="overflow" wrap="none" lIns="0" tIns="0" rIns="0" bIns="0" rtlCol="0" anchor="ctr">
          <a:noAutofit/>
        </a:bodyPr>
        <a:lstStyle/>
        <a:p>
          <a:pPr algn="ctr"/>
          <a:r>
            <a:rPr lang="ja-JP" altLang="en-US" sz="700" b="1" dirty="0">
              <a:solidFill>
                <a:srgbClr val="595959"/>
              </a:solidFill>
              <a:latin typeface="Meiryo UI"/>
              <a:ea typeface="Meiryo UI"/>
              <a:cs typeface="Meiryo UI"/>
            </a:rPr>
            <a:t>既存</a:t>
          </a:r>
          <a:endParaRPr lang="ja-JP" altLang="en-US" sz="700" dirty="0">
            <a:latin typeface="Meiryo UI"/>
            <a:ea typeface="Meiryo UI"/>
          </a:endParaRPr>
        </a:p>
      </xdr:txBody>
    </xdr:sp>
    <xdr:clientData/>
  </xdr:twoCellAnchor>
  <xdr:twoCellAnchor editAs="oneCell">
    <xdr:from>
      <xdr:col>20</xdr:col>
      <xdr:colOff>0</xdr:colOff>
      <xdr:row>166</xdr:row>
      <xdr:rowOff>0</xdr:rowOff>
    </xdr:from>
    <xdr:to>
      <xdr:col>22</xdr:col>
      <xdr:colOff>0</xdr:colOff>
      <xdr:row>167</xdr:row>
      <xdr:rowOff>0</xdr:rowOff>
    </xdr:to>
    <xdr:sp macro="" textlink="">
      <xdr:nvSpPr>
        <xdr:cNvPr id="252" name="タグ: 将来">
          <a:extLst>
            <a:ext uri="{FF2B5EF4-FFF2-40B4-BE49-F238E27FC236}">
              <a16:creationId xmlns:a16="http://schemas.microsoft.com/office/drawing/2014/main" id="{00000000-0008-0000-0400-0000FC000000}"/>
            </a:ext>
          </a:extLst>
        </xdr:cNvPr>
        <xdr:cNvSpPr/>
      </xdr:nvSpPr>
      <xdr:spPr>
        <a:xfrm>
          <a:off x="3810000" y="31623000"/>
          <a:ext cx="381000" cy="190500"/>
        </a:xfrm>
        <a:prstGeom prst="rect">
          <a:avLst/>
        </a:prstGeom>
        <a:solidFill>
          <a:srgbClr val="FFFFFF"/>
        </a:solidFill>
        <a:ln w="9525" cap="flat">
          <a:solidFill>
            <a:srgbClr val="7F7F7F"/>
          </a:solidFill>
          <a:prstDash val="dash"/>
          <a:round/>
        </a:ln>
      </xdr:spPr>
      <xdr:txBody>
        <a:bodyPr vertOverflow="overflow" horzOverflow="overflow" wrap="none" lIns="0" tIns="0" rIns="0" bIns="0" rtlCol="0" anchor="ctr">
          <a:noAutofit/>
        </a:bodyPr>
        <a:lstStyle/>
        <a:p>
          <a:pPr algn="ctr"/>
          <a:r>
            <a:rPr lang="ja-JP" altLang="en-US" sz="700" b="1" dirty="0">
              <a:solidFill>
                <a:srgbClr val="595959"/>
              </a:solidFill>
              <a:latin typeface="Meiryo UI"/>
              <a:ea typeface="Meiryo UI"/>
              <a:cs typeface="Meiryo UI"/>
            </a:rPr>
            <a:t>将来</a:t>
          </a:r>
          <a:endParaRPr lang="ja-JP" altLang="en-US" sz="700" dirty="0">
            <a:latin typeface="Meiryo UI"/>
            <a:ea typeface="Meiryo UI"/>
          </a:endParaRPr>
        </a:p>
      </xdr:txBody>
    </xdr:sp>
    <xdr:clientData/>
  </xdr:twoCellAnchor>
  <xdr:twoCellAnchor editAs="oneCell">
    <xdr:from>
      <xdr:col>27</xdr:col>
      <xdr:colOff>0</xdr:colOff>
      <xdr:row>166</xdr:row>
      <xdr:rowOff>0</xdr:rowOff>
    </xdr:from>
    <xdr:to>
      <xdr:col>57</xdr:col>
      <xdr:colOff>0</xdr:colOff>
      <xdr:row>167</xdr:row>
      <xdr:rowOff>0</xdr:rowOff>
    </xdr:to>
    <xdr:sp macro="" textlink="">
      <xdr:nvSpPr>
        <xdr:cNvPr id="253" name="テキスト">
          <a:extLst>
            <a:ext uri="{FF2B5EF4-FFF2-40B4-BE49-F238E27FC236}">
              <a16:creationId xmlns:a16="http://schemas.microsoft.com/office/drawing/2014/main" id="{00000000-0008-0000-0400-0000FD000000}"/>
            </a:ext>
          </a:extLst>
        </xdr:cNvPr>
        <xdr:cNvSpPr/>
      </xdr:nvSpPr>
      <xdr:spPr>
        <a:xfrm>
          <a:off x="5143500" y="31623000"/>
          <a:ext cx="5715000" cy="190500"/>
        </a:xfrm>
        <a:prstGeom prst="rect">
          <a:avLst/>
        </a:prstGeom>
        <a:noFill/>
        <a:ln>
          <a:noFill/>
        </a:ln>
      </xdr:spPr>
      <xdr:txBody>
        <a:bodyPr vertOverflow="overflow" horzOverflow="overflow" wrap="square" lIns="12700" tIns="0" rIns="12700" bIns="0" rtlCol="0" anchor="ctr">
          <a:noAutofit/>
        </a:bodyPr>
        <a:lstStyle/>
        <a:p>
          <a:pPr algn="l"/>
          <a:r>
            <a:rPr lang="ja-JP" altLang="en-US" sz="750" b="0" dirty="0">
              <a:solidFill>
                <a:srgbClr val="595959"/>
              </a:solidFill>
              <a:latin typeface="Meiryo UI"/>
              <a:ea typeface="Meiryo UI"/>
              <a:cs typeface="Meiryo UI"/>
            </a:rPr>
            <a:t>← 状態タグ（新規・変更は赤。差分レビュー時のみ使用）</a:t>
          </a:r>
          <a:endParaRPr lang="ja-JP" altLang="en-US" sz="750" dirty="0">
            <a:latin typeface="Meiryo UI"/>
            <a:ea typeface="Meiryo UI"/>
          </a:endParaRPr>
        </a:p>
      </xdr:txBody>
    </xdr:sp>
    <xdr:clientData/>
  </xdr:twoCellAnchor>
  <xdr:twoCellAnchor editAs="oneCell">
    <xdr:from>
      <xdr:col>11</xdr:col>
      <xdr:colOff>0</xdr:colOff>
      <xdr:row>174</xdr:row>
      <xdr:rowOff>0</xdr:rowOff>
    </xdr:from>
    <xdr:to>
      <xdr:col>25</xdr:col>
      <xdr:colOff>0</xdr:colOff>
      <xdr:row>180</xdr:row>
      <xdr:rowOff>0</xdr:rowOff>
    </xdr:to>
    <xdr:sp macro="" textlink="">
      <xdr:nvSpPr>
        <xdr:cNvPr id="254" name="ゾーン: 共通基盤・運用">
          <a:extLst>
            <a:ext uri="{FF2B5EF4-FFF2-40B4-BE49-F238E27FC236}">
              <a16:creationId xmlns:a16="http://schemas.microsoft.com/office/drawing/2014/main" id="{00000000-0008-0000-0400-0000FE000000}"/>
            </a:ext>
          </a:extLst>
        </xdr:cNvPr>
        <xdr:cNvSpPr/>
      </xdr:nvSpPr>
      <xdr:spPr>
        <a:xfrm>
          <a:off x="2095500" y="33147000"/>
          <a:ext cx="2667000" cy="1143000"/>
        </a:xfrm>
        <a:prstGeom prst="rect">
          <a:avLst/>
        </a:prstGeom>
        <a:solidFill>
          <a:srgbClr val="F7F7F7"/>
        </a:solidFill>
        <a:ln w="9525" cap="flat">
          <a:solidFill>
            <a:srgbClr val="D9D9D9"/>
          </a:solidFill>
          <a:round/>
        </a:ln>
      </xdr:spPr>
      <xdr:txBody>
        <a:bodyPr vertOverflow="overflow" horzOverflow="overflow" wrap="square" lIns="76200" tIns="50800" rIns="76200" bIns="50800" rtlCol="0" anchor="t">
          <a:noAutofit/>
        </a:bodyPr>
        <a:lstStyle/>
        <a:p>
          <a:pPr algn="l"/>
          <a:r>
            <a:rPr lang="ja-JP" altLang="en-US" sz="950" b="1" dirty="0">
              <a:solidFill>
                <a:srgbClr val="262626"/>
              </a:solidFill>
              <a:latin typeface="Meiryo UI"/>
              <a:ea typeface="Meiryo UI"/>
              <a:cs typeface="Meiryo UI"/>
            </a:rPr>
            <a:t>共通基盤・運用</a:t>
          </a:r>
          <a:endParaRPr lang="ja-JP" altLang="en-US" sz="950" dirty="0">
            <a:latin typeface="Meiryo UI"/>
            <a:ea typeface="Meiryo UI"/>
          </a:endParaRPr>
        </a:p>
        <a:p>
          <a:pPr algn="l"/>
          <a:r>
            <a:rPr lang="ja-JP" altLang="en-US" sz="750" b="0" dirty="0">
              <a:solidFill>
                <a:srgbClr val="595959"/>
              </a:solidFill>
              <a:latin typeface="Meiryo UI"/>
              <a:ea typeface="Meiryo UI"/>
              <a:cs typeface="Meiryo UI"/>
            </a:rPr>
            <a:t>接続元のまとまり</a:t>
          </a:r>
          <a:endParaRPr lang="ja-JP" altLang="en-US" sz="750" dirty="0">
            <a:latin typeface="Meiryo UI"/>
            <a:ea typeface="Meiryo UI"/>
          </a:endParaRPr>
        </a:p>
      </xdr:txBody>
    </xdr:sp>
    <xdr:clientData/>
  </xdr:twoCellAnchor>
  <xdr:twoCellAnchor editAs="oneCell">
    <xdr:from>
      <xdr:col>27</xdr:col>
      <xdr:colOff>0</xdr:colOff>
      <xdr:row>174</xdr:row>
      <xdr:rowOff>0</xdr:rowOff>
    </xdr:from>
    <xdr:to>
      <xdr:col>41</xdr:col>
      <xdr:colOff>0</xdr:colOff>
      <xdr:row>180</xdr:row>
      <xdr:rowOff>0</xdr:rowOff>
    </xdr:to>
    <xdr:sp macro="" textlink="">
      <xdr:nvSpPr>
        <xdr:cNvPr id="255" name="ゾーン: ルートA｜Salesforce">
          <a:extLst>
            <a:ext uri="{FF2B5EF4-FFF2-40B4-BE49-F238E27FC236}">
              <a16:creationId xmlns:a16="http://schemas.microsoft.com/office/drawing/2014/main" id="{00000000-0008-0000-0400-0000FF000000}"/>
            </a:ext>
          </a:extLst>
        </xdr:cNvPr>
        <xdr:cNvSpPr/>
      </xdr:nvSpPr>
      <xdr:spPr>
        <a:xfrm>
          <a:off x="5143500" y="33147000"/>
          <a:ext cx="2667000" cy="1143000"/>
        </a:xfrm>
        <a:prstGeom prst="rect">
          <a:avLst/>
        </a:prstGeom>
        <a:solidFill>
          <a:srgbClr val="F3F8FF"/>
        </a:solidFill>
        <a:ln w="9525" cap="flat">
          <a:solidFill>
            <a:srgbClr val="BCD3F2"/>
          </a:solidFill>
          <a:round/>
        </a:ln>
      </xdr:spPr>
      <xdr:txBody>
        <a:bodyPr vertOverflow="overflow" horzOverflow="overflow" wrap="square" lIns="76200" tIns="50800" rIns="76200" bIns="50800" rtlCol="0" anchor="t">
          <a:noAutofit/>
        </a:bodyPr>
        <a:lstStyle/>
        <a:p>
          <a:pPr algn="l"/>
          <a:r>
            <a:rPr lang="ja-JP" altLang="en-US" sz="950" b="1" dirty="0">
              <a:solidFill>
                <a:srgbClr val="113866"/>
              </a:solidFill>
              <a:latin typeface="Meiryo UI"/>
              <a:ea typeface="Meiryo UI"/>
              <a:cs typeface="Meiryo UI"/>
            </a:rPr>
            <a:t>ルートA｜Salesforce</a:t>
          </a:r>
          <a:endParaRPr lang="ja-JP" altLang="en-US" sz="950" dirty="0">
            <a:latin typeface="Meiryo UI"/>
            <a:ea typeface="Meiryo UI"/>
          </a:endParaRPr>
        </a:p>
        <a:p>
          <a:pPr algn="l"/>
          <a:r>
            <a:rPr lang="ja-JP" altLang="en-US" sz="750" b="0" dirty="0">
              <a:solidFill>
                <a:srgbClr val="595959"/>
              </a:solidFill>
              <a:latin typeface="Meiryo UI"/>
              <a:ea typeface="Meiryo UI"/>
              <a:cs typeface="Meiryo UI"/>
            </a:rPr>
            <a:t>接続元のまとまり</a:t>
          </a:r>
          <a:endParaRPr lang="ja-JP" altLang="en-US" sz="750" dirty="0">
            <a:latin typeface="Meiryo UI"/>
            <a:ea typeface="Meiryo UI"/>
          </a:endParaRPr>
        </a:p>
      </xdr:txBody>
    </xdr:sp>
    <xdr:clientData/>
  </xdr:twoCellAnchor>
  <xdr:twoCellAnchor editAs="oneCell">
    <xdr:from>
      <xdr:col>43</xdr:col>
      <xdr:colOff>0</xdr:colOff>
      <xdr:row>174</xdr:row>
      <xdr:rowOff>0</xdr:rowOff>
    </xdr:from>
    <xdr:to>
      <xdr:col>57</xdr:col>
      <xdr:colOff>0</xdr:colOff>
      <xdr:row>180</xdr:row>
      <xdr:rowOff>0</xdr:rowOff>
    </xdr:to>
    <xdr:sp macro="" textlink="">
      <xdr:nvSpPr>
        <xdr:cNvPr id="256" name="ゾーン: ルートB｜社内（イントラ）">
          <a:extLst>
            <a:ext uri="{FF2B5EF4-FFF2-40B4-BE49-F238E27FC236}">
              <a16:creationId xmlns:a16="http://schemas.microsoft.com/office/drawing/2014/main" id="{00000000-0008-0000-0400-000000010000}"/>
            </a:ext>
          </a:extLst>
        </xdr:cNvPr>
        <xdr:cNvSpPr/>
      </xdr:nvSpPr>
      <xdr:spPr>
        <a:xfrm>
          <a:off x="8191500" y="33147000"/>
          <a:ext cx="2667000" cy="1143000"/>
        </a:xfrm>
        <a:prstGeom prst="rect">
          <a:avLst/>
        </a:prstGeom>
        <a:solidFill>
          <a:srgbClr val="F1FAF7"/>
        </a:solidFill>
        <a:ln w="9525" cap="flat">
          <a:solidFill>
            <a:srgbClr val="B0DCCF"/>
          </a:solidFill>
          <a:round/>
        </a:ln>
      </xdr:spPr>
      <xdr:txBody>
        <a:bodyPr vertOverflow="overflow" horzOverflow="overflow" wrap="square" lIns="76200" tIns="50800" rIns="76200" bIns="50800" rtlCol="0" anchor="t">
          <a:noAutofit/>
        </a:bodyPr>
        <a:lstStyle/>
        <a:p>
          <a:pPr algn="l"/>
          <a:r>
            <a:rPr lang="ja-JP" altLang="en-US" sz="950" b="1" dirty="0">
              <a:solidFill>
                <a:srgbClr val="005243"/>
              </a:solidFill>
              <a:latin typeface="Meiryo UI"/>
              <a:ea typeface="Meiryo UI"/>
              <a:cs typeface="Meiryo UI"/>
            </a:rPr>
            <a:t>ルートB｜社内（イントラ）</a:t>
          </a:r>
          <a:endParaRPr lang="ja-JP" altLang="en-US" sz="950" dirty="0">
            <a:latin typeface="Meiryo UI"/>
            <a:ea typeface="Meiryo UI"/>
          </a:endParaRPr>
        </a:p>
        <a:p>
          <a:pPr algn="l"/>
          <a:r>
            <a:rPr lang="ja-JP" altLang="en-US" sz="750" b="0" dirty="0">
              <a:solidFill>
                <a:srgbClr val="595959"/>
              </a:solidFill>
              <a:latin typeface="Meiryo UI"/>
              <a:ea typeface="Meiryo UI"/>
              <a:cs typeface="Meiryo UI"/>
            </a:rPr>
            <a:t>接続元のまとまり</a:t>
          </a:r>
          <a:endParaRPr lang="ja-JP" altLang="en-US" sz="750" dirty="0">
            <a:latin typeface="Meiryo UI"/>
            <a:ea typeface="Meiryo UI"/>
          </a:endParaRPr>
        </a:p>
      </xdr:txBody>
    </xdr:sp>
    <xdr:clientData/>
  </xdr:twoCellAnchor>
  <xdr:twoCellAnchor editAs="oneCell">
    <xdr:from>
      <xdr:col>59</xdr:col>
      <xdr:colOff>0</xdr:colOff>
      <xdr:row>174</xdr:row>
      <xdr:rowOff>0</xdr:rowOff>
    </xdr:from>
    <xdr:to>
      <xdr:col>73</xdr:col>
      <xdr:colOff>0</xdr:colOff>
      <xdr:row>180</xdr:row>
      <xdr:rowOff>0</xdr:rowOff>
    </xdr:to>
    <xdr:sp macro="" textlink="">
      <xdr:nvSpPr>
        <xdr:cNvPr id="257" name="ゾーン: ルートC｜外部">
          <a:extLst>
            <a:ext uri="{FF2B5EF4-FFF2-40B4-BE49-F238E27FC236}">
              <a16:creationId xmlns:a16="http://schemas.microsoft.com/office/drawing/2014/main" id="{00000000-0008-0000-0400-000001010000}"/>
            </a:ext>
          </a:extLst>
        </xdr:cNvPr>
        <xdr:cNvSpPr/>
      </xdr:nvSpPr>
      <xdr:spPr>
        <a:xfrm>
          <a:off x="11239500" y="33147000"/>
          <a:ext cx="2667000" cy="1143000"/>
        </a:xfrm>
        <a:prstGeom prst="rect">
          <a:avLst/>
        </a:prstGeom>
        <a:solidFill>
          <a:srgbClr val="FEF6F2"/>
        </a:solidFill>
        <a:ln w="9525" cap="flat">
          <a:solidFill>
            <a:srgbClr val="EEC8B5"/>
          </a:solidFill>
          <a:round/>
        </a:ln>
      </xdr:spPr>
      <xdr:txBody>
        <a:bodyPr vertOverflow="overflow" horzOverflow="overflow" wrap="square" lIns="76200" tIns="50800" rIns="76200" bIns="50800" rtlCol="0" anchor="t">
          <a:noAutofit/>
        </a:bodyPr>
        <a:lstStyle/>
        <a:p>
          <a:pPr algn="l"/>
          <a:r>
            <a:rPr lang="ja-JP" altLang="en-US" sz="950" b="1" dirty="0">
              <a:solidFill>
                <a:srgbClr val="954717"/>
              </a:solidFill>
              <a:latin typeface="Meiryo UI"/>
              <a:ea typeface="Meiryo UI"/>
              <a:cs typeface="Meiryo UI"/>
            </a:rPr>
            <a:t>ルートC｜外部</a:t>
          </a:r>
          <a:endParaRPr lang="ja-JP" altLang="en-US" sz="950" dirty="0">
            <a:latin typeface="Meiryo UI"/>
            <a:ea typeface="Meiryo UI"/>
          </a:endParaRPr>
        </a:p>
        <a:p>
          <a:pPr algn="l"/>
          <a:r>
            <a:rPr lang="ja-JP" altLang="en-US" sz="750" b="0" dirty="0">
              <a:solidFill>
                <a:srgbClr val="595959"/>
              </a:solidFill>
              <a:latin typeface="Meiryo UI"/>
              <a:ea typeface="Meiryo UI"/>
              <a:cs typeface="Meiryo UI"/>
            </a:rPr>
            <a:t>接続元のまとまり</a:t>
          </a:r>
          <a:endParaRPr lang="ja-JP" altLang="en-US" sz="750" dirty="0">
            <a:latin typeface="Meiryo UI"/>
            <a:ea typeface="Meiryo UI"/>
          </a:endParaRPr>
        </a:p>
      </xdr:txBody>
    </xdr:sp>
    <xdr:clientData/>
  </xdr:twoCellAnchor>
  <xdr:twoCellAnchor editAs="oneCell">
    <xdr:from>
      <xdr:col>11</xdr:col>
      <xdr:colOff>0</xdr:colOff>
      <xdr:row>181</xdr:row>
      <xdr:rowOff>0</xdr:rowOff>
    </xdr:from>
    <xdr:to>
      <xdr:col>25</xdr:col>
      <xdr:colOff>0</xdr:colOff>
      <xdr:row>187</xdr:row>
      <xdr:rowOff>0</xdr:rowOff>
    </xdr:to>
    <xdr:grpSp>
      <xdr:nvGrpSpPr>
        <xdr:cNvPr id="260" name="ゾーン: AWS Cloud（ロゴ付き）">
          <a:extLst>
            <a:ext uri="{FF2B5EF4-FFF2-40B4-BE49-F238E27FC236}">
              <a16:creationId xmlns:a16="http://schemas.microsoft.com/office/drawing/2014/main" id="{00000000-0008-0000-0400-000004010000}"/>
            </a:ext>
          </a:extLst>
        </xdr:cNvPr>
        <xdr:cNvGrpSpPr/>
      </xdr:nvGrpSpPr>
      <xdr:grpSpPr>
        <a:xfrm>
          <a:off x="2095500" y="32646938"/>
          <a:ext cx="2667000" cy="1071562"/>
          <a:chOff x="2095500" y="34480500"/>
          <a:chExt cx="2667000" cy="1143000"/>
        </a:xfrm>
      </xdr:grpSpPr>
      <xdr:sp macro="" textlink="">
        <xdr:nvSpPr>
          <xdr:cNvPr id="258" name="枠: AWS Cloud">
            <a:extLst>
              <a:ext uri="{FF2B5EF4-FFF2-40B4-BE49-F238E27FC236}">
                <a16:creationId xmlns:a16="http://schemas.microsoft.com/office/drawing/2014/main" id="{00000000-0008-0000-0400-000002010000}"/>
              </a:ext>
            </a:extLst>
          </xdr:cNvPr>
          <xdr:cNvSpPr/>
        </xdr:nvSpPr>
        <xdr:spPr>
          <a:xfrm>
            <a:off x="2095500" y="34480500"/>
            <a:ext cx="2667000" cy="1143000"/>
          </a:xfrm>
          <a:prstGeom prst="rect">
            <a:avLst/>
          </a:prstGeom>
          <a:solidFill>
            <a:srgbClr val="FFFFFF"/>
          </a:solidFill>
          <a:ln w="15875" cap="flat">
            <a:solidFill>
              <a:srgbClr val="262626"/>
            </a:solidFill>
            <a:round/>
          </a:ln>
        </xdr:spPr>
        <xdr:txBody>
          <a:bodyPr vertOverflow="overflow" horzOverflow="overflow" wrap="square" lIns="330200" tIns="44450" rIns="76200" bIns="38100" rtlCol="0" anchor="t">
            <a:noAutofit/>
          </a:bodyPr>
          <a:lstStyle/>
          <a:p>
            <a:pPr algn="l"/>
            <a:r>
              <a:rPr lang="ja-JP" altLang="en-US" sz="1000" b="1" dirty="0">
                <a:solidFill>
                  <a:srgbClr val="262626"/>
                </a:solidFill>
                <a:latin typeface="Meiryo UI"/>
                <a:ea typeface="Meiryo UI"/>
                <a:cs typeface="Meiryo UI"/>
              </a:rPr>
              <a:t>AWS Cloud</a:t>
            </a:r>
            <a:endParaRPr lang="ja-JP" altLang="en-US" sz="1000" dirty="0">
              <a:latin typeface="Meiryo UI"/>
              <a:ea typeface="Meiryo UI"/>
            </a:endParaRPr>
          </a:p>
        </xdr:txBody>
      </xdr:sp>
      <xdr:pic>
        <xdr:nvPicPr>
          <xdr:cNvPr id="259" name="ロゴ: AWS Cloud" descr="AWS Cloud">
            <a:extLst>
              <a:ext uri="{FF2B5EF4-FFF2-40B4-BE49-F238E27FC236}">
                <a16:creationId xmlns:a16="http://schemas.microsoft.com/office/drawing/2014/main" id="{00000000-0008-0000-0400-00000301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95500" y="34480500"/>
            <a:ext cx="254000" cy="254000"/>
          </a:xfrm>
          <a:prstGeom prst="rect">
            <a:avLst/>
          </a:prstGeom>
        </xdr:spPr>
      </xdr:pic>
    </xdr:grpSp>
    <xdr:clientData/>
  </xdr:twoCellAnchor>
  <xdr:twoCellAnchor editAs="oneCell">
    <xdr:from>
      <xdr:col>27</xdr:col>
      <xdr:colOff>0</xdr:colOff>
      <xdr:row>181</xdr:row>
      <xdr:rowOff>0</xdr:rowOff>
    </xdr:from>
    <xdr:to>
      <xdr:col>41</xdr:col>
      <xdr:colOff>0</xdr:colOff>
      <xdr:row>187</xdr:row>
      <xdr:rowOff>0</xdr:rowOff>
    </xdr:to>
    <xdr:sp macro="" textlink="">
      <xdr:nvSpPr>
        <xdr:cNvPr id="261" name="枠: VPC（10.0.0.0/16）">
          <a:extLst>
            <a:ext uri="{FF2B5EF4-FFF2-40B4-BE49-F238E27FC236}">
              <a16:creationId xmlns:a16="http://schemas.microsoft.com/office/drawing/2014/main" id="{00000000-0008-0000-0400-000005010000}"/>
            </a:ext>
          </a:extLst>
        </xdr:cNvPr>
        <xdr:cNvSpPr/>
      </xdr:nvSpPr>
      <xdr:spPr>
        <a:xfrm>
          <a:off x="5143500" y="34480500"/>
          <a:ext cx="2667000" cy="1143000"/>
        </a:xfrm>
        <a:prstGeom prst="rect">
          <a:avLst/>
        </a:prstGeom>
        <a:solidFill>
          <a:srgbClr val="FFFFFF"/>
        </a:solidFill>
        <a:ln w="12700" cap="flat">
          <a:solidFill>
            <a:srgbClr val="595959"/>
          </a:solidFill>
          <a:round/>
        </a:ln>
      </xdr:spPr>
      <xdr:txBody>
        <a:bodyPr vertOverflow="overflow" horzOverflow="overflow" wrap="square" lIns="63500" tIns="38100" rIns="63500" bIns="38100" rtlCol="0" anchor="t">
          <a:noAutofit/>
        </a:bodyPr>
        <a:lstStyle/>
        <a:p>
          <a:pPr algn="l"/>
          <a:r>
            <a:rPr lang="ja-JP" altLang="en-US" sz="850" b="1" dirty="0">
              <a:solidFill>
                <a:srgbClr val="262626"/>
              </a:solidFill>
              <a:latin typeface="Meiryo UI"/>
              <a:ea typeface="Meiryo UI"/>
              <a:cs typeface="Meiryo UI"/>
            </a:rPr>
            <a:t>VPC（10.0.0.0/16）</a:t>
          </a:r>
          <a:endParaRPr lang="ja-JP" altLang="en-US" sz="850" dirty="0">
            <a:latin typeface="Meiryo UI"/>
            <a:ea typeface="Meiryo UI"/>
          </a:endParaRPr>
        </a:p>
      </xdr:txBody>
    </xdr:sp>
    <xdr:clientData/>
  </xdr:twoCellAnchor>
  <xdr:twoCellAnchor editAs="oneCell">
    <xdr:from>
      <xdr:col>43</xdr:col>
      <xdr:colOff>0</xdr:colOff>
      <xdr:row>181</xdr:row>
      <xdr:rowOff>0</xdr:rowOff>
    </xdr:from>
    <xdr:to>
      <xdr:col>57</xdr:col>
      <xdr:colOff>0</xdr:colOff>
      <xdr:row>187</xdr:row>
      <xdr:rowOff>0</xdr:rowOff>
    </xdr:to>
    <xdr:sp macro="" textlink="">
      <xdr:nvSpPr>
        <xdr:cNvPr id="262" name="枠: プライベートサブネット">
          <a:extLst>
            <a:ext uri="{FF2B5EF4-FFF2-40B4-BE49-F238E27FC236}">
              <a16:creationId xmlns:a16="http://schemas.microsoft.com/office/drawing/2014/main" id="{00000000-0008-0000-0400-000006010000}"/>
            </a:ext>
          </a:extLst>
        </xdr:cNvPr>
        <xdr:cNvSpPr/>
      </xdr:nvSpPr>
      <xdr:spPr>
        <a:xfrm>
          <a:off x="8191500" y="34480500"/>
          <a:ext cx="2667000" cy="1143000"/>
        </a:xfrm>
        <a:prstGeom prst="rect">
          <a:avLst/>
        </a:prstGeom>
        <a:solidFill>
          <a:srgbClr val="F2F2F2"/>
        </a:solidFill>
        <a:ln>
          <a:noFill/>
        </a:ln>
      </xdr:spPr>
      <xdr:txBody>
        <a:bodyPr vertOverflow="overflow" horzOverflow="overflow" wrap="square" lIns="63500" tIns="38100" rIns="63500" bIns="38100" rtlCol="0" anchor="t">
          <a:noAutofit/>
        </a:bodyPr>
        <a:lstStyle/>
        <a:p>
          <a:pPr algn="l"/>
          <a:r>
            <a:rPr lang="ja-JP" altLang="en-US" sz="850" b="1" dirty="0">
              <a:solidFill>
                <a:srgbClr val="404040"/>
              </a:solidFill>
              <a:latin typeface="Meiryo UI"/>
              <a:ea typeface="Meiryo UI"/>
              <a:cs typeface="Meiryo UI"/>
            </a:rPr>
            <a:t>プライベートサブネット</a:t>
          </a:r>
          <a:endParaRPr lang="ja-JP" altLang="en-US" sz="850" dirty="0">
            <a:latin typeface="Meiryo UI"/>
            <a:ea typeface="Meiryo UI"/>
          </a:endParaRPr>
        </a:p>
      </xdr:txBody>
    </xdr:sp>
    <xdr:clientData/>
  </xdr:twoCellAnchor>
  <xdr:twoCellAnchor editAs="oneCell">
    <xdr:from>
      <xdr:col>59</xdr:col>
      <xdr:colOff>0</xdr:colOff>
      <xdr:row>181</xdr:row>
      <xdr:rowOff>0</xdr:rowOff>
    </xdr:from>
    <xdr:to>
      <xdr:col>73</xdr:col>
      <xdr:colOff>0</xdr:colOff>
      <xdr:row>187</xdr:row>
      <xdr:rowOff>0</xdr:rowOff>
    </xdr:to>
    <xdr:sp macro="" textlink="">
      <xdr:nvSpPr>
        <xdr:cNvPr id="263" name="枠: 論理グループ（AZ・SG 等）">
          <a:extLst>
            <a:ext uri="{FF2B5EF4-FFF2-40B4-BE49-F238E27FC236}">
              <a16:creationId xmlns:a16="http://schemas.microsoft.com/office/drawing/2014/main" id="{00000000-0008-0000-0400-000007010000}"/>
            </a:ext>
          </a:extLst>
        </xdr:cNvPr>
        <xdr:cNvSpPr/>
      </xdr:nvSpPr>
      <xdr:spPr>
        <a:xfrm>
          <a:off x="11239500" y="34480500"/>
          <a:ext cx="2667000" cy="1143000"/>
        </a:xfrm>
        <a:prstGeom prst="rect">
          <a:avLst/>
        </a:prstGeom>
        <a:noFill/>
        <a:ln w="9525" cap="flat">
          <a:solidFill>
            <a:srgbClr val="8C8C8C"/>
          </a:solidFill>
          <a:prstDash val="dash"/>
          <a:round/>
        </a:ln>
      </xdr:spPr>
      <xdr:txBody>
        <a:bodyPr vertOverflow="overflow" horzOverflow="overflow" wrap="square" lIns="63500" tIns="38100" rIns="63500" bIns="38100" rtlCol="0" anchor="t">
          <a:noAutofit/>
        </a:bodyPr>
        <a:lstStyle/>
        <a:p>
          <a:pPr algn="l"/>
          <a:r>
            <a:rPr lang="ja-JP" altLang="en-US" sz="850" b="1" dirty="0">
              <a:solidFill>
                <a:srgbClr val="404040"/>
              </a:solidFill>
              <a:latin typeface="Meiryo UI"/>
              <a:ea typeface="Meiryo UI"/>
              <a:cs typeface="Meiryo UI"/>
            </a:rPr>
            <a:t>論理グループ（AZ・SG 等）</a:t>
          </a:r>
          <a:endParaRPr lang="ja-JP" altLang="en-US" sz="850" dirty="0">
            <a:latin typeface="Meiryo UI"/>
            <a:ea typeface="Meiryo UI"/>
          </a:endParaRPr>
        </a:p>
      </xdr:txBody>
    </xdr:sp>
    <xdr:clientData/>
  </xdr:twoCellAnchor>
  <xdr:twoCellAnchor editAs="oneCell">
    <xdr:from>
      <xdr:col>11</xdr:col>
      <xdr:colOff>0</xdr:colOff>
      <xdr:row>188</xdr:row>
      <xdr:rowOff>0</xdr:rowOff>
    </xdr:from>
    <xdr:to>
      <xdr:col>25</xdr:col>
      <xdr:colOff>0</xdr:colOff>
      <xdr:row>194</xdr:row>
      <xdr:rowOff>0</xdr:rowOff>
    </xdr:to>
    <xdr:sp macro="" textlink="">
      <xdr:nvSpPr>
        <xdr:cNvPr id="264" name="枠: 社内拠点・データセンター">
          <a:extLst>
            <a:ext uri="{FF2B5EF4-FFF2-40B4-BE49-F238E27FC236}">
              <a16:creationId xmlns:a16="http://schemas.microsoft.com/office/drawing/2014/main" id="{00000000-0008-0000-0400-000008010000}"/>
            </a:ext>
          </a:extLst>
        </xdr:cNvPr>
        <xdr:cNvSpPr/>
      </xdr:nvSpPr>
      <xdr:spPr>
        <a:xfrm>
          <a:off x="2095500" y="35814000"/>
          <a:ext cx="2667000" cy="1143000"/>
        </a:xfrm>
        <a:prstGeom prst="rect">
          <a:avLst/>
        </a:prstGeom>
        <a:solidFill>
          <a:srgbClr val="FAFAFA"/>
        </a:solidFill>
        <a:ln w="9525" cap="flat">
          <a:solidFill>
            <a:srgbClr val="BFBFBF"/>
          </a:solidFill>
          <a:round/>
        </a:ln>
      </xdr:spPr>
      <xdr:txBody>
        <a:bodyPr vertOverflow="overflow" horzOverflow="overflow" wrap="square" lIns="63500" tIns="38100" rIns="63500" bIns="38100" rtlCol="0" anchor="t">
          <a:noAutofit/>
        </a:bodyPr>
        <a:lstStyle/>
        <a:p>
          <a:pPr algn="l"/>
          <a:r>
            <a:rPr lang="ja-JP" altLang="en-US" sz="850" b="1" dirty="0">
              <a:solidFill>
                <a:srgbClr val="262626"/>
              </a:solidFill>
              <a:latin typeface="Meiryo UI"/>
              <a:ea typeface="Meiryo UI"/>
              <a:cs typeface="Meiryo UI"/>
            </a:rPr>
            <a:t>社内拠点・データセンター</a:t>
          </a:r>
          <a:endParaRPr lang="ja-JP" altLang="en-US" sz="850" dirty="0">
            <a:latin typeface="Meiryo UI"/>
            <a:ea typeface="Meiryo UI"/>
          </a:endParaRPr>
        </a:p>
      </xdr:txBody>
    </xdr:sp>
    <xdr:clientData/>
  </xdr:twoCellAnchor>
  <xdr:twoCellAnchor editAs="oneCell">
    <xdr:from>
      <xdr:col>27</xdr:col>
      <xdr:colOff>0</xdr:colOff>
      <xdr:row>188</xdr:row>
      <xdr:rowOff>0</xdr:rowOff>
    </xdr:from>
    <xdr:to>
      <xdr:col>41</xdr:col>
      <xdr:colOff>0</xdr:colOff>
      <xdr:row>194</xdr:row>
      <xdr:rowOff>0</xdr:rowOff>
    </xdr:to>
    <xdr:sp macro="" textlink="">
      <xdr:nvSpPr>
        <xdr:cNvPr id="265" name="枠: 新規・変更（赤破線）">
          <a:extLst>
            <a:ext uri="{FF2B5EF4-FFF2-40B4-BE49-F238E27FC236}">
              <a16:creationId xmlns:a16="http://schemas.microsoft.com/office/drawing/2014/main" id="{00000000-0008-0000-0400-000009010000}"/>
            </a:ext>
          </a:extLst>
        </xdr:cNvPr>
        <xdr:cNvSpPr/>
      </xdr:nvSpPr>
      <xdr:spPr>
        <a:xfrm>
          <a:off x="5143500" y="35814000"/>
          <a:ext cx="2667000" cy="1143000"/>
        </a:xfrm>
        <a:prstGeom prst="rect">
          <a:avLst/>
        </a:prstGeom>
        <a:noFill/>
        <a:ln w="15875" cap="flat">
          <a:solidFill>
            <a:srgbClr val="C00000"/>
          </a:solidFill>
          <a:prstDash val="dash"/>
          <a:round/>
        </a:ln>
      </xdr:spPr>
      <xdr:txBody>
        <a:bodyPr vertOverflow="overflow" horzOverflow="overflow" wrap="square" lIns="63500" tIns="38100" rIns="63500" bIns="38100" rtlCol="0" anchor="t">
          <a:noAutofit/>
        </a:bodyPr>
        <a:lstStyle/>
        <a:p>
          <a:pPr algn="l"/>
          <a:r>
            <a:rPr lang="ja-JP" altLang="en-US" sz="850" b="1" dirty="0">
              <a:solidFill>
                <a:srgbClr val="C00000"/>
              </a:solidFill>
              <a:latin typeface="Meiryo UI"/>
              <a:ea typeface="Meiryo UI"/>
              <a:cs typeface="Meiryo UI"/>
            </a:rPr>
            <a:t>新規・変更（赤破線）</a:t>
          </a:r>
          <a:endParaRPr lang="ja-JP" altLang="en-US" sz="850" dirty="0">
            <a:latin typeface="Meiryo UI"/>
            <a:ea typeface="Meiryo UI"/>
          </a:endParaRPr>
        </a:p>
      </xdr:txBody>
    </xdr:sp>
    <xdr:clientData/>
  </xdr:twoCellAnchor>
  <xdr:twoCellAnchor editAs="oneCell">
    <xdr:from>
      <xdr:col>2</xdr:col>
      <xdr:colOff>0</xdr:colOff>
      <xdr:row>198</xdr:row>
      <xdr:rowOff>0</xdr:rowOff>
    </xdr:from>
    <xdr:to>
      <xdr:col>50</xdr:col>
      <xdr:colOff>0</xdr:colOff>
      <xdr:row>204</xdr:row>
      <xdr:rowOff>0</xdr:rowOff>
    </xdr:to>
    <xdr:grpSp>
      <xdr:nvGrpSpPr>
        <xdr:cNvPr id="298" name="凡例（部品）">
          <a:extLst>
            <a:ext uri="{FF2B5EF4-FFF2-40B4-BE49-F238E27FC236}">
              <a16:creationId xmlns:a16="http://schemas.microsoft.com/office/drawing/2014/main" id="{00000000-0008-0000-0400-00002A010000}"/>
            </a:ext>
          </a:extLst>
        </xdr:cNvPr>
        <xdr:cNvGrpSpPr/>
      </xdr:nvGrpSpPr>
      <xdr:grpSpPr>
        <a:xfrm>
          <a:off x="381000" y="35671125"/>
          <a:ext cx="9144000" cy="1143000"/>
          <a:chOff x="381000" y="37719000"/>
          <a:chExt cx="9144000" cy="1143000"/>
        </a:xfrm>
      </xdr:grpSpPr>
      <xdr:sp macro="" textlink="">
        <xdr:nvSpPr>
          <xdr:cNvPr id="266" name="凡例: 背景">
            <a:extLst>
              <a:ext uri="{FF2B5EF4-FFF2-40B4-BE49-F238E27FC236}">
                <a16:creationId xmlns:a16="http://schemas.microsoft.com/office/drawing/2014/main" id="{00000000-0008-0000-0400-00000A010000}"/>
              </a:ext>
            </a:extLst>
          </xdr:cNvPr>
          <xdr:cNvSpPr/>
        </xdr:nvSpPr>
        <xdr:spPr>
          <a:xfrm>
            <a:off x="381000" y="37719000"/>
            <a:ext cx="9144000" cy="1143000"/>
          </a:xfrm>
          <a:prstGeom prst="rect">
            <a:avLst/>
          </a:prstGeom>
          <a:solidFill>
            <a:srgbClr val="FFFFFF"/>
          </a:solidFill>
          <a:ln w="9525" cap="flat">
            <a:solidFill>
              <a:srgbClr val="A6A6A6"/>
            </a:solidFill>
            <a:round/>
          </a:ln>
        </xdr:spPr>
        <xdr:txBody>
          <a:bodyPr vertOverflow="overflow" horzOverflow="overflow" wrap="square" lIns="63500" tIns="38100" rIns="63500" bIns="38100" rtlCol="0" anchor="t">
            <a:noAutofit/>
          </a:bodyPr>
          <a:lstStyle/>
          <a:p>
            <a:pPr algn="l"/>
            <a:r>
              <a:rPr lang="ja-JP" altLang="en-US" sz="850" b="1" dirty="0">
                <a:solidFill>
                  <a:srgbClr val="262626"/>
                </a:solidFill>
                <a:latin typeface="Meiryo UI"/>
                <a:ea typeface="Meiryo UI"/>
                <a:cs typeface="Meiryo UI"/>
              </a:rPr>
              <a:t>凡例</a:t>
            </a:r>
            <a:endParaRPr lang="ja-JP" altLang="en-US" sz="850" dirty="0">
              <a:latin typeface="Meiryo UI"/>
              <a:ea typeface="Meiryo UI"/>
            </a:endParaRPr>
          </a:p>
        </xdr:txBody>
      </xdr:sp>
      <xdr:sp macro="" textlink="">
        <xdr:nvSpPr>
          <xdr:cNvPr id="267" name="凡例: 見出し">
            <a:extLst>
              <a:ext uri="{FF2B5EF4-FFF2-40B4-BE49-F238E27FC236}">
                <a16:creationId xmlns:a16="http://schemas.microsoft.com/office/drawing/2014/main" id="{00000000-0008-0000-0400-00000B010000}"/>
              </a:ext>
            </a:extLst>
          </xdr:cNvPr>
          <xdr:cNvSpPr/>
        </xdr:nvSpPr>
        <xdr:spPr>
          <a:xfrm>
            <a:off x="495300" y="37928550"/>
            <a:ext cx="800100" cy="190500"/>
          </a:xfrm>
          <a:prstGeom prst="rect">
            <a:avLst/>
          </a:prstGeom>
          <a:noFill/>
          <a:ln>
            <a:noFill/>
          </a:ln>
        </xdr:spPr>
        <xdr:txBody>
          <a:bodyPr vertOverflow="overflow" horzOverflow="overflow" wrap="square" lIns="0" tIns="0" rIns="0" bIns="0" rtlCol="0" anchor="ctr">
            <a:noAutofit/>
          </a:bodyPr>
          <a:lstStyle/>
          <a:p>
            <a:pPr algn="l"/>
            <a:r>
              <a:rPr lang="ja-JP" altLang="en-US" sz="750" b="1" dirty="0">
                <a:solidFill>
                  <a:srgbClr val="595959"/>
                </a:solidFill>
                <a:latin typeface="Meiryo UI"/>
                <a:ea typeface="Meiryo UI"/>
                <a:cs typeface="Meiryo UI"/>
              </a:rPr>
              <a:t>ルート（色）</a:t>
            </a:r>
            <a:endParaRPr lang="ja-JP" altLang="en-US" sz="750" dirty="0">
              <a:latin typeface="Meiryo UI"/>
              <a:ea typeface="Meiryo UI"/>
            </a:endParaRPr>
          </a:p>
        </xdr:txBody>
      </xdr:sp>
      <xdr:sp macro="" textlink="">
        <xdr:nvSpPr>
          <xdr:cNvPr id="268" name="凡例: 見出し">
            <a:extLst>
              <a:ext uri="{FF2B5EF4-FFF2-40B4-BE49-F238E27FC236}">
                <a16:creationId xmlns:a16="http://schemas.microsoft.com/office/drawing/2014/main" id="{00000000-0008-0000-0400-00000C010000}"/>
              </a:ext>
            </a:extLst>
          </xdr:cNvPr>
          <xdr:cNvSpPr/>
        </xdr:nvSpPr>
        <xdr:spPr>
          <a:xfrm>
            <a:off x="495300" y="38233350"/>
            <a:ext cx="800100" cy="190500"/>
          </a:xfrm>
          <a:prstGeom prst="rect">
            <a:avLst/>
          </a:prstGeom>
          <a:noFill/>
          <a:ln>
            <a:noFill/>
          </a:ln>
        </xdr:spPr>
        <xdr:txBody>
          <a:bodyPr vertOverflow="overflow" horzOverflow="overflow" wrap="square" lIns="0" tIns="0" rIns="0" bIns="0" rtlCol="0" anchor="ctr">
            <a:noAutofit/>
          </a:bodyPr>
          <a:lstStyle/>
          <a:p>
            <a:pPr algn="l"/>
            <a:r>
              <a:rPr lang="ja-JP" altLang="en-US" sz="750" b="1" dirty="0">
                <a:solidFill>
                  <a:srgbClr val="595959"/>
                </a:solidFill>
                <a:latin typeface="Meiryo UI"/>
                <a:ea typeface="Meiryo UI"/>
                <a:cs typeface="Meiryo UI"/>
              </a:rPr>
              <a:t>線の種類</a:t>
            </a:r>
            <a:endParaRPr lang="ja-JP" altLang="en-US" sz="750" dirty="0">
              <a:latin typeface="Meiryo UI"/>
              <a:ea typeface="Meiryo UI"/>
            </a:endParaRPr>
          </a:p>
        </xdr:txBody>
      </xdr:sp>
      <xdr:sp macro="" textlink="">
        <xdr:nvSpPr>
          <xdr:cNvPr id="269" name="凡例: 見出し">
            <a:extLst>
              <a:ext uri="{FF2B5EF4-FFF2-40B4-BE49-F238E27FC236}">
                <a16:creationId xmlns:a16="http://schemas.microsoft.com/office/drawing/2014/main" id="{00000000-0008-0000-0400-00000D010000}"/>
              </a:ext>
            </a:extLst>
          </xdr:cNvPr>
          <xdr:cNvSpPr/>
        </xdr:nvSpPr>
        <xdr:spPr>
          <a:xfrm>
            <a:off x="495300" y="38538150"/>
            <a:ext cx="800100" cy="190500"/>
          </a:xfrm>
          <a:prstGeom prst="rect">
            <a:avLst/>
          </a:prstGeom>
          <a:noFill/>
          <a:ln>
            <a:noFill/>
          </a:ln>
        </xdr:spPr>
        <xdr:txBody>
          <a:bodyPr vertOverflow="overflow" horzOverflow="overflow" wrap="square" lIns="0" tIns="0" rIns="0" bIns="0" rtlCol="0" anchor="ctr">
            <a:noAutofit/>
          </a:bodyPr>
          <a:lstStyle/>
          <a:p>
            <a:pPr algn="l"/>
            <a:r>
              <a:rPr lang="ja-JP" altLang="en-US" sz="750" b="1" dirty="0">
                <a:solidFill>
                  <a:srgbClr val="595959"/>
                </a:solidFill>
                <a:latin typeface="Meiryo UI"/>
                <a:ea typeface="Meiryo UI"/>
                <a:cs typeface="Meiryo UI"/>
              </a:rPr>
              <a:t>図形・記号</a:t>
            </a:r>
            <a:endParaRPr lang="ja-JP" altLang="en-US" sz="750" dirty="0">
              <a:latin typeface="Meiryo UI"/>
              <a:ea typeface="Meiryo UI"/>
            </a:endParaRPr>
          </a:p>
        </xdr:txBody>
      </xdr:sp>
      <xdr:cxnSp macro="">
        <xdr:nvCxnSpPr>
          <xdr:cNvPr id="270" name="凡例: 線（ルートA）">
            <a:extLst>
              <a:ext uri="{FF2B5EF4-FFF2-40B4-BE49-F238E27FC236}">
                <a16:creationId xmlns:a16="http://schemas.microsoft.com/office/drawing/2014/main" id="{00000000-0008-0000-0400-00000E010000}"/>
              </a:ext>
            </a:extLst>
          </xdr:cNvPr>
          <xdr:cNvCxnSpPr/>
        </xdr:nvCxnSpPr>
        <xdr:spPr>
          <a:xfrm>
            <a:off x="1333500" y="38023800"/>
            <a:ext cx="419100" cy="0"/>
          </a:xfrm>
          <a:prstGeom prst="straightConnector1">
            <a:avLst/>
          </a:prstGeom>
          <a:ln w="19050" cap="flat">
            <a:solidFill>
              <a:srgbClr val="315C92"/>
            </a:solidFill>
            <a:round/>
            <a:tailEnd type="triangle" w="med" len="med"/>
          </a:ln>
        </xdr:spPr>
      </xdr:cxnSp>
      <xdr:sp macro="" textlink="">
        <xdr:nvSpPr>
          <xdr:cNvPr id="271" name="凡例: 記号A">
            <a:extLst>
              <a:ext uri="{FF2B5EF4-FFF2-40B4-BE49-F238E27FC236}">
                <a16:creationId xmlns:a16="http://schemas.microsoft.com/office/drawing/2014/main" id="{00000000-0008-0000-0400-00000F010000}"/>
              </a:ext>
            </a:extLst>
          </xdr:cNvPr>
          <xdr:cNvSpPr/>
        </xdr:nvSpPr>
        <xdr:spPr>
          <a:xfrm>
            <a:off x="1809750" y="37947600"/>
            <a:ext cx="152400" cy="152400"/>
          </a:xfrm>
          <a:prstGeom prst="ellipse">
            <a:avLst/>
          </a:prstGeom>
          <a:solidFill>
            <a:srgbClr val="315C92"/>
          </a:solidFill>
          <a:ln>
            <a:noFill/>
          </a:ln>
        </xdr:spPr>
        <xdr:txBody>
          <a:bodyPr vertOverflow="overflow" horzOverflow="overflow" wrap="none" lIns="0" tIns="0" rIns="0" bIns="0" rtlCol="0" anchor="ctr">
            <a:noAutofit/>
          </a:bodyPr>
          <a:lstStyle/>
          <a:p>
            <a:pPr algn="ctr"/>
            <a:r>
              <a:rPr lang="ja-JP" altLang="en-US" sz="650" b="1" dirty="0">
                <a:solidFill>
                  <a:srgbClr val="FFFFFF"/>
                </a:solidFill>
                <a:latin typeface="Meiryo UI"/>
                <a:ea typeface="Meiryo UI"/>
                <a:cs typeface="Meiryo UI"/>
              </a:rPr>
              <a:t>A</a:t>
            </a:r>
            <a:endParaRPr lang="ja-JP" altLang="en-US" sz="650" dirty="0">
              <a:latin typeface="Meiryo UI"/>
              <a:ea typeface="Meiryo UI"/>
            </a:endParaRPr>
          </a:p>
        </xdr:txBody>
      </xdr:sp>
      <xdr:sp macro="" textlink="表紙!$G$31">
        <xdr:nvSpPr>
          <xdr:cNvPr id="272" name="凡例: ルートA名（表紙と連動）">
            <a:extLst>
              <a:ext uri="{FF2B5EF4-FFF2-40B4-BE49-F238E27FC236}">
                <a16:creationId xmlns:a16="http://schemas.microsoft.com/office/drawing/2014/main" id="{00000000-0008-0000-0400-000010010000}"/>
              </a:ext>
            </a:extLst>
          </xdr:cNvPr>
          <xdr:cNvSpPr/>
        </xdr:nvSpPr>
        <xdr:spPr>
          <a:xfrm>
            <a:off x="2000250" y="37928550"/>
            <a:ext cx="1338262" cy="190500"/>
          </a:xfrm>
          <a:prstGeom prst="rect">
            <a:avLst/>
          </a:prstGeom>
          <a:noFill/>
          <a:ln>
            <a:noFill/>
          </a:ln>
        </xdr:spPr>
        <xdr:txBody>
          <a:bodyPr vertOverflow="overflow" horzOverflow="overflow" wrap="square" lIns="12700" tIns="0" rIns="12700" bIns="0" rtlCol="0" anchor="ctr">
            <a:noAutofit/>
          </a:bodyPr>
          <a:lstStyle/>
          <a:p>
            <a:pPr algn="l"/>
            <a:fld id="{5A1C0F3E-7B2D-4C8A-9E41-000000000007}" type="TxLink">
              <a:rPr lang="ja-JP" altLang="en-US" sz="750" b="0">
                <a:solidFill>
                  <a:srgbClr val="404040"/>
                </a:solidFill>
                <a:latin typeface="Meiryo UI"/>
                <a:ea typeface="Meiryo UI"/>
                <a:cs typeface="Meiryo UI"/>
              </a:rPr>
              <a:pPr algn="l"/>
              <a:t>Salesforce連携</a:t>
            </a:fld>
            <a:endParaRPr lang="ja-JP" altLang="en-US" sz="750"/>
          </a:p>
        </xdr:txBody>
      </xdr:sp>
      <xdr:cxnSp macro="">
        <xdr:nvCxnSpPr>
          <xdr:cNvPr id="273" name="凡例: 線（ルートB）">
            <a:extLst>
              <a:ext uri="{FF2B5EF4-FFF2-40B4-BE49-F238E27FC236}">
                <a16:creationId xmlns:a16="http://schemas.microsoft.com/office/drawing/2014/main" id="{00000000-0008-0000-0400-000011010000}"/>
              </a:ext>
            </a:extLst>
          </xdr:cNvPr>
          <xdr:cNvCxnSpPr/>
        </xdr:nvCxnSpPr>
        <xdr:spPr>
          <a:xfrm>
            <a:off x="3357562" y="38023800"/>
            <a:ext cx="419100" cy="0"/>
          </a:xfrm>
          <a:prstGeom prst="straightConnector1">
            <a:avLst/>
          </a:prstGeom>
          <a:ln w="19050" cap="flat">
            <a:solidFill>
              <a:srgbClr val="247966"/>
            </a:solidFill>
            <a:round/>
            <a:tailEnd type="triangle" w="med" len="med"/>
          </a:ln>
        </xdr:spPr>
      </xdr:cxnSp>
      <xdr:sp macro="" textlink="">
        <xdr:nvSpPr>
          <xdr:cNvPr id="274" name="凡例: 記号B">
            <a:extLst>
              <a:ext uri="{FF2B5EF4-FFF2-40B4-BE49-F238E27FC236}">
                <a16:creationId xmlns:a16="http://schemas.microsoft.com/office/drawing/2014/main" id="{00000000-0008-0000-0400-000012010000}"/>
              </a:ext>
            </a:extLst>
          </xdr:cNvPr>
          <xdr:cNvSpPr/>
        </xdr:nvSpPr>
        <xdr:spPr>
          <a:xfrm>
            <a:off x="3833812" y="37947600"/>
            <a:ext cx="152400" cy="152400"/>
          </a:xfrm>
          <a:prstGeom prst="ellipse">
            <a:avLst/>
          </a:prstGeom>
          <a:solidFill>
            <a:srgbClr val="247966"/>
          </a:solidFill>
          <a:ln>
            <a:noFill/>
          </a:ln>
        </xdr:spPr>
        <xdr:txBody>
          <a:bodyPr vertOverflow="overflow" horzOverflow="overflow" wrap="none" lIns="0" tIns="0" rIns="0" bIns="0" rtlCol="0" anchor="ctr">
            <a:noAutofit/>
          </a:bodyPr>
          <a:lstStyle/>
          <a:p>
            <a:pPr algn="ctr"/>
            <a:r>
              <a:rPr lang="ja-JP" altLang="en-US" sz="650" b="1" dirty="0">
                <a:solidFill>
                  <a:srgbClr val="FFFFFF"/>
                </a:solidFill>
                <a:latin typeface="Meiryo UI"/>
                <a:ea typeface="Meiryo UI"/>
                <a:cs typeface="Meiryo UI"/>
              </a:rPr>
              <a:t>B</a:t>
            </a:r>
            <a:endParaRPr lang="ja-JP" altLang="en-US" sz="650" dirty="0">
              <a:latin typeface="Meiryo UI"/>
              <a:ea typeface="Meiryo UI"/>
            </a:endParaRPr>
          </a:p>
        </xdr:txBody>
      </xdr:sp>
      <xdr:sp macro="" textlink="表紙!$G$32">
        <xdr:nvSpPr>
          <xdr:cNvPr id="275" name="凡例: ルートB名（表紙と連動）">
            <a:extLst>
              <a:ext uri="{FF2B5EF4-FFF2-40B4-BE49-F238E27FC236}">
                <a16:creationId xmlns:a16="http://schemas.microsoft.com/office/drawing/2014/main" id="{00000000-0008-0000-0400-000013010000}"/>
              </a:ext>
            </a:extLst>
          </xdr:cNvPr>
          <xdr:cNvSpPr/>
        </xdr:nvSpPr>
        <xdr:spPr>
          <a:xfrm>
            <a:off x="4024312" y="37928550"/>
            <a:ext cx="1338262" cy="190500"/>
          </a:xfrm>
          <a:prstGeom prst="rect">
            <a:avLst/>
          </a:prstGeom>
          <a:noFill/>
          <a:ln>
            <a:noFill/>
          </a:ln>
        </xdr:spPr>
        <xdr:txBody>
          <a:bodyPr vertOverflow="overflow" horzOverflow="overflow" wrap="square" lIns="12700" tIns="0" rIns="12700" bIns="0" rtlCol="0" anchor="ctr">
            <a:noAutofit/>
          </a:bodyPr>
          <a:lstStyle/>
          <a:p>
            <a:pPr algn="l"/>
            <a:fld id="{5A1C0F3E-7B2D-4C8A-9E41-000000000008}" type="TxLink">
              <a:rPr lang="ja-JP" altLang="en-US" sz="750" b="0">
                <a:solidFill>
                  <a:srgbClr val="404040"/>
                </a:solidFill>
                <a:latin typeface="Meiryo UI"/>
                <a:ea typeface="Meiryo UI"/>
                <a:cs typeface="Meiryo UI"/>
              </a:rPr>
              <a:pPr algn="l"/>
              <a:t>社内（イントラ）連携</a:t>
            </a:fld>
            <a:endParaRPr lang="ja-JP" altLang="en-US" sz="750"/>
          </a:p>
        </xdr:txBody>
      </xdr:sp>
      <xdr:cxnSp macro="">
        <xdr:nvCxnSpPr>
          <xdr:cNvPr id="276" name="凡例: 線（ルートC）">
            <a:extLst>
              <a:ext uri="{FF2B5EF4-FFF2-40B4-BE49-F238E27FC236}">
                <a16:creationId xmlns:a16="http://schemas.microsoft.com/office/drawing/2014/main" id="{00000000-0008-0000-0400-000014010000}"/>
              </a:ext>
            </a:extLst>
          </xdr:cNvPr>
          <xdr:cNvCxnSpPr/>
        </xdr:nvCxnSpPr>
        <xdr:spPr>
          <a:xfrm>
            <a:off x="5381625" y="38023800"/>
            <a:ext cx="419100" cy="0"/>
          </a:xfrm>
          <a:prstGeom prst="straightConnector1">
            <a:avLst/>
          </a:prstGeom>
          <a:ln w="19050" cap="flat">
            <a:solidFill>
              <a:srgbClr val="C46B39"/>
            </a:solidFill>
            <a:round/>
            <a:tailEnd type="triangle" w="med" len="med"/>
          </a:ln>
        </xdr:spPr>
      </xdr:cxnSp>
      <xdr:sp macro="" textlink="">
        <xdr:nvSpPr>
          <xdr:cNvPr id="277" name="凡例: 記号C">
            <a:extLst>
              <a:ext uri="{FF2B5EF4-FFF2-40B4-BE49-F238E27FC236}">
                <a16:creationId xmlns:a16="http://schemas.microsoft.com/office/drawing/2014/main" id="{00000000-0008-0000-0400-000015010000}"/>
              </a:ext>
            </a:extLst>
          </xdr:cNvPr>
          <xdr:cNvSpPr/>
        </xdr:nvSpPr>
        <xdr:spPr>
          <a:xfrm>
            <a:off x="5857875" y="37947600"/>
            <a:ext cx="152400" cy="152400"/>
          </a:xfrm>
          <a:prstGeom prst="ellipse">
            <a:avLst/>
          </a:prstGeom>
          <a:solidFill>
            <a:srgbClr val="C46B39"/>
          </a:solidFill>
          <a:ln>
            <a:noFill/>
          </a:ln>
        </xdr:spPr>
        <xdr:txBody>
          <a:bodyPr vertOverflow="overflow" horzOverflow="overflow" wrap="none" lIns="0" tIns="0" rIns="0" bIns="0" rtlCol="0" anchor="ctr">
            <a:noAutofit/>
          </a:bodyPr>
          <a:lstStyle/>
          <a:p>
            <a:pPr algn="ctr"/>
            <a:r>
              <a:rPr lang="ja-JP" altLang="en-US" sz="650" b="1" dirty="0">
                <a:solidFill>
                  <a:srgbClr val="FFFFFF"/>
                </a:solidFill>
                <a:latin typeface="Meiryo UI"/>
                <a:ea typeface="Meiryo UI"/>
                <a:cs typeface="Meiryo UI"/>
              </a:rPr>
              <a:t>C</a:t>
            </a:r>
            <a:endParaRPr lang="ja-JP" altLang="en-US" sz="650" dirty="0">
              <a:latin typeface="Meiryo UI"/>
              <a:ea typeface="Meiryo UI"/>
            </a:endParaRPr>
          </a:p>
        </xdr:txBody>
      </xdr:sp>
      <xdr:sp macro="" textlink="表紙!$G$33">
        <xdr:nvSpPr>
          <xdr:cNvPr id="278" name="凡例: ルートC名（表紙と連動）">
            <a:extLst>
              <a:ext uri="{FF2B5EF4-FFF2-40B4-BE49-F238E27FC236}">
                <a16:creationId xmlns:a16="http://schemas.microsoft.com/office/drawing/2014/main" id="{00000000-0008-0000-0400-000016010000}"/>
              </a:ext>
            </a:extLst>
          </xdr:cNvPr>
          <xdr:cNvSpPr/>
        </xdr:nvSpPr>
        <xdr:spPr>
          <a:xfrm>
            <a:off x="6048375" y="37928550"/>
            <a:ext cx="1338262" cy="190500"/>
          </a:xfrm>
          <a:prstGeom prst="rect">
            <a:avLst/>
          </a:prstGeom>
          <a:noFill/>
          <a:ln>
            <a:noFill/>
          </a:ln>
        </xdr:spPr>
        <xdr:txBody>
          <a:bodyPr vertOverflow="overflow" horzOverflow="overflow" wrap="square" lIns="12700" tIns="0" rIns="12700" bIns="0" rtlCol="0" anchor="ctr">
            <a:noAutofit/>
          </a:bodyPr>
          <a:lstStyle/>
          <a:p>
            <a:pPr algn="l"/>
            <a:fld id="{5A1C0F3E-7B2D-4C8A-9E41-000000000009}" type="TxLink">
              <a:rPr lang="ja-JP" altLang="en-US" sz="750" b="0">
                <a:solidFill>
                  <a:srgbClr val="404040"/>
                </a:solidFill>
                <a:latin typeface="Meiryo UI"/>
                <a:ea typeface="Meiryo UI"/>
                <a:cs typeface="Meiryo UI"/>
              </a:rPr>
              <a:pPr algn="l"/>
              <a:t>外部連携</a:t>
            </a:fld>
            <a:endParaRPr lang="ja-JP" altLang="en-US" sz="750"/>
          </a:p>
        </xdr:txBody>
      </xdr:sp>
      <xdr:cxnSp macro="">
        <xdr:nvCxnSpPr>
          <xdr:cNvPr id="279" name="凡例: 線（共通）">
            <a:extLst>
              <a:ext uri="{FF2B5EF4-FFF2-40B4-BE49-F238E27FC236}">
                <a16:creationId xmlns:a16="http://schemas.microsoft.com/office/drawing/2014/main" id="{00000000-0008-0000-0400-000017010000}"/>
              </a:ext>
            </a:extLst>
          </xdr:cNvPr>
          <xdr:cNvCxnSpPr/>
        </xdr:nvCxnSpPr>
        <xdr:spPr>
          <a:xfrm>
            <a:off x="7405688" y="38023800"/>
            <a:ext cx="419100" cy="0"/>
          </a:xfrm>
          <a:prstGeom prst="straightConnector1">
            <a:avLst/>
          </a:prstGeom>
          <a:ln w="19050" cap="flat">
            <a:solidFill>
              <a:srgbClr val="404040"/>
            </a:solidFill>
            <a:round/>
            <a:tailEnd type="triangle" w="med" len="med"/>
          </a:ln>
        </xdr:spPr>
      </xdr:cxnSp>
      <xdr:sp macro="" textlink="">
        <xdr:nvSpPr>
          <xdr:cNvPr id="280" name="凡例: 共通">
            <a:extLst>
              <a:ext uri="{FF2B5EF4-FFF2-40B4-BE49-F238E27FC236}">
                <a16:creationId xmlns:a16="http://schemas.microsoft.com/office/drawing/2014/main" id="{00000000-0008-0000-0400-000018010000}"/>
              </a:ext>
            </a:extLst>
          </xdr:cNvPr>
          <xdr:cNvSpPr/>
        </xdr:nvSpPr>
        <xdr:spPr>
          <a:xfrm>
            <a:off x="7881938" y="37928550"/>
            <a:ext cx="1528762" cy="190500"/>
          </a:xfrm>
          <a:prstGeom prst="rect">
            <a:avLst/>
          </a:prstGeom>
          <a:noFill/>
          <a:ln>
            <a:noFill/>
          </a:ln>
        </xdr:spPr>
        <xdr:txBody>
          <a:bodyPr vertOverflow="overflow" horzOverflow="overflow" wrap="square" lIns="12700" tIns="0" rIns="12700" bIns="0" rtlCol="0" anchor="ctr">
            <a:noAutofit/>
          </a:bodyPr>
          <a:lstStyle/>
          <a:p>
            <a:pPr algn="l"/>
            <a:r>
              <a:rPr lang="ja-JP" altLang="en-US" sz="750" b="0" dirty="0">
                <a:solidFill>
                  <a:srgbClr val="404040"/>
                </a:solidFill>
                <a:latin typeface="Meiryo UI"/>
                <a:ea typeface="Meiryo UI"/>
                <a:cs typeface="Meiryo UI"/>
              </a:rPr>
              <a:t>共通（複数ルート・基盤）</a:t>
            </a:r>
            <a:endParaRPr lang="ja-JP" altLang="en-US" sz="750" dirty="0">
              <a:latin typeface="Meiryo UI"/>
              <a:ea typeface="Meiryo UI"/>
            </a:endParaRPr>
          </a:p>
        </xdr:txBody>
      </xdr:sp>
      <xdr:cxnSp macro="">
        <xdr:nvCxnSpPr>
          <xdr:cNvPr id="281" name="凡例: オンライン連携">
            <a:extLst>
              <a:ext uri="{FF2B5EF4-FFF2-40B4-BE49-F238E27FC236}">
                <a16:creationId xmlns:a16="http://schemas.microsoft.com/office/drawing/2014/main" id="{00000000-0008-0000-0400-000019010000}"/>
              </a:ext>
            </a:extLst>
          </xdr:cNvPr>
          <xdr:cNvCxnSpPr/>
        </xdr:nvCxnSpPr>
        <xdr:spPr>
          <a:xfrm>
            <a:off x="1333500" y="38328600"/>
            <a:ext cx="419100" cy="0"/>
          </a:xfrm>
          <a:prstGeom prst="straightConnector1">
            <a:avLst/>
          </a:prstGeom>
          <a:ln w="19050" cap="flat">
            <a:solidFill>
              <a:srgbClr val="404040"/>
            </a:solidFill>
            <a:round/>
            <a:tailEnd type="triangle" w="med" len="med"/>
          </a:ln>
        </xdr:spPr>
      </xdr:cxnSp>
      <xdr:sp macro="" textlink="">
        <xdr:nvSpPr>
          <xdr:cNvPr id="282" name="凡例: 実線矢印：オンライン・イベント">
            <a:extLst>
              <a:ext uri="{FF2B5EF4-FFF2-40B4-BE49-F238E27FC236}">
                <a16:creationId xmlns:a16="http://schemas.microsoft.com/office/drawing/2014/main" id="{00000000-0008-0000-0400-00001A010000}"/>
              </a:ext>
            </a:extLst>
          </xdr:cNvPr>
          <xdr:cNvSpPr/>
        </xdr:nvSpPr>
        <xdr:spPr>
          <a:xfrm>
            <a:off x="1809750" y="38233350"/>
            <a:ext cx="1528762" cy="190500"/>
          </a:xfrm>
          <a:prstGeom prst="rect">
            <a:avLst/>
          </a:prstGeom>
          <a:noFill/>
          <a:ln>
            <a:noFill/>
          </a:ln>
        </xdr:spPr>
        <xdr:txBody>
          <a:bodyPr vertOverflow="overflow" horzOverflow="overflow" wrap="square" lIns="12700" tIns="0" rIns="12700" bIns="0" rtlCol="0" anchor="ctr">
            <a:noAutofit/>
          </a:bodyPr>
          <a:lstStyle/>
          <a:p>
            <a:pPr algn="l"/>
            <a:r>
              <a:rPr lang="ja-JP" altLang="en-US" sz="750" b="0" dirty="0">
                <a:solidFill>
                  <a:srgbClr val="404040"/>
                </a:solidFill>
                <a:latin typeface="Meiryo UI"/>
                <a:ea typeface="Meiryo UI"/>
                <a:cs typeface="Meiryo UI"/>
              </a:rPr>
              <a:t>実線矢印：オンライン・イベント</a:t>
            </a:r>
            <a:endParaRPr lang="ja-JP" altLang="en-US" sz="750" dirty="0">
              <a:latin typeface="Meiryo UI"/>
              <a:ea typeface="Meiryo UI"/>
            </a:endParaRPr>
          </a:p>
        </xdr:txBody>
      </xdr:sp>
      <xdr:cxnSp macro="">
        <xdr:nvCxnSpPr>
          <xdr:cNvPr id="283" name="凡例: バッチ・ファイル">
            <a:extLst>
              <a:ext uri="{FF2B5EF4-FFF2-40B4-BE49-F238E27FC236}">
                <a16:creationId xmlns:a16="http://schemas.microsoft.com/office/drawing/2014/main" id="{00000000-0008-0000-0400-00001B010000}"/>
              </a:ext>
            </a:extLst>
          </xdr:cNvPr>
          <xdr:cNvCxnSpPr/>
        </xdr:nvCxnSpPr>
        <xdr:spPr>
          <a:xfrm>
            <a:off x="3357562" y="38328600"/>
            <a:ext cx="419100" cy="0"/>
          </a:xfrm>
          <a:prstGeom prst="straightConnector1">
            <a:avLst/>
          </a:prstGeom>
          <a:ln w="19050" cap="flat">
            <a:solidFill>
              <a:srgbClr val="404040"/>
            </a:solidFill>
            <a:prstDash val="dash"/>
            <a:round/>
            <a:tailEnd type="triangle" w="med" len="med"/>
          </a:ln>
        </xdr:spPr>
      </xdr:cxnSp>
      <xdr:sp macro="" textlink="">
        <xdr:nvSpPr>
          <xdr:cNvPr id="284" name="凡例: 破線矢印：バッチ・ファイル">
            <a:extLst>
              <a:ext uri="{FF2B5EF4-FFF2-40B4-BE49-F238E27FC236}">
                <a16:creationId xmlns:a16="http://schemas.microsoft.com/office/drawing/2014/main" id="{00000000-0008-0000-0400-00001C010000}"/>
              </a:ext>
            </a:extLst>
          </xdr:cNvPr>
          <xdr:cNvSpPr/>
        </xdr:nvSpPr>
        <xdr:spPr>
          <a:xfrm>
            <a:off x="3833812" y="38233350"/>
            <a:ext cx="1528762" cy="190500"/>
          </a:xfrm>
          <a:prstGeom prst="rect">
            <a:avLst/>
          </a:prstGeom>
          <a:noFill/>
          <a:ln>
            <a:noFill/>
          </a:ln>
        </xdr:spPr>
        <xdr:txBody>
          <a:bodyPr vertOverflow="overflow" horzOverflow="overflow" wrap="square" lIns="12700" tIns="0" rIns="12700" bIns="0" rtlCol="0" anchor="ctr">
            <a:noAutofit/>
          </a:bodyPr>
          <a:lstStyle/>
          <a:p>
            <a:pPr algn="l"/>
            <a:r>
              <a:rPr lang="ja-JP" altLang="en-US" sz="750" b="0" dirty="0">
                <a:solidFill>
                  <a:srgbClr val="404040"/>
                </a:solidFill>
                <a:latin typeface="Meiryo UI"/>
                <a:ea typeface="Meiryo UI"/>
                <a:cs typeface="Meiryo UI"/>
              </a:rPr>
              <a:t>破線矢印：バッチ・ファイル</a:t>
            </a:r>
            <a:endParaRPr lang="ja-JP" altLang="en-US" sz="750" dirty="0">
              <a:latin typeface="Meiryo UI"/>
              <a:ea typeface="Meiryo UI"/>
            </a:endParaRPr>
          </a:p>
        </xdr:txBody>
      </xdr:sp>
      <xdr:cxnSp macro="">
        <xdr:nvCxnSpPr>
          <xdr:cNvPr id="285" name="凡例: 監視・運用">
            <a:extLst>
              <a:ext uri="{FF2B5EF4-FFF2-40B4-BE49-F238E27FC236}">
                <a16:creationId xmlns:a16="http://schemas.microsoft.com/office/drawing/2014/main" id="{00000000-0008-0000-0400-00001D010000}"/>
              </a:ext>
            </a:extLst>
          </xdr:cNvPr>
          <xdr:cNvCxnSpPr/>
        </xdr:nvCxnSpPr>
        <xdr:spPr>
          <a:xfrm>
            <a:off x="5381625" y="38328600"/>
            <a:ext cx="419100" cy="0"/>
          </a:xfrm>
          <a:prstGeom prst="straightConnector1">
            <a:avLst/>
          </a:prstGeom>
          <a:ln w="12700" cap="flat">
            <a:solidFill>
              <a:srgbClr val="404040"/>
            </a:solidFill>
            <a:prstDash val="sysDot"/>
            <a:round/>
            <a:tailEnd type="triangle" w="med" len="med"/>
          </a:ln>
        </xdr:spPr>
      </xdr:cxnSp>
      <xdr:sp macro="" textlink="">
        <xdr:nvSpPr>
          <xdr:cNvPr id="286" name="凡例: 点線矢印：監視・運用">
            <a:extLst>
              <a:ext uri="{FF2B5EF4-FFF2-40B4-BE49-F238E27FC236}">
                <a16:creationId xmlns:a16="http://schemas.microsoft.com/office/drawing/2014/main" id="{00000000-0008-0000-0400-00001E010000}"/>
              </a:ext>
            </a:extLst>
          </xdr:cNvPr>
          <xdr:cNvSpPr/>
        </xdr:nvSpPr>
        <xdr:spPr>
          <a:xfrm>
            <a:off x="5857875" y="38233350"/>
            <a:ext cx="1528762" cy="190500"/>
          </a:xfrm>
          <a:prstGeom prst="rect">
            <a:avLst/>
          </a:prstGeom>
          <a:noFill/>
          <a:ln>
            <a:noFill/>
          </a:ln>
        </xdr:spPr>
        <xdr:txBody>
          <a:bodyPr vertOverflow="overflow" horzOverflow="overflow" wrap="square" lIns="12700" tIns="0" rIns="12700" bIns="0" rtlCol="0" anchor="ctr">
            <a:noAutofit/>
          </a:bodyPr>
          <a:lstStyle/>
          <a:p>
            <a:pPr algn="l"/>
            <a:r>
              <a:rPr lang="ja-JP" altLang="en-US" sz="750" b="0" dirty="0">
                <a:solidFill>
                  <a:srgbClr val="404040"/>
                </a:solidFill>
                <a:latin typeface="Meiryo UI"/>
                <a:ea typeface="Meiryo UI"/>
                <a:cs typeface="Meiryo UI"/>
              </a:rPr>
              <a:t>点線矢印：監視・運用</a:t>
            </a:r>
            <a:endParaRPr lang="ja-JP" altLang="en-US" sz="750" dirty="0">
              <a:latin typeface="Meiryo UI"/>
              <a:ea typeface="Meiryo UI"/>
            </a:endParaRPr>
          </a:p>
        </xdr:txBody>
      </xdr:sp>
      <xdr:cxnSp macro="">
        <xdr:nvCxnSpPr>
          <xdr:cNvPr id="287" name="凡例: 専用線・閉域網">
            <a:extLst>
              <a:ext uri="{FF2B5EF4-FFF2-40B4-BE49-F238E27FC236}">
                <a16:creationId xmlns:a16="http://schemas.microsoft.com/office/drawing/2014/main" id="{00000000-0008-0000-0400-00001F010000}"/>
              </a:ext>
            </a:extLst>
          </xdr:cNvPr>
          <xdr:cNvCxnSpPr/>
        </xdr:nvCxnSpPr>
        <xdr:spPr>
          <a:xfrm>
            <a:off x="7405688" y="38328600"/>
            <a:ext cx="419100" cy="0"/>
          </a:xfrm>
          <a:prstGeom prst="straightConnector1">
            <a:avLst/>
          </a:prstGeom>
          <a:ln w="38100" cap="flat">
            <a:solidFill>
              <a:srgbClr val="404040"/>
            </a:solidFill>
            <a:round/>
          </a:ln>
        </xdr:spPr>
      </xdr:cxnSp>
      <xdr:sp macro="" textlink="">
        <xdr:nvSpPr>
          <xdr:cNvPr id="288" name="凡例: 太線：専用線・閉域網">
            <a:extLst>
              <a:ext uri="{FF2B5EF4-FFF2-40B4-BE49-F238E27FC236}">
                <a16:creationId xmlns:a16="http://schemas.microsoft.com/office/drawing/2014/main" id="{00000000-0008-0000-0400-000020010000}"/>
              </a:ext>
            </a:extLst>
          </xdr:cNvPr>
          <xdr:cNvSpPr/>
        </xdr:nvSpPr>
        <xdr:spPr>
          <a:xfrm>
            <a:off x="7881938" y="38233350"/>
            <a:ext cx="1528762" cy="190500"/>
          </a:xfrm>
          <a:prstGeom prst="rect">
            <a:avLst/>
          </a:prstGeom>
          <a:noFill/>
          <a:ln>
            <a:noFill/>
          </a:ln>
        </xdr:spPr>
        <xdr:txBody>
          <a:bodyPr vertOverflow="overflow" horzOverflow="overflow" wrap="square" lIns="12700" tIns="0" rIns="12700" bIns="0" rtlCol="0" anchor="ctr">
            <a:noAutofit/>
          </a:bodyPr>
          <a:lstStyle/>
          <a:p>
            <a:pPr algn="l"/>
            <a:r>
              <a:rPr lang="ja-JP" altLang="en-US" sz="750" b="0" dirty="0">
                <a:solidFill>
                  <a:srgbClr val="404040"/>
                </a:solidFill>
                <a:latin typeface="Meiryo UI"/>
                <a:ea typeface="Meiryo UI"/>
                <a:cs typeface="Meiryo UI"/>
              </a:rPr>
              <a:t>太線：専用線・閉域網</a:t>
            </a:r>
            <a:endParaRPr lang="ja-JP" altLang="en-US" sz="750" dirty="0">
              <a:latin typeface="Meiryo UI"/>
              <a:ea typeface="Meiryo UI"/>
            </a:endParaRPr>
          </a:p>
        </xdr:txBody>
      </xdr:sp>
      <xdr:sp macro="" textlink="">
        <xdr:nvSpPr>
          <xdr:cNvPr id="289" name="凡例: 角丸">
            <a:extLst>
              <a:ext uri="{FF2B5EF4-FFF2-40B4-BE49-F238E27FC236}">
                <a16:creationId xmlns:a16="http://schemas.microsoft.com/office/drawing/2014/main" id="{00000000-0008-0000-0400-000021010000}"/>
              </a:ext>
            </a:extLst>
          </xdr:cNvPr>
          <xdr:cNvSpPr/>
        </xdr:nvSpPr>
        <xdr:spPr>
          <a:xfrm>
            <a:off x="1333500" y="38547675"/>
            <a:ext cx="304800" cy="171450"/>
          </a:xfrm>
          <a:custGeom>
            <a:avLst/>
            <a:gdLst>
              <a:gd name="x1" fmla="*/ w 1 4"/>
              <a:gd name="x2" fmla="*/ w 1 2"/>
              <a:gd name="x3" fmla="*/ w 3 4"/>
              <a:gd name="y1" fmla="*/ h 1 4"/>
              <a:gd name="y2" fmla="*/ h 1 2"/>
              <a:gd name="y3" fmla="*/ h 3 4"/>
              <a:gd name="smin" fmla="min w h"/>
              <a:gd name="hm" fmla="*/ smin 1 2"/>
              <a:gd name="rd" fmla="min 38100 hm"/>
              <a:gd name="rx" fmla="+- r 0 rd"/>
              <a:gd name="by" fmla="+- b 0 rd"/>
            </a:gdLst>
            <a:ahLst/>
            <a:cxnLst>
              <a:cxn ang="16200000">
                <a:pos x="x2" y="t"/>
              </a:cxn>
              <a:cxn ang="16200000">
                <a:pos x="x3" y="t"/>
              </a:cxn>
              <a:cxn ang="0">
                <a:pos x="r" y="y1"/>
              </a:cxn>
              <a:cxn ang="0">
                <a:pos x="r" y="y2"/>
              </a:cxn>
              <a:cxn ang="0">
                <a:pos x="r" y="y3"/>
              </a:cxn>
              <a:cxn ang="5400000">
                <a:pos x="x3" y="b"/>
              </a:cxn>
              <a:cxn ang="5400000">
                <a:pos x="x2" y="b"/>
              </a:cxn>
              <a:cxn ang="5400000">
                <a:pos x="x1" y="b"/>
              </a:cxn>
              <a:cxn ang="10800000">
                <a:pos x="l" y="y3"/>
              </a:cxn>
              <a:cxn ang="10800000">
                <a:pos x="l" y="y2"/>
              </a:cxn>
              <a:cxn ang="10800000">
                <a:pos x="l" y="y1"/>
              </a:cxn>
              <a:cxn ang="16200000">
                <a:pos x="x1" y="t"/>
              </a:cxn>
            </a:cxnLst>
            <a:rect l="l" t="t" r="r" b="b"/>
            <a:pathLst>
              <a:path>
                <a:moveTo>
                  <a:pt x="rd" y="t"/>
                </a:moveTo>
                <a:lnTo>
                  <a:pt x="rx" y="t"/>
                </a:lnTo>
                <a:arcTo wR="rd" hR="rd" stAng="16200000" swAng="5400000"/>
                <a:lnTo>
                  <a:pt x="r" y="by"/>
                </a:lnTo>
                <a:arcTo wR="rd" hR="rd" stAng="0" swAng="5400000"/>
                <a:lnTo>
                  <a:pt x="rd" y="b"/>
                </a:lnTo>
                <a:arcTo wR="rd" hR="rd" stAng="5400000" swAng="5400000"/>
                <a:lnTo>
                  <a:pt x="l" y="rd"/>
                </a:lnTo>
                <a:arcTo wR="rd" hR="rd" stAng="10800000" swAng="5400000"/>
                <a:close/>
              </a:path>
            </a:pathLst>
          </a:custGeom>
          <a:solidFill>
            <a:srgbClr val="FFFFFF"/>
          </a:solidFill>
          <a:ln w="9525" cap="flat">
            <a:solidFill>
              <a:srgbClr val="404040"/>
            </a:solidFill>
            <a:round/>
          </a:ln>
        </xdr:spPr>
        <xdr:txBody>
          <a:bodyPr vertOverflow="overflow" horzOverflow="overflow" wrap="square" lIns="38100" tIns="19050" rIns="38100" bIns="19050" rtlCol="0" anchor="ctr">
            <a:noAutofit/>
          </a:bodyPr>
          <a:lstStyle/>
          <a:p>
            <a:pPr algn="ctr"/>
            <a:endParaRPr lang="ja-JP" altLang="en-US" sz="600" dirty="0">
              <a:latin typeface="Meiryo UI"/>
              <a:ea typeface="Meiryo UI"/>
            </a:endParaRPr>
          </a:p>
        </xdr:txBody>
      </xdr:sp>
      <xdr:sp macro="" textlink="">
        <xdr:nvSpPr>
          <xdr:cNvPr id="290" name="凡例: 円柱">
            <a:extLst>
              <a:ext uri="{FF2B5EF4-FFF2-40B4-BE49-F238E27FC236}">
                <a16:creationId xmlns:a16="http://schemas.microsoft.com/office/drawing/2014/main" id="{00000000-0008-0000-0400-000022010000}"/>
              </a:ext>
            </a:extLst>
          </xdr:cNvPr>
          <xdr:cNvSpPr/>
        </xdr:nvSpPr>
        <xdr:spPr>
          <a:xfrm>
            <a:off x="1676400" y="38528625"/>
            <a:ext cx="171450" cy="209550"/>
          </a:xfrm>
          <a:custGeom>
            <a:avLst/>
            <a:gdLst>
              <a:gd name="x1" fmla="*/ w 1 4"/>
              <a:gd name="x2" fmla="*/ w 1 2"/>
              <a:gd name="x3" fmla="*/ w 3 4"/>
              <a:gd name="y1" fmla="*/ h 1 4"/>
              <a:gd name="y2" fmla="*/ h 1 2"/>
              <a:gd name="y3" fmla="*/ h 3 4"/>
              <a:gd name="smin" fmla="min w h"/>
              <a:gd name="ry" fmla="*/ smin 1 8"/>
              <a:gd name="wr" fmla="*/ w 1 2"/>
              <a:gd name="ty" fmla="*/ ry 13397 100000"/>
              <a:gd name="by" fmla="+- b 0 ty"/>
              <a:gd name="y4" fmla="+- b 0 ry"/>
              <a:gd name="ry2" fmla="*/ ry 2 1"/>
            </a:gdLst>
            <a:ahLst/>
            <a:cxnLst>
              <a:cxn ang="16200000">
                <a:pos x="x2" y="t"/>
              </a:cxn>
              <a:cxn ang="16200000">
                <a:pos x="x3" y="ty"/>
              </a:cxn>
              <a:cxn ang="0">
                <a:pos x="r" y="y1"/>
              </a:cxn>
              <a:cxn ang="0">
                <a:pos x="r" y="y2"/>
              </a:cxn>
              <a:cxn ang="0">
                <a:pos x="r" y="y3"/>
              </a:cxn>
              <a:cxn ang="5400000">
                <a:pos x="x3" y="by"/>
              </a:cxn>
              <a:cxn ang="5400000">
                <a:pos x="x2" y="b"/>
              </a:cxn>
              <a:cxn ang="5400000">
                <a:pos x="x1" y="by"/>
              </a:cxn>
              <a:cxn ang="10800000">
                <a:pos x="l" y="y3"/>
              </a:cxn>
              <a:cxn ang="10800000">
                <a:pos x="l" y="y2"/>
              </a:cxn>
              <a:cxn ang="10800000">
                <a:pos x="l" y="y1"/>
              </a:cxn>
              <a:cxn ang="16200000">
                <a:pos x="x1" y="ty"/>
              </a:cxn>
            </a:cxnLst>
            <a:rect l="l" t="t" r="r" b="b"/>
            <a:pathLst>
              <a:path stroke="0" extrusionOk="0">
                <a:moveTo>
                  <a:pt x="l" y="ry"/>
                </a:moveTo>
                <a:arcTo wR="wr" hR="ry" stAng="10800000" swAng="-10800000"/>
                <a:lnTo>
                  <a:pt x="r" y="y4"/>
                </a:lnTo>
                <a:arcTo wR="wr" hR="ry" stAng="0" swAng="10800000"/>
                <a:close/>
              </a:path>
              <a:path fill="lighten" stroke="0" extrusionOk="0">
                <a:moveTo>
                  <a:pt x="l" y="ry"/>
                </a:moveTo>
                <a:arcTo wR="wr" hR="ry" stAng="10800000" swAng="10800000"/>
                <a:arcTo wR="wr" hR="ry" stAng="0" swAng="10800000"/>
                <a:close/>
              </a:path>
              <a:path fill="none" extrusionOk="0">
                <a:moveTo>
                  <a:pt x="r" y="ry"/>
                </a:moveTo>
                <a:arcTo wR="wr" hR="ry" stAng="0" swAng="10800000"/>
                <a:arcTo wR="wr" hR="ry" stAng="10800000" swAng="10800000"/>
                <a:lnTo>
                  <a:pt x="r" y="y4"/>
                </a:lnTo>
                <a:arcTo wR="wr" hR="ry" stAng="0" swAng="10800000"/>
                <a:lnTo>
                  <a:pt x="l" y="ry"/>
                </a:lnTo>
              </a:path>
            </a:pathLst>
          </a:custGeom>
          <a:solidFill>
            <a:srgbClr val="FFFFFF"/>
          </a:solidFill>
          <a:ln w="9525" cap="flat">
            <a:solidFill>
              <a:srgbClr val="404040"/>
            </a:solidFill>
            <a:round/>
          </a:ln>
        </xdr:spPr>
        <xdr:txBody>
          <a:bodyPr vertOverflow="overflow" horzOverflow="overflow" wrap="square" lIns="38100" tIns="19050" rIns="38100" bIns="19050" rtlCol="0" anchor="ctr">
            <a:noAutofit/>
          </a:bodyPr>
          <a:lstStyle/>
          <a:p>
            <a:pPr algn="ctr"/>
            <a:endParaRPr lang="ja-JP" altLang="en-US" sz="600" dirty="0">
              <a:latin typeface="Meiryo UI"/>
              <a:ea typeface="Meiryo UI"/>
            </a:endParaRPr>
          </a:p>
        </xdr:txBody>
      </xdr:sp>
      <xdr:sp macro="" textlink="">
        <xdr:nvSpPr>
          <xdr:cNvPr id="291" name="凡例: 図形の説明">
            <a:extLst>
              <a:ext uri="{FF2B5EF4-FFF2-40B4-BE49-F238E27FC236}">
                <a16:creationId xmlns:a16="http://schemas.microsoft.com/office/drawing/2014/main" id="{00000000-0008-0000-0400-000023010000}"/>
              </a:ext>
            </a:extLst>
          </xdr:cNvPr>
          <xdr:cNvSpPr/>
        </xdr:nvSpPr>
        <xdr:spPr>
          <a:xfrm>
            <a:off x="1885950" y="38538150"/>
            <a:ext cx="1452562" cy="190500"/>
          </a:xfrm>
          <a:prstGeom prst="rect">
            <a:avLst/>
          </a:prstGeom>
          <a:noFill/>
          <a:ln>
            <a:noFill/>
          </a:ln>
        </xdr:spPr>
        <xdr:txBody>
          <a:bodyPr vertOverflow="overflow" horzOverflow="overflow" wrap="square" lIns="12700" tIns="0" rIns="12700" bIns="0" rtlCol="0" anchor="ctr">
            <a:noAutofit/>
          </a:bodyPr>
          <a:lstStyle/>
          <a:p>
            <a:pPr algn="l"/>
            <a:r>
              <a:rPr lang="ja-JP" altLang="en-US" sz="750" b="0" dirty="0">
                <a:solidFill>
                  <a:srgbClr val="404040"/>
                </a:solidFill>
                <a:latin typeface="Meiryo UI"/>
                <a:ea typeface="Meiryo UI"/>
                <a:cs typeface="Meiryo UI"/>
              </a:rPr>
              <a:t>システム・サービス／DB</a:t>
            </a:r>
            <a:endParaRPr lang="ja-JP" altLang="en-US" sz="750" dirty="0">
              <a:latin typeface="Meiryo UI"/>
              <a:ea typeface="Meiryo UI"/>
            </a:endParaRPr>
          </a:p>
        </xdr:txBody>
      </xdr:sp>
      <xdr:sp macro="" textlink="">
        <xdr:nvSpPr>
          <xdr:cNvPr id="292" name="凡例: 番号">
            <a:extLst>
              <a:ext uri="{FF2B5EF4-FFF2-40B4-BE49-F238E27FC236}">
                <a16:creationId xmlns:a16="http://schemas.microsoft.com/office/drawing/2014/main" id="{00000000-0008-0000-0400-000024010000}"/>
              </a:ext>
            </a:extLst>
          </xdr:cNvPr>
          <xdr:cNvSpPr/>
        </xdr:nvSpPr>
        <xdr:spPr>
          <a:xfrm>
            <a:off x="3357562" y="38547675"/>
            <a:ext cx="304800" cy="171450"/>
          </a:xfrm>
          <a:prstGeom prst="roundRect">
            <a:avLst>
              <a:gd name="adj" fmla="val 50000"/>
            </a:avLst>
          </a:prstGeom>
          <a:solidFill>
            <a:srgbClr val="315C92"/>
          </a:solidFill>
          <a:ln>
            <a:noFill/>
          </a:ln>
        </xdr:spPr>
        <xdr:txBody>
          <a:bodyPr vertOverflow="overflow" horzOverflow="overflow" wrap="none" lIns="0" tIns="0" rIns="0" bIns="0" rtlCol="0" anchor="ctr">
            <a:noAutofit/>
          </a:bodyPr>
          <a:lstStyle/>
          <a:p>
            <a:pPr algn="ctr"/>
            <a:r>
              <a:rPr lang="ja-JP" altLang="en-US" sz="650" b="1" dirty="0">
                <a:solidFill>
                  <a:srgbClr val="FFFFFF"/>
                </a:solidFill>
                <a:latin typeface="Meiryo UI"/>
                <a:ea typeface="Meiryo UI"/>
                <a:cs typeface="Meiryo UI"/>
              </a:rPr>
              <a:t>A1</a:t>
            </a:r>
            <a:endParaRPr lang="ja-JP" altLang="en-US" sz="650" dirty="0">
              <a:latin typeface="Meiryo UI"/>
              <a:ea typeface="Meiryo UI"/>
            </a:endParaRPr>
          </a:p>
        </xdr:txBody>
      </xdr:sp>
      <xdr:sp macro="" textlink="">
        <xdr:nvSpPr>
          <xdr:cNvPr id="293" name="凡例: 番号の説明">
            <a:extLst>
              <a:ext uri="{FF2B5EF4-FFF2-40B4-BE49-F238E27FC236}">
                <a16:creationId xmlns:a16="http://schemas.microsoft.com/office/drawing/2014/main" id="{00000000-0008-0000-0400-000025010000}"/>
              </a:ext>
            </a:extLst>
          </xdr:cNvPr>
          <xdr:cNvSpPr/>
        </xdr:nvSpPr>
        <xdr:spPr>
          <a:xfrm>
            <a:off x="3700462" y="38538150"/>
            <a:ext cx="1662112" cy="190500"/>
          </a:xfrm>
          <a:prstGeom prst="rect">
            <a:avLst/>
          </a:prstGeom>
          <a:noFill/>
          <a:ln>
            <a:noFill/>
          </a:ln>
        </xdr:spPr>
        <xdr:txBody>
          <a:bodyPr vertOverflow="overflow" horzOverflow="overflow" wrap="square" lIns="12700" tIns="0" rIns="12700" bIns="0" rtlCol="0" anchor="ctr">
            <a:noAutofit/>
          </a:bodyPr>
          <a:lstStyle/>
          <a:p>
            <a:pPr algn="l"/>
            <a:r>
              <a:rPr lang="ja-JP" altLang="en-US" sz="750" b="0" dirty="0">
                <a:solidFill>
                  <a:srgbClr val="404040"/>
                </a:solidFill>
                <a:latin typeface="Meiryo UI"/>
                <a:ea typeface="Meiryo UI"/>
                <a:cs typeface="Meiryo UI"/>
              </a:rPr>
              <a:t>連携番号（→連携一覧）</a:t>
            </a:r>
            <a:endParaRPr lang="ja-JP" altLang="en-US" sz="750" dirty="0">
              <a:latin typeface="Meiryo UI"/>
              <a:ea typeface="Meiryo UI"/>
            </a:endParaRPr>
          </a:p>
        </xdr:txBody>
      </xdr:sp>
      <xdr:sp macro="" textlink="">
        <xdr:nvSpPr>
          <xdr:cNvPr id="294" name="凡例: ポイント">
            <a:extLst>
              <a:ext uri="{FF2B5EF4-FFF2-40B4-BE49-F238E27FC236}">
                <a16:creationId xmlns:a16="http://schemas.microsoft.com/office/drawing/2014/main" id="{00000000-0008-0000-0400-000026010000}"/>
              </a:ext>
            </a:extLst>
          </xdr:cNvPr>
          <xdr:cNvSpPr/>
        </xdr:nvSpPr>
        <xdr:spPr>
          <a:xfrm>
            <a:off x="5381625" y="38547675"/>
            <a:ext cx="304800" cy="171450"/>
          </a:xfrm>
          <a:prstGeom prst="rect">
            <a:avLst/>
          </a:prstGeom>
          <a:solidFill>
            <a:srgbClr val="315C92"/>
          </a:solidFill>
          <a:ln>
            <a:noFill/>
          </a:ln>
        </xdr:spPr>
        <xdr:txBody>
          <a:bodyPr vertOverflow="overflow" horzOverflow="overflow" wrap="none" lIns="0" tIns="0" rIns="0" bIns="0" rtlCol="0" anchor="ctr">
            <a:noAutofit/>
          </a:bodyPr>
          <a:lstStyle/>
          <a:p>
            <a:pPr algn="ctr"/>
            <a:r>
              <a:rPr lang="ja-JP" altLang="en-US" sz="500" b="1" dirty="0">
                <a:solidFill>
                  <a:srgbClr val="FFFFFF"/>
                </a:solidFill>
                <a:latin typeface="Meiryo UI"/>
                <a:ea typeface="Meiryo UI"/>
                <a:cs typeface="Meiryo UI"/>
              </a:rPr>
              <a:t>POINT</a:t>
            </a:r>
            <a:endParaRPr lang="ja-JP" altLang="en-US" sz="500" dirty="0">
              <a:latin typeface="Meiryo UI"/>
              <a:ea typeface="Meiryo UI"/>
            </a:endParaRPr>
          </a:p>
        </xdr:txBody>
      </xdr:sp>
      <xdr:sp macro="" textlink="">
        <xdr:nvSpPr>
          <xdr:cNvPr id="295" name="凡例: ポイントの説明">
            <a:extLst>
              <a:ext uri="{FF2B5EF4-FFF2-40B4-BE49-F238E27FC236}">
                <a16:creationId xmlns:a16="http://schemas.microsoft.com/office/drawing/2014/main" id="{00000000-0008-0000-0400-000027010000}"/>
              </a:ext>
            </a:extLst>
          </xdr:cNvPr>
          <xdr:cNvSpPr/>
        </xdr:nvSpPr>
        <xdr:spPr>
          <a:xfrm>
            <a:off x="5724525" y="38538150"/>
            <a:ext cx="1662112" cy="190500"/>
          </a:xfrm>
          <a:prstGeom prst="rect">
            <a:avLst/>
          </a:prstGeom>
          <a:noFill/>
          <a:ln>
            <a:noFill/>
          </a:ln>
        </xdr:spPr>
        <xdr:txBody>
          <a:bodyPr vertOverflow="overflow" horzOverflow="overflow" wrap="square" lIns="12700" tIns="0" rIns="12700" bIns="0" rtlCol="0" anchor="ctr">
            <a:noAutofit/>
          </a:bodyPr>
          <a:lstStyle/>
          <a:p>
            <a:pPr algn="l"/>
            <a:r>
              <a:rPr lang="ja-JP" altLang="en-US" sz="750" b="0" dirty="0">
                <a:solidFill>
                  <a:srgbClr val="404040"/>
                </a:solidFill>
                <a:latin typeface="Meiryo UI"/>
                <a:ea typeface="Meiryo UI"/>
                <a:cs typeface="Meiryo UI"/>
              </a:rPr>
              <a:t>ポイント・付記（ルート色）</a:t>
            </a:r>
            <a:endParaRPr lang="ja-JP" altLang="en-US" sz="750" dirty="0">
              <a:latin typeface="Meiryo UI"/>
              <a:ea typeface="Meiryo UI"/>
            </a:endParaRPr>
          </a:p>
        </xdr:txBody>
      </xdr:sp>
      <xdr:sp macro="" textlink="">
        <xdr:nvSpPr>
          <xdr:cNvPr id="296" name="凡例: 新規">
            <a:extLst>
              <a:ext uri="{FF2B5EF4-FFF2-40B4-BE49-F238E27FC236}">
                <a16:creationId xmlns:a16="http://schemas.microsoft.com/office/drawing/2014/main" id="{00000000-0008-0000-0400-000028010000}"/>
              </a:ext>
            </a:extLst>
          </xdr:cNvPr>
          <xdr:cNvSpPr/>
        </xdr:nvSpPr>
        <xdr:spPr>
          <a:xfrm>
            <a:off x="7405688" y="38547675"/>
            <a:ext cx="304800" cy="171450"/>
          </a:xfrm>
          <a:prstGeom prst="rect">
            <a:avLst/>
          </a:prstGeom>
          <a:noFill/>
          <a:ln w="12700" cap="flat">
            <a:solidFill>
              <a:srgbClr val="C00000"/>
            </a:solidFill>
            <a:prstDash val="dash"/>
            <a:round/>
          </a:ln>
        </xdr:spPr>
        <xdr:txBody>
          <a:bodyPr vertOverflow="overflow" horzOverflow="overflow" wrap="square" lIns="38100" tIns="19050" rIns="38100" bIns="19050" rtlCol="0" anchor="ctr">
            <a:noAutofit/>
          </a:bodyPr>
          <a:lstStyle/>
          <a:p>
            <a:pPr algn="ctr"/>
            <a:endParaRPr lang="ja-JP" altLang="en-US" sz="600" dirty="0">
              <a:latin typeface="Meiryo UI"/>
              <a:ea typeface="Meiryo UI"/>
            </a:endParaRPr>
          </a:p>
        </xdr:txBody>
      </xdr:sp>
      <xdr:sp macro="" textlink="">
        <xdr:nvSpPr>
          <xdr:cNvPr id="297" name="凡例: 新規の説明">
            <a:extLst>
              <a:ext uri="{FF2B5EF4-FFF2-40B4-BE49-F238E27FC236}">
                <a16:creationId xmlns:a16="http://schemas.microsoft.com/office/drawing/2014/main" id="{00000000-0008-0000-0400-000029010000}"/>
              </a:ext>
            </a:extLst>
          </xdr:cNvPr>
          <xdr:cNvSpPr/>
        </xdr:nvSpPr>
        <xdr:spPr>
          <a:xfrm>
            <a:off x="7748587" y="38538150"/>
            <a:ext cx="1662112" cy="190500"/>
          </a:xfrm>
          <a:prstGeom prst="rect">
            <a:avLst/>
          </a:prstGeom>
          <a:noFill/>
          <a:ln>
            <a:noFill/>
          </a:ln>
        </xdr:spPr>
        <xdr:txBody>
          <a:bodyPr vertOverflow="overflow" horzOverflow="overflow" wrap="square" lIns="12700" tIns="0" rIns="12700" bIns="0" rtlCol="0" anchor="ctr">
            <a:noAutofit/>
          </a:bodyPr>
          <a:lstStyle/>
          <a:p>
            <a:pPr algn="l"/>
            <a:r>
              <a:rPr lang="ja-JP" altLang="en-US" sz="750" b="0" dirty="0">
                <a:solidFill>
                  <a:srgbClr val="404040"/>
                </a:solidFill>
                <a:latin typeface="Meiryo UI"/>
                <a:ea typeface="Meiryo UI"/>
                <a:cs typeface="Meiryo UI"/>
              </a:rPr>
              <a:t>新規・変更箇所（赤破線）</a:t>
            </a:r>
            <a:endParaRPr lang="ja-JP" altLang="en-US" sz="750" dirty="0">
              <a:latin typeface="Meiryo UI"/>
              <a:ea typeface="Meiryo UI"/>
            </a:endParaRPr>
          </a:p>
        </xdr:txBody>
      </xdr: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Flows" displayName="tblFlows" ref="B5:L65" totalsRowShown="0">
  <autoFilter ref="B5:L65" xr:uid="{00000000-0009-0000-0100-000001000000}"/>
  <tableColumns count="11">
    <tableColumn id="1" xr3:uid="{00000000-0010-0000-0000-000001000000}" name="No." dataDxfId="26"/>
    <tableColumn id="2" xr3:uid="{00000000-0010-0000-0000-000002000000}" name="ルート" dataDxfId="25"/>
    <tableColumn id="3" xr3:uid="{00000000-0010-0000-0000-000003000000}" name="連携元" dataDxfId="24"/>
    <tableColumn id="4" xr3:uid="{00000000-0010-0000-0000-000004000000}" name="連携先" dataDxfId="23"/>
    <tableColumn id="5" xr3:uid="{00000000-0010-0000-0000-000005000000}" name="連携方式" dataDxfId="22"/>
    <tableColumn id="6" xr3:uid="{00000000-0010-0000-0000-000006000000}" name="データ・内容" dataDxfId="21"/>
    <tableColumn id="7" xr3:uid="{00000000-0010-0000-0000-000007000000}" name="タイミング・頻度" dataDxfId="20"/>
    <tableColumn id="8" xr3:uid="{00000000-0010-0000-0000-000008000000}" name="経路（回線）" dataDxfId="19"/>
    <tableColumn id="9" xr3:uid="{00000000-0010-0000-0000-000009000000}" name="プロトコル・認証" dataDxfId="18"/>
    <tableColumn id="10" xr3:uid="{00000000-0010-0000-0000-00000A000000}" name="方向" dataDxfId="17"/>
    <tableColumn id="11" xr3:uid="{00000000-0010-0000-0000-00000B000000}" name="備考" dataDxfId="16"/>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Nodes" displayName="tblNodes" ref="B5:I65" totalsRowShown="0">
  <autoFilter ref="B5:I65" xr:uid="{00000000-0009-0000-0100-000002000000}"/>
  <tableColumns count="8">
    <tableColumn id="1" xr3:uid="{00000000-0010-0000-0100-000001000000}" name="ID" dataDxfId="15"/>
    <tableColumn id="2" xr3:uid="{00000000-0010-0000-0100-000002000000}" name="ルート" dataDxfId="14"/>
    <tableColumn id="3" xr3:uid="{00000000-0010-0000-0100-000003000000}" name="名称（図の表記）" dataDxfId="13"/>
    <tableColumn id="4" xr3:uid="{00000000-0010-0000-0100-000004000000}" name="種別（サービス・製品）" dataDxfId="12"/>
    <tableColumn id="5" xr3:uid="{00000000-0010-0000-0100-000005000000}" name="役割・用途" dataDxfId="11"/>
    <tableColumn id="6" xr3:uid="{00000000-0010-0000-0100-000006000000}" name="配置先（ゾーン）" dataDxfId="10"/>
    <tableColumn id="7" xr3:uid="{00000000-0010-0000-0100-000007000000}" name="図形" dataDxfId="9"/>
    <tableColumn id="8" xr3:uid="{00000000-0010-0000-0100-000008000000}" name="備考" dataDxfId="8"/>
  </tableColumns>
  <tableStyleInfo name="TableStyleLight1"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62626"/>
    <pageSetUpPr fitToPage="1"/>
  </sheetPr>
  <dimension ref="A1:BX51"/>
  <sheetViews>
    <sheetView showGridLines="0" tabSelected="1" zoomScale="85" zoomScaleNormal="85" workbookViewId="0"/>
  </sheetViews>
  <sheetFormatPr defaultRowHeight="15" customHeight="1" x14ac:dyDescent="0.25"/>
  <cols>
    <col min="1" max="161" width="2.80859375" customWidth="1"/>
  </cols>
  <sheetData>
    <row r="1" spans="1:74" ht="15" customHeight="1" x14ac:dyDescent="0.25">
      <c r="A1" s="1"/>
    </row>
    <row r="2" spans="1:74" ht="15" customHeight="1" x14ac:dyDescent="0.25">
      <c r="A2" s="1"/>
    </row>
    <row r="3" spans="1:74" ht="15" customHeight="1" x14ac:dyDescent="0.25">
      <c r="A3" s="1"/>
      <c r="C3" s="17" t="s">
        <v>0</v>
      </c>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row>
    <row r="4" spans="1:74" ht="15" customHeight="1" x14ac:dyDescent="0.25">
      <c r="A4" s="1"/>
    </row>
    <row r="5" spans="1:74" ht="15" customHeight="1" x14ac:dyDescent="0.25">
      <c r="A5" s="1"/>
      <c r="C5" s="18" t="str">
        <f>IF(システム名="","",システム名&amp;"　")&amp;文書名</f>
        <v>○○システム　システム構成図</v>
      </c>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c r="BR5" s="18"/>
      <c r="BS5" s="18"/>
      <c r="BT5" s="18"/>
      <c r="BU5" s="18"/>
      <c r="BV5" s="18"/>
    </row>
    <row r="6" spans="1:74" ht="15" customHeight="1" x14ac:dyDescent="0.25">
      <c r="A6" s="1"/>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8"/>
      <c r="BU6" s="18"/>
      <c r="BV6" s="18"/>
    </row>
    <row r="7" spans="1:74" ht="15" customHeight="1" x14ac:dyDescent="0.25">
      <c r="A7" s="1"/>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row>
    <row r="8" spans="1:74" ht="15" customHeight="1" x14ac:dyDescent="0.25">
      <c r="A8" s="1"/>
    </row>
    <row r="9" spans="1:74" ht="15" customHeight="1" x14ac:dyDescent="0.25">
      <c r="A9" s="1"/>
      <c r="C9" s="19" t="s">
        <v>1</v>
      </c>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row>
    <row r="10" spans="1:74" ht="15" customHeight="1" x14ac:dyDescent="0.25">
      <c r="A10" s="1"/>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c r="BI10" s="19"/>
      <c r="BJ10" s="19"/>
      <c r="BK10" s="19"/>
      <c r="BL10" s="19"/>
      <c r="BM10" s="19"/>
      <c r="BN10" s="19"/>
      <c r="BO10" s="19"/>
      <c r="BP10" s="19"/>
      <c r="BQ10" s="19"/>
      <c r="BR10" s="19"/>
      <c r="BS10" s="19"/>
      <c r="BT10" s="19"/>
      <c r="BU10" s="19"/>
      <c r="BV10" s="19"/>
    </row>
    <row r="11" spans="1:74" ht="15" customHeight="1" x14ac:dyDescent="0.25">
      <c r="A11" s="1"/>
    </row>
    <row r="12" spans="1:74" ht="15" customHeight="1" x14ac:dyDescent="0.25">
      <c r="A12" s="1"/>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row>
    <row r="13" spans="1:74" ht="15" customHeight="1" x14ac:dyDescent="0.25">
      <c r="A13" s="1"/>
    </row>
    <row r="14" spans="1:74" ht="15" customHeight="1" x14ac:dyDescent="0.25">
      <c r="A14" s="1"/>
      <c r="C14" s="20" t="s">
        <v>2</v>
      </c>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K14" s="20" t="s">
        <v>21</v>
      </c>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row>
    <row r="15" spans="1:74" ht="15" customHeight="1" x14ac:dyDescent="0.25">
      <c r="A15" s="1"/>
      <c r="C15" s="21" t="s">
        <v>3</v>
      </c>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K15" s="21" t="s">
        <v>22</v>
      </c>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row>
    <row r="16" spans="1:74" ht="15" customHeight="1" x14ac:dyDescent="0.25">
      <c r="A16" s="1"/>
      <c r="C16" s="22" t="s">
        <v>4</v>
      </c>
      <c r="D16" s="22"/>
      <c r="E16" s="22"/>
      <c r="F16" s="22"/>
      <c r="G16" s="22"/>
      <c r="H16" s="22"/>
      <c r="I16" s="22"/>
      <c r="J16" s="23" t="s">
        <v>5</v>
      </c>
      <c r="K16" s="23"/>
      <c r="L16" s="23"/>
      <c r="M16" s="23"/>
      <c r="N16" s="23"/>
      <c r="O16" s="23"/>
      <c r="P16" s="23"/>
      <c r="Q16" s="23"/>
      <c r="R16" s="23"/>
      <c r="S16" s="23"/>
      <c r="T16" s="23"/>
      <c r="U16" s="23"/>
      <c r="V16" s="23"/>
      <c r="W16" s="23"/>
      <c r="X16" s="23"/>
      <c r="Y16" s="23"/>
      <c r="Z16" s="23"/>
      <c r="AA16" s="23"/>
      <c r="AB16" s="23"/>
      <c r="AC16" s="23"/>
      <c r="AD16" s="23"/>
      <c r="AE16" s="23"/>
      <c r="AF16" s="23"/>
      <c r="AK16" s="25" t="s">
        <v>23</v>
      </c>
      <c r="AL16" s="25"/>
      <c r="AM16" s="26" t="s">
        <v>24</v>
      </c>
      <c r="AN16" s="26"/>
      <c r="AO16" s="26"/>
      <c r="AP16" s="26"/>
      <c r="AQ16" s="26"/>
      <c r="AR16" s="26"/>
      <c r="AS16" s="26"/>
      <c r="AT16" s="26"/>
      <c r="AU16" s="26"/>
      <c r="AV16" s="26" t="s">
        <v>25</v>
      </c>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row>
    <row r="17" spans="1:74" ht="15" customHeight="1" x14ac:dyDescent="0.25">
      <c r="A17" s="1"/>
      <c r="C17" s="22" t="s">
        <v>6</v>
      </c>
      <c r="D17" s="22"/>
      <c r="E17" s="22"/>
      <c r="F17" s="22"/>
      <c r="G17" s="22"/>
      <c r="H17" s="22"/>
      <c r="I17" s="22"/>
      <c r="J17" s="23" t="s">
        <v>7</v>
      </c>
      <c r="K17" s="23"/>
      <c r="L17" s="23"/>
      <c r="M17" s="23"/>
      <c r="N17" s="23"/>
      <c r="O17" s="23"/>
      <c r="P17" s="23"/>
      <c r="Q17" s="23"/>
      <c r="R17" s="23"/>
      <c r="S17" s="23"/>
      <c r="T17" s="23"/>
      <c r="U17" s="23"/>
      <c r="V17" s="23"/>
      <c r="W17" s="23"/>
      <c r="X17" s="23"/>
      <c r="Y17" s="23"/>
      <c r="Z17" s="23"/>
      <c r="AA17" s="23"/>
      <c r="AB17" s="23"/>
      <c r="AC17" s="23"/>
      <c r="AD17" s="23"/>
      <c r="AE17" s="23"/>
      <c r="AF17" s="23"/>
      <c r="AK17" s="27">
        <v>1</v>
      </c>
      <c r="AL17" s="27"/>
      <c r="AM17" s="28" t="s">
        <v>26</v>
      </c>
      <c r="AN17" s="28"/>
      <c r="AO17" s="28"/>
      <c r="AP17" s="28"/>
      <c r="AQ17" s="28"/>
      <c r="AR17" s="28"/>
      <c r="AS17" s="28"/>
      <c r="AT17" s="28"/>
      <c r="AU17" s="28"/>
      <c r="AV17" s="29" t="s">
        <v>27</v>
      </c>
      <c r="AW17" s="29"/>
      <c r="AX17" s="29"/>
      <c r="AY17" s="29"/>
      <c r="AZ17" s="29"/>
      <c r="BA17" s="29"/>
      <c r="BB17" s="29"/>
      <c r="BC17" s="29"/>
      <c r="BD17" s="29"/>
      <c r="BE17" s="29"/>
      <c r="BF17" s="29"/>
      <c r="BG17" s="29"/>
      <c r="BH17" s="29"/>
      <c r="BI17" s="29"/>
      <c r="BJ17" s="29"/>
      <c r="BK17" s="29"/>
      <c r="BL17" s="29"/>
      <c r="BM17" s="29"/>
      <c r="BN17" s="29"/>
      <c r="BO17" s="29"/>
      <c r="BP17" s="29"/>
      <c r="BQ17" s="29"/>
      <c r="BR17" s="29"/>
      <c r="BS17" s="29"/>
      <c r="BT17" s="29"/>
      <c r="BU17" s="29"/>
      <c r="BV17" s="29"/>
    </row>
    <row r="18" spans="1:74" ht="15" customHeight="1" x14ac:dyDescent="0.25">
      <c r="A18" s="1"/>
      <c r="C18" s="22" t="s">
        <v>8</v>
      </c>
      <c r="D18" s="22"/>
      <c r="E18" s="22"/>
      <c r="F18" s="22"/>
      <c r="G18" s="22"/>
      <c r="H18" s="22"/>
      <c r="I18" s="22"/>
      <c r="J18" s="23" t="s">
        <v>9</v>
      </c>
      <c r="K18" s="23"/>
      <c r="L18" s="23"/>
      <c r="M18" s="23"/>
      <c r="N18" s="23"/>
      <c r="O18" s="23"/>
      <c r="P18" s="23"/>
      <c r="Q18" s="23"/>
      <c r="R18" s="23"/>
      <c r="S18" s="23"/>
      <c r="T18" s="23"/>
      <c r="U18" s="23"/>
      <c r="V18" s="23"/>
      <c r="W18" s="23"/>
      <c r="X18" s="23"/>
      <c r="Y18" s="23"/>
      <c r="Z18" s="23"/>
      <c r="AA18" s="23"/>
      <c r="AB18" s="23"/>
      <c r="AC18" s="23"/>
      <c r="AD18" s="23"/>
      <c r="AE18" s="23"/>
      <c r="AF18" s="23"/>
      <c r="AK18" s="27">
        <v>2</v>
      </c>
      <c r="AL18" s="27"/>
      <c r="AM18" s="28" t="s">
        <v>28</v>
      </c>
      <c r="AN18" s="28"/>
      <c r="AO18" s="28"/>
      <c r="AP18" s="28"/>
      <c r="AQ18" s="28"/>
      <c r="AR18" s="28"/>
      <c r="AS18" s="28"/>
      <c r="AT18" s="28"/>
      <c r="AU18" s="28"/>
      <c r="AV18" s="29" t="s">
        <v>29</v>
      </c>
      <c r="AW18" s="29"/>
      <c r="AX18" s="29"/>
      <c r="AY18" s="29"/>
      <c r="AZ18" s="29"/>
      <c r="BA18" s="29"/>
      <c r="BB18" s="29"/>
      <c r="BC18" s="29"/>
      <c r="BD18" s="29"/>
      <c r="BE18" s="29"/>
      <c r="BF18" s="29"/>
      <c r="BG18" s="29"/>
      <c r="BH18" s="29"/>
      <c r="BI18" s="29"/>
      <c r="BJ18" s="29"/>
      <c r="BK18" s="29"/>
      <c r="BL18" s="29"/>
      <c r="BM18" s="29"/>
      <c r="BN18" s="29"/>
      <c r="BO18" s="29"/>
      <c r="BP18" s="29"/>
      <c r="BQ18" s="29"/>
      <c r="BR18" s="29"/>
      <c r="BS18" s="29"/>
      <c r="BT18" s="29"/>
      <c r="BU18" s="29"/>
      <c r="BV18" s="29"/>
    </row>
    <row r="19" spans="1:74" ht="15" customHeight="1" x14ac:dyDescent="0.25">
      <c r="A19" s="1"/>
      <c r="C19" s="22" t="s">
        <v>10</v>
      </c>
      <c r="D19" s="22"/>
      <c r="E19" s="22"/>
      <c r="F19" s="22"/>
      <c r="G19" s="22"/>
      <c r="H19" s="22"/>
      <c r="I19" s="22"/>
      <c r="J19" s="23" t="s">
        <v>11</v>
      </c>
      <c r="K19" s="23"/>
      <c r="L19" s="23"/>
      <c r="M19" s="23"/>
      <c r="N19" s="23"/>
      <c r="O19" s="23"/>
      <c r="P19" s="23"/>
      <c r="Q19" s="23"/>
      <c r="R19" s="23"/>
      <c r="S19" s="23"/>
      <c r="T19" s="23"/>
      <c r="U19" s="23"/>
      <c r="V19" s="23"/>
      <c r="W19" s="23"/>
      <c r="X19" s="23"/>
      <c r="Y19" s="23"/>
      <c r="Z19" s="23"/>
      <c r="AA19" s="23"/>
      <c r="AB19" s="23"/>
      <c r="AC19" s="23"/>
      <c r="AD19" s="23"/>
      <c r="AE19" s="23"/>
      <c r="AF19" s="23"/>
      <c r="AK19" s="27">
        <v>3</v>
      </c>
      <c r="AL19" s="27"/>
      <c r="AM19" s="28" t="s">
        <v>30</v>
      </c>
      <c r="AN19" s="28"/>
      <c r="AO19" s="28"/>
      <c r="AP19" s="28"/>
      <c r="AQ19" s="28"/>
      <c r="AR19" s="28"/>
      <c r="AS19" s="28"/>
      <c r="AT19" s="28"/>
      <c r="AU19" s="28"/>
      <c r="AV19" s="29" t="s">
        <v>31</v>
      </c>
      <c r="AW19" s="29"/>
      <c r="AX19" s="29"/>
      <c r="AY19" s="29"/>
      <c r="AZ19" s="29"/>
      <c r="BA19" s="29"/>
      <c r="BB19" s="29"/>
      <c r="BC19" s="29"/>
      <c r="BD19" s="29"/>
      <c r="BE19" s="29"/>
      <c r="BF19" s="29"/>
      <c r="BG19" s="29"/>
      <c r="BH19" s="29"/>
      <c r="BI19" s="29"/>
      <c r="BJ19" s="29"/>
      <c r="BK19" s="29"/>
      <c r="BL19" s="29"/>
      <c r="BM19" s="29"/>
      <c r="BN19" s="29"/>
      <c r="BO19" s="29"/>
      <c r="BP19" s="29"/>
      <c r="BQ19" s="29"/>
      <c r="BR19" s="29"/>
      <c r="BS19" s="29"/>
      <c r="BT19" s="29"/>
      <c r="BU19" s="29"/>
      <c r="BV19" s="29"/>
    </row>
    <row r="20" spans="1:74" ht="15" customHeight="1" x14ac:dyDescent="0.25">
      <c r="A20" s="1"/>
      <c r="C20" s="22" t="s">
        <v>12</v>
      </c>
      <c r="D20" s="22"/>
      <c r="E20" s="22"/>
      <c r="F20" s="22"/>
      <c r="G20" s="22"/>
      <c r="H20" s="22"/>
      <c r="I20" s="22"/>
      <c r="J20" s="24">
        <v>46298</v>
      </c>
      <c r="K20" s="24"/>
      <c r="L20" s="24"/>
      <c r="M20" s="24"/>
      <c r="N20" s="24"/>
      <c r="O20" s="24"/>
      <c r="P20" s="24"/>
      <c r="Q20" s="24"/>
      <c r="R20" s="24"/>
      <c r="S20" s="24"/>
      <c r="T20" s="24"/>
      <c r="U20" s="24"/>
      <c r="V20" s="24"/>
      <c r="W20" s="24"/>
      <c r="X20" s="24"/>
      <c r="Y20" s="24"/>
      <c r="Z20" s="24"/>
      <c r="AA20" s="24"/>
      <c r="AB20" s="24"/>
      <c r="AC20" s="24"/>
      <c r="AD20" s="24"/>
      <c r="AE20" s="24"/>
      <c r="AF20" s="24"/>
      <c r="AK20" s="27">
        <v>4</v>
      </c>
      <c r="AL20" s="27"/>
      <c r="AM20" s="28" t="s">
        <v>32</v>
      </c>
      <c r="AN20" s="28"/>
      <c r="AO20" s="28"/>
      <c r="AP20" s="28"/>
      <c r="AQ20" s="28"/>
      <c r="AR20" s="28"/>
      <c r="AS20" s="28"/>
      <c r="AT20" s="28"/>
      <c r="AU20" s="28"/>
      <c r="AV20" s="29" t="s">
        <v>33</v>
      </c>
      <c r="AW20" s="29"/>
      <c r="AX20" s="29"/>
      <c r="AY20" s="29"/>
      <c r="AZ20" s="29"/>
      <c r="BA20" s="29"/>
      <c r="BB20" s="29"/>
      <c r="BC20" s="29"/>
      <c r="BD20" s="29"/>
      <c r="BE20" s="29"/>
      <c r="BF20" s="29"/>
      <c r="BG20" s="29"/>
      <c r="BH20" s="29"/>
      <c r="BI20" s="29"/>
      <c r="BJ20" s="29"/>
      <c r="BK20" s="29"/>
      <c r="BL20" s="29"/>
      <c r="BM20" s="29"/>
      <c r="BN20" s="29"/>
      <c r="BO20" s="29"/>
      <c r="BP20" s="29"/>
      <c r="BQ20" s="29"/>
      <c r="BR20" s="29"/>
      <c r="BS20" s="29"/>
      <c r="BT20" s="29"/>
      <c r="BU20" s="29"/>
      <c r="BV20" s="29"/>
    </row>
    <row r="21" spans="1:74" ht="15" customHeight="1" x14ac:dyDescent="0.25">
      <c r="A21" s="1"/>
      <c r="C21" s="22" t="s">
        <v>13</v>
      </c>
      <c r="D21" s="22"/>
      <c r="E21" s="22"/>
      <c r="F21" s="22"/>
      <c r="G21" s="22"/>
      <c r="H21" s="22"/>
      <c r="I21" s="22"/>
      <c r="J21" s="24">
        <v>46298</v>
      </c>
      <c r="K21" s="24"/>
      <c r="L21" s="24"/>
      <c r="M21" s="24"/>
      <c r="N21" s="24"/>
      <c r="O21" s="24"/>
      <c r="P21" s="24"/>
      <c r="Q21" s="24"/>
      <c r="R21" s="24"/>
      <c r="S21" s="24"/>
      <c r="T21" s="24"/>
      <c r="U21" s="24"/>
      <c r="V21" s="24"/>
      <c r="W21" s="24"/>
      <c r="X21" s="24"/>
      <c r="Y21" s="24"/>
      <c r="Z21" s="24"/>
      <c r="AA21" s="24"/>
      <c r="AB21" s="24"/>
      <c r="AC21" s="24"/>
      <c r="AD21" s="24"/>
      <c r="AE21" s="24"/>
      <c r="AF21" s="24"/>
      <c r="AK21" s="27">
        <v>5</v>
      </c>
      <c r="AL21" s="27"/>
      <c r="AM21" s="28" t="s">
        <v>34</v>
      </c>
      <c r="AN21" s="28"/>
      <c r="AO21" s="28"/>
      <c r="AP21" s="28"/>
      <c r="AQ21" s="28"/>
      <c r="AR21" s="28"/>
      <c r="AS21" s="28"/>
      <c r="AT21" s="28"/>
      <c r="AU21" s="28"/>
      <c r="AV21" s="29" t="s">
        <v>35</v>
      </c>
      <c r="AW21" s="29"/>
      <c r="AX21" s="29"/>
      <c r="AY21" s="29"/>
      <c r="AZ21" s="29"/>
      <c r="BA21" s="29"/>
      <c r="BB21" s="29"/>
      <c r="BC21" s="29"/>
      <c r="BD21" s="29"/>
      <c r="BE21" s="29"/>
      <c r="BF21" s="29"/>
      <c r="BG21" s="29"/>
      <c r="BH21" s="29"/>
      <c r="BI21" s="29"/>
      <c r="BJ21" s="29"/>
      <c r="BK21" s="29"/>
      <c r="BL21" s="29"/>
      <c r="BM21" s="29"/>
      <c r="BN21" s="29"/>
      <c r="BO21" s="29"/>
      <c r="BP21" s="29"/>
      <c r="BQ21" s="29"/>
      <c r="BR21" s="29"/>
      <c r="BS21" s="29"/>
      <c r="BT21" s="29"/>
      <c r="BU21" s="29"/>
      <c r="BV21" s="29"/>
    </row>
    <row r="22" spans="1:74" ht="15" customHeight="1" x14ac:dyDescent="0.25">
      <c r="A22" s="1"/>
      <c r="C22" s="22" t="s">
        <v>14</v>
      </c>
      <c r="D22" s="22"/>
      <c r="E22" s="22"/>
      <c r="F22" s="22"/>
      <c r="G22" s="22"/>
      <c r="H22" s="22"/>
      <c r="I22" s="22"/>
      <c r="J22" s="23" t="s">
        <v>15</v>
      </c>
      <c r="K22" s="23"/>
      <c r="L22" s="23"/>
      <c r="M22" s="23"/>
      <c r="N22" s="23"/>
      <c r="O22" s="23"/>
      <c r="P22" s="23"/>
      <c r="Q22" s="23"/>
      <c r="R22" s="23"/>
      <c r="S22" s="23"/>
      <c r="T22" s="23"/>
      <c r="U22" s="23"/>
      <c r="V22" s="23"/>
      <c r="W22" s="23"/>
      <c r="X22" s="23"/>
      <c r="Y22" s="23"/>
      <c r="Z22" s="23"/>
      <c r="AA22" s="23"/>
      <c r="AB22" s="23"/>
      <c r="AC22" s="23"/>
      <c r="AD22" s="23"/>
      <c r="AE22" s="23"/>
      <c r="AF22" s="23"/>
      <c r="AK22" s="27">
        <v>6</v>
      </c>
      <c r="AL22" s="27"/>
      <c r="AM22" s="28" t="s">
        <v>36</v>
      </c>
      <c r="AN22" s="28"/>
      <c r="AO22" s="28"/>
      <c r="AP22" s="28"/>
      <c r="AQ22" s="28"/>
      <c r="AR22" s="28"/>
      <c r="AS22" s="28"/>
      <c r="AT22" s="28"/>
      <c r="AU22" s="28"/>
      <c r="AV22" s="29" t="s">
        <v>37</v>
      </c>
      <c r="AW22" s="29"/>
      <c r="AX22" s="29"/>
      <c r="AY22" s="29"/>
      <c r="AZ22" s="29"/>
      <c r="BA22" s="29"/>
      <c r="BB22" s="29"/>
      <c r="BC22" s="29"/>
      <c r="BD22" s="29"/>
      <c r="BE22" s="29"/>
      <c r="BF22" s="29"/>
      <c r="BG22" s="29"/>
      <c r="BH22" s="29"/>
      <c r="BI22" s="29"/>
      <c r="BJ22" s="29"/>
      <c r="BK22" s="29"/>
      <c r="BL22" s="29"/>
      <c r="BM22" s="29"/>
      <c r="BN22" s="29"/>
      <c r="BO22" s="29"/>
      <c r="BP22" s="29"/>
      <c r="BQ22" s="29"/>
      <c r="BR22" s="29"/>
      <c r="BS22" s="29"/>
      <c r="BT22" s="29"/>
      <c r="BU22" s="29"/>
      <c r="BV22" s="29"/>
    </row>
    <row r="23" spans="1:74" ht="15" customHeight="1" x14ac:dyDescent="0.25">
      <c r="A23" s="1"/>
      <c r="C23" s="22" t="s">
        <v>16</v>
      </c>
      <c r="D23" s="22"/>
      <c r="E23" s="22"/>
      <c r="F23" s="22"/>
      <c r="G23" s="22"/>
      <c r="H23" s="22"/>
      <c r="I23" s="22"/>
      <c r="J23" s="23" t="s">
        <v>15</v>
      </c>
      <c r="K23" s="23"/>
      <c r="L23" s="23"/>
      <c r="M23" s="23"/>
      <c r="N23" s="23"/>
      <c r="O23" s="23"/>
      <c r="P23" s="23"/>
      <c r="Q23" s="23"/>
      <c r="R23" s="23"/>
      <c r="S23" s="23"/>
      <c r="T23" s="23"/>
      <c r="U23" s="23"/>
      <c r="V23" s="23"/>
      <c r="W23" s="23"/>
      <c r="X23" s="23"/>
      <c r="Y23" s="23"/>
      <c r="Z23" s="23"/>
      <c r="AA23" s="23"/>
      <c r="AB23" s="23"/>
      <c r="AC23" s="23"/>
      <c r="AD23" s="23"/>
      <c r="AE23" s="23"/>
      <c r="AF23" s="23"/>
    </row>
    <row r="24" spans="1:74" ht="15" customHeight="1" x14ac:dyDescent="0.25">
      <c r="A24" s="1"/>
      <c r="C24" s="22" t="s">
        <v>17</v>
      </c>
      <c r="D24" s="22"/>
      <c r="E24" s="22"/>
      <c r="F24" s="22"/>
      <c r="G24" s="22"/>
      <c r="H24" s="22"/>
      <c r="I24" s="22"/>
      <c r="J24" s="23" t="s">
        <v>18</v>
      </c>
      <c r="K24" s="23"/>
      <c r="L24" s="23"/>
      <c r="M24" s="23"/>
      <c r="N24" s="23"/>
      <c r="O24" s="23"/>
      <c r="P24" s="23"/>
      <c r="Q24" s="23"/>
      <c r="R24" s="23"/>
      <c r="S24" s="23"/>
      <c r="T24" s="23"/>
      <c r="U24" s="23"/>
      <c r="V24" s="23"/>
      <c r="W24" s="23"/>
      <c r="X24" s="23"/>
      <c r="Y24" s="23"/>
      <c r="Z24" s="23"/>
      <c r="AA24" s="23"/>
      <c r="AB24" s="23"/>
      <c r="AC24" s="23"/>
      <c r="AD24" s="23"/>
      <c r="AE24" s="23"/>
      <c r="AF24" s="23"/>
      <c r="AK24" s="20" t="s">
        <v>60</v>
      </c>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row>
    <row r="25" spans="1:74" ht="15" customHeight="1" x14ac:dyDescent="0.25">
      <c r="A25" s="1"/>
      <c r="C25" s="22" t="s">
        <v>19</v>
      </c>
      <c r="D25" s="22"/>
      <c r="E25" s="22"/>
      <c r="F25" s="22"/>
      <c r="G25" s="22"/>
      <c r="H25" s="22"/>
      <c r="I25" s="22"/>
      <c r="J25" s="23" t="s">
        <v>20</v>
      </c>
      <c r="K25" s="23"/>
      <c r="L25" s="23"/>
      <c r="M25" s="23"/>
      <c r="N25" s="23"/>
      <c r="O25" s="23"/>
      <c r="P25" s="23"/>
      <c r="Q25" s="23"/>
      <c r="R25" s="23"/>
      <c r="S25" s="23"/>
      <c r="T25" s="23"/>
      <c r="U25" s="23"/>
      <c r="V25" s="23"/>
      <c r="W25" s="23"/>
      <c r="X25" s="23"/>
      <c r="Y25" s="23"/>
      <c r="Z25" s="23"/>
      <c r="AA25" s="23"/>
      <c r="AB25" s="23"/>
      <c r="AC25" s="23"/>
      <c r="AD25" s="23"/>
      <c r="AE25" s="23"/>
      <c r="AF25" s="23"/>
      <c r="AK25" s="25" t="s">
        <v>10</v>
      </c>
      <c r="AL25" s="25"/>
      <c r="AM25" s="25"/>
      <c r="AN25" s="25" t="s">
        <v>61</v>
      </c>
      <c r="AO25" s="25"/>
      <c r="AP25" s="25"/>
      <c r="AQ25" s="25"/>
      <c r="AR25" s="25"/>
      <c r="AS25" s="25" t="s">
        <v>62</v>
      </c>
      <c r="AT25" s="25"/>
      <c r="AU25" s="25"/>
      <c r="AV25" s="25"/>
      <c r="AW25" s="25"/>
      <c r="AX25" s="25"/>
      <c r="AY25" s="25"/>
      <c r="AZ25" s="25"/>
      <c r="BA25" s="25"/>
      <c r="BB25" s="25"/>
      <c r="BC25" s="25"/>
      <c r="BD25" s="25"/>
      <c r="BE25" s="25"/>
      <c r="BF25" s="25"/>
      <c r="BG25" s="25"/>
      <c r="BH25" s="25"/>
      <c r="BI25" s="25"/>
      <c r="BJ25" s="25"/>
      <c r="BK25" s="25"/>
      <c r="BL25" s="25"/>
      <c r="BM25" s="25"/>
      <c r="BN25" s="25"/>
      <c r="BO25" s="25" t="s">
        <v>63</v>
      </c>
      <c r="BP25" s="25"/>
      <c r="BQ25" s="25"/>
      <c r="BR25" s="25"/>
      <c r="BS25" s="25"/>
      <c r="BT25" s="25"/>
      <c r="BU25" s="25"/>
      <c r="BV25" s="25"/>
    </row>
    <row r="26" spans="1:74" ht="15" customHeight="1" x14ac:dyDescent="0.25">
      <c r="A26" s="1"/>
      <c r="AK26" s="41" t="s">
        <v>11</v>
      </c>
      <c r="AL26" s="41"/>
      <c r="AM26" s="41"/>
      <c r="AN26" s="42">
        <v>46298</v>
      </c>
      <c r="AO26" s="42"/>
      <c r="AP26" s="42"/>
      <c r="AQ26" s="42"/>
      <c r="AR26" s="42"/>
      <c r="AS26" s="43" t="s">
        <v>64</v>
      </c>
      <c r="AT26" s="43"/>
      <c r="AU26" s="43"/>
      <c r="AV26" s="43"/>
      <c r="AW26" s="43"/>
      <c r="AX26" s="43"/>
      <c r="AY26" s="43"/>
      <c r="AZ26" s="43"/>
      <c r="BA26" s="43"/>
      <c r="BB26" s="43"/>
      <c r="BC26" s="43"/>
      <c r="BD26" s="43"/>
      <c r="BE26" s="43"/>
      <c r="BF26" s="43"/>
      <c r="BG26" s="43"/>
      <c r="BH26" s="43"/>
      <c r="BI26" s="43"/>
      <c r="BJ26" s="43"/>
      <c r="BK26" s="43"/>
      <c r="BL26" s="43"/>
      <c r="BM26" s="43"/>
      <c r="BN26" s="43"/>
      <c r="BO26" s="41" t="s">
        <v>15</v>
      </c>
      <c r="BP26" s="41"/>
      <c r="BQ26" s="41"/>
      <c r="BR26" s="41"/>
      <c r="BS26" s="41"/>
      <c r="BT26" s="41"/>
      <c r="BU26" s="41"/>
      <c r="BV26" s="41"/>
    </row>
    <row r="27" spans="1:74" ht="15" customHeight="1" x14ac:dyDescent="0.25">
      <c r="A27" s="1"/>
      <c r="AK27" s="41"/>
      <c r="AL27" s="41"/>
      <c r="AM27" s="41"/>
      <c r="AN27" s="42"/>
      <c r="AO27" s="42"/>
      <c r="AP27" s="42"/>
      <c r="AQ27" s="42"/>
      <c r="AR27" s="42"/>
      <c r="AS27" s="43"/>
      <c r="AT27" s="43"/>
      <c r="AU27" s="43"/>
      <c r="AV27" s="43"/>
      <c r="AW27" s="43"/>
      <c r="AX27" s="43"/>
      <c r="AY27" s="43"/>
      <c r="AZ27" s="43"/>
      <c r="BA27" s="43"/>
      <c r="BB27" s="43"/>
      <c r="BC27" s="43"/>
      <c r="BD27" s="43"/>
      <c r="BE27" s="43"/>
      <c r="BF27" s="43"/>
      <c r="BG27" s="43"/>
      <c r="BH27" s="43"/>
      <c r="BI27" s="43"/>
      <c r="BJ27" s="43"/>
      <c r="BK27" s="43"/>
      <c r="BL27" s="43"/>
      <c r="BM27" s="43"/>
      <c r="BN27" s="43"/>
      <c r="BO27" s="41"/>
      <c r="BP27" s="41"/>
      <c r="BQ27" s="41"/>
      <c r="BR27" s="41"/>
      <c r="BS27" s="41"/>
      <c r="BT27" s="41"/>
      <c r="BU27" s="41"/>
      <c r="BV27" s="41"/>
    </row>
    <row r="28" spans="1:74" ht="15" customHeight="1" x14ac:dyDescent="0.25">
      <c r="A28" s="1"/>
      <c r="C28" s="20" t="s">
        <v>38</v>
      </c>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K28" s="41"/>
      <c r="AL28" s="41"/>
      <c r="AM28" s="41"/>
      <c r="AN28" s="42"/>
      <c r="AO28" s="42"/>
      <c r="AP28" s="42"/>
      <c r="AQ28" s="42"/>
      <c r="AR28" s="42"/>
      <c r="AS28" s="43"/>
      <c r="AT28" s="43"/>
      <c r="AU28" s="43"/>
      <c r="AV28" s="43"/>
      <c r="AW28" s="43"/>
      <c r="AX28" s="43"/>
      <c r="AY28" s="43"/>
      <c r="AZ28" s="43"/>
      <c r="BA28" s="43"/>
      <c r="BB28" s="43"/>
      <c r="BC28" s="43"/>
      <c r="BD28" s="43"/>
      <c r="BE28" s="43"/>
      <c r="BF28" s="43"/>
      <c r="BG28" s="43"/>
      <c r="BH28" s="43"/>
      <c r="BI28" s="43"/>
      <c r="BJ28" s="43"/>
      <c r="BK28" s="43"/>
      <c r="BL28" s="43"/>
      <c r="BM28" s="43"/>
      <c r="BN28" s="43"/>
      <c r="BO28" s="41"/>
      <c r="BP28" s="41"/>
      <c r="BQ28" s="41"/>
      <c r="BR28" s="41"/>
      <c r="BS28" s="41"/>
      <c r="BT28" s="41"/>
      <c r="BU28" s="41"/>
      <c r="BV28" s="41"/>
    </row>
    <row r="29" spans="1:74" ht="15" customHeight="1" x14ac:dyDescent="0.25">
      <c r="A29" s="1"/>
      <c r="C29" s="21" t="s">
        <v>39</v>
      </c>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K29" s="41"/>
      <c r="AL29" s="41"/>
      <c r="AM29" s="41"/>
      <c r="AN29" s="42"/>
      <c r="AO29" s="42"/>
      <c r="AP29" s="42"/>
      <c r="AQ29" s="42"/>
      <c r="AR29" s="42"/>
      <c r="AS29" s="43"/>
      <c r="AT29" s="43"/>
      <c r="AU29" s="43"/>
      <c r="AV29" s="43"/>
      <c r="AW29" s="43"/>
      <c r="AX29" s="43"/>
      <c r="AY29" s="43"/>
      <c r="AZ29" s="43"/>
      <c r="BA29" s="43"/>
      <c r="BB29" s="43"/>
      <c r="BC29" s="43"/>
      <c r="BD29" s="43"/>
      <c r="BE29" s="43"/>
      <c r="BF29" s="43"/>
      <c r="BG29" s="43"/>
      <c r="BH29" s="43"/>
      <c r="BI29" s="43"/>
      <c r="BJ29" s="43"/>
      <c r="BK29" s="43"/>
      <c r="BL29" s="43"/>
      <c r="BM29" s="43"/>
      <c r="BN29" s="43"/>
      <c r="BO29" s="41"/>
      <c r="BP29" s="41"/>
      <c r="BQ29" s="41"/>
      <c r="BR29" s="41"/>
      <c r="BS29" s="41"/>
      <c r="BT29" s="41"/>
      <c r="BU29" s="41"/>
      <c r="BV29" s="41"/>
    </row>
    <row r="30" spans="1:74" ht="15" customHeight="1" x14ac:dyDescent="0.25">
      <c r="A30" s="1"/>
      <c r="C30" s="25" t="s">
        <v>40</v>
      </c>
      <c r="D30" s="25"/>
      <c r="E30" s="25" t="s">
        <v>41</v>
      </c>
      <c r="F30" s="25"/>
      <c r="G30" s="26" t="s">
        <v>42</v>
      </c>
      <c r="H30" s="26"/>
      <c r="I30" s="26"/>
      <c r="J30" s="26"/>
      <c r="K30" s="26"/>
      <c r="L30" s="26"/>
      <c r="M30" s="26"/>
      <c r="N30" s="26"/>
      <c r="O30" s="26"/>
      <c r="P30" s="26"/>
      <c r="Q30" s="26" t="s">
        <v>43</v>
      </c>
      <c r="R30" s="26"/>
      <c r="S30" s="26"/>
      <c r="T30" s="26"/>
      <c r="U30" s="26"/>
      <c r="V30" s="26"/>
      <c r="W30" s="26"/>
      <c r="X30" s="26"/>
      <c r="Y30" s="26"/>
      <c r="Z30" s="26"/>
      <c r="AA30" s="26"/>
      <c r="AB30" s="26"/>
      <c r="AC30" s="26"/>
      <c r="AD30" s="26"/>
      <c r="AE30" s="26"/>
      <c r="AF30" s="26"/>
      <c r="AG30" s="26"/>
      <c r="AH30" s="26"/>
      <c r="AK30" s="41"/>
      <c r="AL30" s="41"/>
      <c r="AM30" s="41"/>
      <c r="AN30" s="42"/>
      <c r="AO30" s="42"/>
      <c r="AP30" s="42"/>
      <c r="AQ30" s="42"/>
      <c r="AR30" s="42"/>
      <c r="AS30" s="43"/>
      <c r="AT30" s="43"/>
      <c r="AU30" s="43"/>
      <c r="AV30" s="43"/>
      <c r="AW30" s="43"/>
      <c r="AX30" s="43"/>
      <c r="AY30" s="43"/>
      <c r="AZ30" s="43"/>
      <c r="BA30" s="43"/>
      <c r="BB30" s="43"/>
      <c r="BC30" s="43"/>
      <c r="BD30" s="43"/>
      <c r="BE30" s="43"/>
      <c r="BF30" s="43"/>
      <c r="BG30" s="43"/>
      <c r="BH30" s="43"/>
      <c r="BI30" s="43"/>
      <c r="BJ30" s="43"/>
      <c r="BK30" s="43"/>
      <c r="BL30" s="43"/>
      <c r="BM30" s="43"/>
      <c r="BN30" s="43"/>
      <c r="BO30" s="41"/>
      <c r="BP30" s="41"/>
      <c r="BQ30" s="41"/>
      <c r="BR30" s="41"/>
      <c r="BS30" s="41"/>
      <c r="BT30" s="41"/>
      <c r="BU30" s="41"/>
      <c r="BV30" s="41"/>
    </row>
    <row r="31" spans="1:74" ht="15" customHeight="1" x14ac:dyDescent="0.25">
      <c r="A31" s="1"/>
      <c r="C31" s="30" t="s">
        <v>44</v>
      </c>
      <c r="D31" s="30"/>
      <c r="E31" s="31" t="s">
        <v>45</v>
      </c>
      <c r="F31" s="31"/>
      <c r="G31" s="32" t="s">
        <v>46</v>
      </c>
      <c r="H31" s="32"/>
      <c r="I31" s="32"/>
      <c r="J31" s="32"/>
      <c r="K31" s="32"/>
      <c r="L31" s="32"/>
      <c r="M31" s="32"/>
      <c r="N31" s="32"/>
      <c r="O31" s="32"/>
      <c r="P31" s="32"/>
      <c r="Q31" s="33" t="s">
        <v>47</v>
      </c>
      <c r="R31" s="33"/>
      <c r="S31" s="33"/>
      <c r="T31" s="33"/>
      <c r="U31" s="33"/>
      <c r="V31" s="33"/>
      <c r="W31" s="33"/>
      <c r="X31" s="33"/>
      <c r="Y31" s="33"/>
      <c r="Z31" s="33"/>
      <c r="AA31" s="33"/>
      <c r="AB31" s="33"/>
      <c r="AC31" s="33"/>
      <c r="AD31" s="33"/>
      <c r="AE31" s="33"/>
      <c r="AF31" s="33"/>
      <c r="AG31" s="33"/>
      <c r="AH31" s="33"/>
    </row>
    <row r="32" spans="1:74" ht="15" customHeight="1" x14ac:dyDescent="0.25">
      <c r="A32" s="1"/>
      <c r="C32" s="34" t="s">
        <v>48</v>
      </c>
      <c r="D32" s="34"/>
      <c r="E32" s="35" t="s">
        <v>49</v>
      </c>
      <c r="F32" s="35"/>
      <c r="G32" s="32" t="s">
        <v>50</v>
      </c>
      <c r="H32" s="32"/>
      <c r="I32" s="32"/>
      <c r="J32" s="32"/>
      <c r="K32" s="32"/>
      <c r="L32" s="32"/>
      <c r="M32" s="32"/>
      <c r="N32" s="32"/>
      <c r="O32" s="32"/>
      <c r="P32" s="32"/>
      <c r="Q32" s="33" t="s">
        <v>51</v>
      </c>
      <c r="R32" s="33"/>
      <c r="S32" s="33"/>
      <c r="T32" s="33"/>
      <c r="U32" s="33"/>
      <c r="V32" s="33"/>
      <c r="W32" s="33"/>
      <c r="X32" s="33"/>
      <c r="Y32" s="33"/>
      <c r="Z32" s="33"/>
      <c r="AA32" s="33"/>
      <c r="AB32" s="33"/>
      <c r="AC32" s="33"/>
      <c r="AD32" s="33"/>
      <c r="AE32" s="33"/>
      <c r="AF32" s="33"/>
      <c r="AG32" s="33"/>
      <c r="AH32" s="33"/>
    </row>
    <row r="33" spans="1:74" ht="15" customHeight="1" x14ac:dyDescent="0.25">
      <c r="A33" s="1"/>
      <c r="C33" s="36" t="s">
        <v>52</v>
      </c>
      <c r="D33" s="36"/>
      <c r="E33" s="37" t="s">
        <v>53</v>
      </c>
      <c r="F33" s="37"/>
      <c r="G33" s="32" t="s">
        <v>54</v>
      </c>
      <c r="H33" s="32"/>
      <c r="I33" s="32"/>
      <c r="J33" s="32"/>
      <c r="K33" s="32"/>
      <c r="L33" s="32"/>
      <c r="M33" s="32"/>
      <c r="N33" s="32"/>
      <c r="O33" s="32"/>
      <c r="P33" s="32"/>
      <c r="Q33" s="33" t="s">
        <v>55</v>
      </c>
      <c r="R33" s="33"/>
      <c r="S33" s="33"/>
      <c r="T33" s="33"/>
      <c r="U33" s="33"/>
      <c r="V33" s="33"/>
      <c r="W33" s="33"/>
      <c r="X33" s="33"/>
      <c r="Y33" s="33"/>
      <c r="Z33" s="33"/>
      <c r="AA33" s="33"/>
      <c r="AB33" s="33"/>
      <c r="AC33" s="33"/>
      <c r="AD33" s="33"/>
      <c r="AE33" s="33"/>
      <c r="AF33" s="33"/>
      <c r="AG33" s="33"/>
      <c r="AH33" s="33"/>
    </row>
    <row r="34" spans="1:74" ht="15" customHeight="1" x14ac:dyDescent="0.25">
      <c r="A34" s="1"/>
      <c r="C34" s="38" t="s">
        <v>56</v>
      </c>
      <c r="D34" s="38"/>
      <c r="E34" s="39" t="s">
        <v>57</v>
      </c>
      <c r="F34" s="39"/>
      <c r="G34" s="40" t="s">
        <v>58</v>
      </c>
      <c r="H34" s="40"/>
      <c r="I34" s="40"/>
      <c r="J34" s="40"/>
      <c r="K34" s="40"/>
      <c r="L34" s="40"/>
      <c r="M34" s="40"/>
      <c r="N34" s="40"/>
      <c r="O34" s="40"/>
      <c r="P34" s="40"/>
      <c r="Q34" s="33" t="s">
        <v>59</v>
      </c>
      <c r="R34" s="33"/>
      <c r="S34" s="33"/>
      <c r="T34" s="33"/>
      <c r="U34" s="33"/>
      <c r="V34" s="33"/>
      <c r="W34" s="33"/>
      <c r="X34" s="33"/>
      <c r="Y34" s="33"/>
      <c r="Z34" s="33"/>
      <c r="AA34" s="33"/>
      <c r="AB34" s="33"/>
      <c r="AC34" s="33"/>
      <c r="AD34" s="33"/>
      <c r="AE34" s="33"/>
      <c r="AF34" s="33"/>
      <c r="AG34" s="33"/>
      <c r="AH34" s="33"/>
    </row>
    <row r="35" spans="1:74" ht="15" customHeight="1" x14ac:dyDescent="0.25">
      <c r="A35" s="1"/>
    </row>
    <row r="36" spans="1:74" ht="15" customHeight="1" x14ac:dyDescent="0.25">
      <c r="A36" s="1"/>
    </row>
    <row r="37" spans="1:74" ht="15" customHeight="1" x14ac:dyDescent="0.25">
      <c r="A37" s="1"/>
      <c r="C37" s="20" t="s">
        <v>65</v>
      </c>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row>
    <row r="38" spans="1:74" ht="15" customHeight="1" x14ac:dyDescent="0.25">
      <c r="A38" s="1"/>
    </row>
    <row r="39" spans="1:74" ht="15" customHeight="1" x14ac:dyDescent="0.25">
      <c r="A39" s="1"/>
    </row>
    <row r="40" spans="1:74" ht="15" customHeight="1" x14ac:dyDescent="0.25">
      <c r="A40" s="1"/>
    </row>
    <row r="41" spans="1:74" ht="15" customHeight="1" x14ac:dyDescent="0.25">
      <c r="A41" s="1"/>
    </row>
    <row r="42" spans="1:74" ht="15" customHeight="1" x14ac:dyDescent="0.25">
      <c r="A42" s="1"/>
    </row>
    <row r="43" spans="1:74" ht="15" customHeight="1" x14ac:dyDescent="0.25">
      <c r="A43" s="1"/>
    </row>
    <row r="44" spans="1:74" ht="15" customHeight="1" x14ac:dyDescent="0.25">
      <c r="A44" s="1"/>
    </row>
    <row r="45" spans="1:74" ht="15" customHeight="1" x14ac:dyDescent="0.25">
      <c r="A45" s="1"/>
    </row>
    <row r="46" spans="1:74" ht="12.6" x14ac:dyDescent="0.25">
      <c r="A46" s="1"/>
      <c r="C46" s="44" t="s">
        <v>66</v>
      </c>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c r="BT46" s="44"/>
      <c r="BU46" s="44"/>
      <c r="BV46" s="44"/>
    </row>
    <row r="47" spans="1:74" ht="12.6" x14ac:dyDescent="0.25">
      <c r="A47" s="1"/>
    </row>
    <row r="48" spans="1:74" ht="12.6" x14ac:dyDescent="0.25">
      <c r="A48" s="1"/>
      <c r="C48" s="45" t="s">
        <v>67</v>
      </c>
      <c r="D48" s="45"/>
      <c r="E48" s="45"/>
      <c r="F48" s="45"/>
      <c r="G48" s="45"/>
      <c r="H48" s="45"/>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c r="AJ48" s="45"/>
      <c r="AK48" s="45"/>
      <c r="AL48" s="45"/>
      <c r="AM48" s="45"/>
      <c r="AN48" s="45"/>
      <c r="AO48" s="45"/>
      <c r="AP48" s="45"/>
      <c r="AQ48" s="45"/>
      <c r="AR48" s="45"/>
      <c r="AS48" s="45"/>
      <c r="AT48" s="45"/>
      <c r="AU48" s="45"/>
      <c r="AV48" s="45"/>
      <c r="AW48" s="45"/>
      <c r="AX48" s="45"/>
      <c r="AY48" s="45"/>
      <c r="AZ48" s="45"/>
      <c r="BA48" s="45"/>
      <c r="BB48" s="45"/>
      <c r="BC48" s="45"/>
      <c r="BD48" s="45"/>
      <c r="BE48" s="45"/>
      <c r="BF48" s="45"/>
      <c r="BG48" s="45"/>
      <c r="BH48" s="45"/>
      <c r="BI48" s="45"/>
      <c r="BJ48" s="45"/>
      <c r="BK48" s="45"/>
      <c r="BL48" s="45"/>
      <c r="BM48" s="45"/>
      <c r="BN48" s="45"/>
      <c r="BO48" s="45"/>
      <c r="BP48" s="45"/>
      <c r="BQ48" s="45"/>
      <c r="BR48" s="45"/>
      <c r="BS48" s="45"/>
      <c r="BT48" s="45"/>
      <c r="BU48" s="45"/>
      <c r="BV48" s="45"/>
    </row>
    <row r="49" spans="1:76" ht="12.6" x14ac:dyDescent="0.25">
      <c r="A49" s="1"/>
    </row>
    <row r="50" spans="1:76" ht="12.6" x14ac:dyDescent="0.25">
      <c r="A50" s="1"/>
    </row>
    <row r="51" spans="1:76" ht="12.6" x14ac:dyDescent="0.25">
      <c r="A51" s="1"/>
      <c r="B51" s="21" t="str">
        <f>"機密区分："&amp;機密区分</f>
        <v>機密区分：社外秘</v>
      </c>
      <c r="C51" s="21"/>
      <c r="D51" s="21"/>
      <c r="E51" s="21"/>
      <c r="F51" s="21"/>
      <c r="G51" s="21"/>
      <c r="H51" s="21"/>
      <c r="I51" s="21"/>
      <c r="J51" s="21"/>
      <c r="K51" s="21"/>
      <c r="L51" s="21"/>
      <c r="M51" s="21"/>
      <c r="N51" s="21"/>
      <c r="O51" s="21"/>
      <c r="P51" s="21"/>
      <c r="Q51" s="21"/>
      <c r="R51" s="21"/>
      <c r="S51" s="21"/>
      <c r="T51" s="21"/>
      <c r="U51" s="21"/>
      <c r="V51" s="21"/>
      <c r="W51" s="21"/>
      <c r="X51" s="21"/>
      <c r="Y51" s="21"/>
      <c r="Z51" s="46" t="str">
        <f>IF(会社名="","",会社名)</f>
        <v>（会社名・部署名）</v>
      </c>
      <c r="AA51" s="46"/>
      <c r="AB51" s="46"/>
      <c r="AC51" s="46"/>
      <c r="AD51" s="46"/>
      <c r="AE51" s="46"/>
      <c r="AF51" s="46"/>
      <c r="AG51" s="46"/>
      <c r="AH51" s="46"/>
      <c r="AI51" s="46"/>
      <c r="AJ51" s="46"/>
      <c r="AK51" s="46"/>
      <c r="AL51" s="46"/>
      <c r="AM51" s="46"/>
      <c r="AN51" s="46"/>
      <c r="AO51" s="46"/>
      <c r="AP51" s="46"/>
      <c r="AQ51" s="46"/>
      <c r="AR51" s="46"/>
      <c r="AS51" s="46"/>
      <c r="AT51" s="46"/>
      <c r="AU51" s="46"/>
      <c r="AV51" s="46"/>
      <c r="AW51" s="46"/>
      <c r="AX51" s="46"/>
      <c r="AY51" s="46"/>
      <c r="AZ51" s="47" t="str">
        <f>"文書番号："&amp;文書番号&amp;"　版数："&amp;版数</f>
        <v>文書番号：ARC-0002　版数：1.0</v>
      </c>
      <c r="BA51" s="47"/>
      <c r="BB51" s="47"/>
      <c r="BC51" s="47"/>
      <c r="BD51" s="47"/>
      <c r="BE51" s="47"/>
      <c r="BF51" s="47"/>
      <c r="BG51" s="47"/>
      <c r="BH51" s="47"/>
      <c r="BI51" s="47"/>
      <c r="BJ51" s="47"/>
      <c r="BK51" s="47"/>
      <c r="BL51" s="47"/>
      <c r="BM51" s="47"/>
      <c r="BN51" s="47"/>
      <c r="BO51" s="47"/>
      <c r="BP51" s="47"/>
      <c r="BQ51" s="47"/>
      <c r="BR51" s="47"/>
      <c r="BS51" s="47"/>
      <c r="BT51" s="47"/>
      <c r="BU51" s="47"/>
      <c r="BV51" s="47"/>
      <c r="BW51" s="47"/>
      <c r="BX51" s="47"/>
    </row>
  </sheetData>
  <mergeCells count="101">
    <mergeCell ref="C37:AE37"/>
    <mergeCell ref="C46:BV46"/>
    <mergeCell ref="C48:BV48"/>
    <mergeCell ref="B51:Y51"/>
    <mergeCell ref="Z51:AY51"/>
    <mergeCell ref="AZ51:BX51"/>
    <mergeCell ref="C34:D34"/>
    <mergeCell ref="E34:F34"/>
    <mergeCell ref="G34:P34"/>
    <mergeCell ref="Q34:AH34"/>
    <mergeCell ref="AK24:BI24"/>
    <mergeCell ref="AK25:AM25"/>
    <mergeCell ref="AN25:AR25"/>
    <mergeCell ref="AS25:BN25"/>
    <mergeCell ref="BO25:BV25"/>
    <mergeCell ref="AK26:AM26"/>
    <mergeCell ref="AN26:AR26"/>
    <mergeCell ref="AS26:BN26"/>
    <mergeCell ref="BO26:BV26"/>
    <mergeCell ref="AK27:AM27"/>
    <mergeCell ref="AN27:AR27"/>
    <mergeCell ref="AS27:BN27"/>
    <mergeCell ref="BO27:BV27"/>
    <mergeCell ref="AK28:AM28"/>
    <mergeCell ref="AN28:AR28"/>
    <mergeCell ref="AS28:BN28"/>
    <mergeCell ref="BO28:BV28"/>
    <mergeCell ref="AK29:AM29"/>
    <mergeCell ref="AN29:AR29"/>
    <mergeCell ref="AS29:BN29"/>
    <mergeCell ref="C31:D31"/>
    <mergeCell ref="E31:F31"/>
    <mergeCell ref="G31:P31"/>
    <mergeCell ref="Q31:AH31"/>
    <mergeCell ref="C32:D32"/>
    <mergeCell ref="E32:F32"/>
    <mergeCell ref="G32:P32"/>
    <mergeCell ref="Q32:AH32"/>
    <mergeCell ref="C33:D33"/>
    <mergeCell ref="E33:F33"/>
    <mergeCell ref="G33:P33"/>
    <mergeCell ref="Q33:AH33"/>
    <mergeCell ref="AM21:AU21"/>
    <mergeCell ref="AV21:BV21"/>
    <mergeCell ref="AK22:AL22"/>
    <mergeCell ref="AM22:AU22"/>
    <mergeCell ref="AV22:BV22"/>
    <mergeCell ref="C28:AE28"/>
    <mergeCell ref="C29:AH29"/>
    <mergeCell ref="C30:D30"/>
    <mergeCell ref="E30:F30"/>
    <mergeCell ref="G30:P30"/>
    <mergeCell ref="Q30:AH30"/>
    <mergeCell ref="BO29:BV29"/>
    <mergeCell ref="AK30:AM30"/>
    <mergeCell ref="AN30:AR30"/>
    <mergeCell ref="AS30:BN30"/>
    <mergeCell ref="BO30:BV30"/>
    <mergeCell ref="C23:I23"/>
    <mergeCell ref="J23:AF23"/>
    <mergeCell ref="C24:I24"/>
    <mergeCell ref="J24:AF24"/>
    <mergeCell ref="C25:I25"/>
    <mergeCell ref="J25:AF25"/>
    <mergeCell ref="AK14:BI14"/>
    <mergeCell ref="AK15:BV15"/>
    <mergeCell ref="AK16:AL16"/>
    <mergeCell ref="AM16:AU16"/>
    <mergeCell ref="AV16:BV16"/>
    <mergeCell ref="AK17:AL17"/>
    <mergeCell ref="AM17:AU17"/>
    <mergeCell ref="AV17:BV17"/>
    <mergeCell ref="AK18:AL18"/>
    <mergeCell ref="AM18:AU18"/>
    <mergeCell ref="AV18:BV18"/>
    <mergeCell ref="AK19:AL19"/>
    <mergeCell ref="AM19:AU19"/>
    <mergeCell ref="AV19:BV19"/>
    <mergeCell ref="AK20:AL20"/>
    <mergeCell ref="AM20:AU20"/>
    <mergeCell ref="AV20:BV20"/>
    <mergeCell ref="AK21:AL21"/>
    <mergeCell ref="C18:I18"/>
    <mergeCell ref="J18:AF18"/>
    <mergeCell ref="C19:I19"/>
    <mergeCell ref="J19:AF19"/>
    <mergeCell ref="C20:I20"/>
    <mergeCell ref="J20:AF20"/>
    <mergeCell ref="C21:I21"/>
    <mergeCell ref="J21:AF21"/>
    <mergeCell ref="C22:I22"/>
    <mergeCell ref="J22:AF22"/>
    <mergeCell ref="C3:AO3"/>
    <mergeCell ref="C5:BV7"/>
    <mergeCell ref="C9:BV10"/>
    <mergeCell ref="C14:AE14"/>
    <mergeCell ref="C15:AF15"/>
    <mergeCell ref="C16:I16"/>
    <mergeCell ref="J16:AF16"/>
    <mergeCell ref="C17:I17"/>
    <mergeCell ref="J17:AF17"/>
  </mergeCells>
  <phoneticPr fontId="35"/>
  <hyperlinks>
    <hyperlink ref="AM17" location="'使い方'!A1" display="使い方" xr:uid="{00000000-0004-0000-0000-000000000000}"/>
    <hyperlink ref="AM18" location="'構成図'!A1" display="構成図" xr:uid="{00000000-0004-0000-0000-000001000000}"/>
    <hyperlink ref="AM19" location="'構成図_記入例'!A1" display="構成図_記入例" xr:uid="{00000000-0004-0000-0000-000002000000}"/>
    <hyperlink ref="AM20" location="'部品'!A1" display="部品" xr:uid="{00000000-0004-0000-0000-000003000000}"/>
    <hyperlink ref="AM21" location="'連携一覧'!A1" display="連携一覧" xr:uid="{00000000-0004-0000-0000-000004000000}"/>
    <hyperlink ref="AM22" location="'構成要素一覧'!A1" display="構成要素一覧" xr:uid="{00000000-0004-0000-0000-000005000000}"/>
  </hyperlinks>
  <printOptions horizontalCentered="1"/>
  <pageMargins left="0.4" right="0.4" top="0.4" bottom="0.4" header="0.3" footer="0.3"/>
  <pageSetup paperSize="8"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95959"/>
    <pageSetUpPr fitToPage="1"/>
  </sheetPr>
  <dimension ref="B1:BW128"/>
  <sheetViews>
    <sheetView showGridLines="0" zoomScale="85" zoomScaleNormal="85" workbookViewId="0"/>
  </sheetViews>
  <sheetFormatPr defaultRowHeight="15" customHeight="1" x14ac:dyDescent="0.25"/>
  <cols>
    <col min="1" max="161" width="2.80859375" customWidth="1"/>
  </cols>
  <sheetData>
    <row r="1" spans="2:75" ht="15" customHeight="1" x14ac:dyDescent="0.25">
      <c r="B1" s="48" t="s">
        <v>339</v>
      </c>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c r="AL1" s="48"/>
      <c r="AM1" s="48"/>
      <c r="AN1" s="48"/>
      <c r="AO1" s="48"/>
      <c r="AP1" s="48"/>
      <c r="AQ1" s="48"/>
      <c r="AR1" s="48"/>
      <c r="AS1" s="48"/>
      <c r="AT1" s="48"/>
      <c r="AU1" s="48"/>
      <c r="AV1" s="48"/>
      <c r="AW1" s="48"/>
      <c r="AX1" s="48"/>
      <c r="AY1" s="48"/>
      <c r="AZ1" s="48"/>
      <c r="BA1" s="48"/>
      <c r="BB1" s="48"/>
      <c r="BC1" s="48"/>
      <c r="BD1" s="48"/>
      <c r="BE1" s="48"/>
      <c r="BF1" s="48"/>
      <c r="BG1" s="48"/>
      <c r="BH1" s="48"/>
      <c r="BI1" s="48"/>
      <c r="BJ1" s="48"/>
      <c r="BK1" s="48"/>
      <c r="BL1" s="48"/>
      <c r="BM1" s="48"/>
      <c r="BN1" s="48"/>
      <c r="BO1" s="48"/>
      <c r="BP1" s="48"/>
      <c r="BQ1" s="48"/>
      <c r="BR1" s="48"/>
      <c r="BS1" s="48"/>
      <c r="BT1" s="48"/>
      <c r="BU1" s="48"/>
      <c r="BV1" s="48"/>
      <c r="BW1" s="48"/>
    </row>
    <row r="2" spans="2:75" ht="15" customHeight="1" x14ac:dyDescent="0.25">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row>
    <row r="4" spans="2:75" ht="15" customHeight="1" x14ac:dyDescent="0.25">
      <c r="B4" s="49" t="s">
        <v>340</v>
      </c>
      <c r="C4" s="49"/>
      <c r="D4" s="49"/>
      <c r="E4" s="49"/>
      <c r="F4" s="49"/>
      <c r="G4" s="49"/>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49"/>
      <c r="BA4" s="49"/>
      <c r="BB4" s="49"/>
      <c r="BC4" s="49"/>
      <c r="BD4" s="49"/>
      <c r="BE4" s="49"/>
      <c r="BF4" s="49"/>
      <c r="BG4" s="49"/>
      <c r="BH4" s="49"/>
      <c r="BI4" s="49"/>
      <c r="BJ4" s="49"/>
      <c r="BK4" s="49"/>
      <c r="BL4" s="49"/>
      <c r="BM4" s="49"/>
      <c r="BN4" s="49"/>
      <c r="BO4" s="49"/>
      <c r="BP4" s="49"/>
      <c r="BQ4" s="49"/>
      <c r="BR4" s="49"/>
      <c r="BS4" s="49"/>
      <c r="BT4" s="49"/>
      <c r="BU4" s="49"/>
      <c r="BV4" s="49"/>
      <c r="BW4" s="49"/>
    </row>
    <row r="5" spans="2:75" ht="15" customHeight="1" x14ac:dyDescent="0.25">
      <c r="B5" s="49"/>
      <c r="C5" s="49"/>
      <c r="D5" s="49"/>
      <c r="E5" s="49"/>
      <c r="F5" s="49"/>
      <c r="G5" s="49"/>
      <c r="H5" s="49"/>
      <c r="I5" s="49"/>
      <c r="J5" s="49"/>
      <c r="K5" s="49"/>
      <c r="L5" s="49"/>
      <c r="M5" s="49"/>
      <c r="N5" s="49"/>
      <c r="O5" s="49"/>
      <c r="P5" s="49"/>
      <c r="Q5" s="49"/>
      <c r="R5" s="49"/>
      <c r="S5" s="49"/>
      <c r="T5" s="49"/>
      <c r="U5" s="49"/>
      <c r="V5" s="49"/>
      <c r="W5" s="49"/>
      <c r="X5" s="49"/>
      <c r="Y5" s="49"/>
      <c r="Z5" s="49"/>
      <c r="AA5" s="49"/>
      <c r="AB5" s="49"/>
      <c r="AC5" s="49"/>
      <c r="AD5" s="49"/>
      <c r="AE5" s="49"/>
      <c r="AF5" s="49"/>
      <c r="AG5" s="49"/>
      <c r="AH5" s="49"/>
      <c r="AI5" s="49"/>
      <c r="AJ5" s="49"/>
      <c r="AK5" s="49"/>
      <c r="AL5" s="49"/>
      <c r="AM5" s="49"/>
      <c r="AN5" s="49"/>
      <c r="AO5" s="49"/>
      <c r="AP5" s="49"/>
      <c r="AQ5" s="49"/>
      <c r="AR5" s="49"/>
      <c r="AS5" s="49"/>
      <c r="AT5" s="49"/>
      <c r="AU5" s="49"/>
      <c r="AV5" s="49"/>
      <c r="AW5" s="49"/>
      <c r="AX5" s="49"/>
      <c r="AY5" s="49"/>
      <c r="AZ5" s="49"/>
      <c r="BA5" s="49"/>
      <c r="BB5" s="49"/>
      <c r="BC5" s="49"/>
      <c r="BD5" s="49"/>
      <c r="BE5" s="49"/>
      <c r="BF5" s="49"/>
      <c r="BG5" s="49"/>
      <c r="BH5" s="49"/>
      <c r="BI5" s="49"/>
      <c r="BJ5" s="49"/>
      <c r="BK5" s="49"/>
      <c r="BL5" s="49"/>
      <c r="BM5" s="49"/>
      <c r="BN5" s="49"/>
      <c r="BO5" s="49"/>
      <c r="BP5" s="49"/>
      <c r="BQ5" s="49"/>
      <c r="BR5" s="49"/>
      <c r="BS5" s="49"/>
      <c r="BT5" s="49"/>
      <c r="BU5" s="49"/>
      <c r="BV5" s="49"/>
      <c r="BW5" s="49"/>
    </row>
    <row r="14" spans="2:75" ht="15" customHeight="1" x14ac:dyDescent="0.25">
      <c r="B14" s="49" t="s">
        <v>341</v>
      </c>
      <c r="C14" s="49"/>
      <c r="D14" s="49"/>
      <c r="E14" s="49"/>
      <c r="F14" s="49"/>
      <c r="G14" s="49"/>
      <c r="H14" s="49"/>
      <c r="I14" s="49"/>
      <c r="J14" s="49"/>
      <c r="K14" s="49"/>
      <c r="L14" s="49"/>
      <c r="M14" s="49"/>
      <c r="N14" s="49"/>
      <c r="O14" s="49"/>
      <c r="P14" s="49"/>
      <c r="Q14" s="49"/>
      <c r="R14" s="49"/>
      <c r="S14" s="49"/>
      <c r="T14" s="49"/>
      <c r="U14" s="49"/>
      <c r="V14" s="49"/>
      <c r="W14" s="49"/>
      <c r="X14" s="49"/>
      <c r="Y14" s="49"/>
      <c r="Z14" s="49"/>
      <c r="AA14" s="49"/>
      <c r="AB14" s="49"/>
      <c r="AC14" s="49"/>
      <c r="AD14" s="49"/>
      <c r="AE14" s="49"/>
      <c r="AF14" s="49"/>
      <c r="AG14" s="49"/>
      <c r="AH14" s="49"/>
      <c r="AI14" s="49"/>
      <c r="AJ14" s="49"/>
      <c r="AK14" s="49"/>
      <c r="AL14" s="49"/>
      <c r="AM14" s="49"/>
      <c r="AN14" s="49"/>
      <c r="AO14" s="49"/>
      <c r="AP14" s="49"/>
      <c r="AQ14" s="49"/>
      <c r="AR14" s="49"/>
      <c r="AS14" s="49"/>
      <c r="AT14" s="49"/>
      <c r="AU14" s="49"/>
      <c r="AV14" s="49"/>
      <c r="AW14" s="49"/>
      <c r="AX14" s="49"/>
      <c r="AY14" s="49"/>
      <c r="AZ14" s="49"/>
      <c r="BA14" s="49"/>
      <c r="BB14" s="49"/>
      <c r="BC14" s="49"/>
      <c r="BD14" s="49"/>
      <c r="BE14" s="49"/>
      <c r="BF14" s="49"/>
      <c r="BG14" s="49"/>
      <c r="BH14" s="49"/>
      <c r="BI14" s="49"/>
      <c r="BJ14" s="49"/>
      <c r="BK14" s="49"/>
      <c r="BL14" s="49"/>
      <c r="BM14" s="49"/>
      <c r="BN14" s="49"/>
      <c r="BO14" s="49"/>
      <c r="BP14" s="49"/>
      <c r="BQ14" s="49"/>
      <c r="BR14" s="49"/>
      <c r="BS14" s="49"/>
      <c r="BT14" s="49"/>
      <c r="BU14" s="49"/>
      <c r="BV14" s="49"/>
      <c r="BW14" s="49"/>
    </row>
    <row r="15" spans="2:75" ht="15" customHeight="1" x14ac:dyDescent="0.25">
      <c r="B15" s="49"/>
      <c r="C15" s="49"/>
      <c r="D15" s="49"/>
      <c r="E15" s="49"/>
      <c r="F15" s="49"/>
      <c r="G15" s="49"/>
      <c r="H15" s="49"/>
      <c r="I15" s="49"/>
      <c r="J15" s="49"/>
      <c r="K15" s="49"/>
      <c r="L15" s="49"/>
      <c r="M15" s="49"/>
      <c r="N15" s="49"/>
      <c r="O15" s="49"/>
      <c r="P15" s="49"/>
      <c r="Q15" s="49"/>
      <c r="R15" s="49"/>
      <c r="S15" s="49"/>
      <c r="T15" s="49"/>
      <c r="U15" s="49"/>
      <c r="V15" s="49"/>
      <c r="W15" s="49"/>
      <c r="X15" s="49"/>
      <c r="Y15" s="49"/>
      <c r="Z15" s="49"/>
      <c r="AA15" s="49"/>
      <c r="AB15" s="49"/>
      <c r="AC15" s="49"/>
      <c r="AD15" s="49"/>
      <c r="AE15" s="49"/>
      <c r="AF15" s="49"/>
      <c r="AG15" s="49"/>
      <c r="AH15" s="49"/>
      <c r="AI15" s="49"/>
      <c r="AJ15" s="49"/>
      <c r="AK15" s="49"/>
      <c r="AL15" s="49"/>
      <c r="AM15" s="49"/>
      <c r="AN15" s="49"/>
      <c r="AO15" s="49"/>
      <c r="AP15" s="49"/>
      <c r="AQ15" s="49"/>
      <c r="AR15" s="49"/>
      <c r="AS15" s="49"/>
      <c r="AT15" s="49"/>
      <c r="AU15" s="49"/>
      <c r="AV15" s="49"/>
      <c r="AW15" s="49"/>
      <c r="AX15" s="49"/>
      <c r="AY15" s="49"/>
      <c r="AZ15" s="49"/>
      <c r="BA15" s="49"/>
      <c r="BB15" s="49"/>
      <c r="BC15" s="49"/>
      <c r="BD15" s="49"/>
      <c r="BE15" s="49"/>
      <c r="BF15" s="49"/>
      <c r="BG15" s="49"/>
      <c r="BH15" s="49"/>
      <c r="BI15" s="49"/>
      <c r="BJ15" s="49"/>
      <c r="BK15" s="49"/>
      <c r="BL15" s="49"/>
      <c r="BM15" s="49"/>
      <c r="BN15" s="49"/>
      <c r="BO15" s="49"/>
      <c r="BP15" s="49"/>
      <c r="BQ15" s="49"/>
      <c r="BR15" s="49"/>
      <c r="BS15" s="49"/>
      <c r="BT15" s="49"/>
      <c r="BU15" s="49"/>
      <c r="BV15" s="49"/>
      <c r="BW15" s="49"/>
    </row>
    <row r="17" spans="2:75" ht="15" customHeight="1" x14ac:dyDescent="0.25">
      <c r="C17" s="26" t="s">
        <v>24</v>
      </c>
      <c r="D17" s="26"/>
      <c r="E17" s="26"/>
      <c r="F17" s="26"/>
      <c r="G17" s="26"/>
      <c r="H17" s="26"/>
      <c r="I17" s="26"/>
      <c r="J17" s="26"/>
      <c r="K17" s="26"/>
      <c r="L17" s="26"/>
      <c r="M17" s="26"/>
      <c r="N17" s="26"/>
      <c r="O17" s="26"/>
      <c r="P17" s="26"/>
      <c r="Q17" s="26" t="s">
        <v>342</v>
      </c>
      <c r="R17" s="26"/>
      <c r="S17" s="26"/>
      <c r="T17" s="26"/>
      <c r="U17" s="26"/>
      <c r="V17" s="26"/>
      <c r="W17" s="26"/>
      <c r="X17" s="26"/>
      <c r="Y17" s="26"/>
      <c r="Z17" s="26"/>
      <c r="AA17" s="26"/>
      <c r="AB17" s="26"/>
      <c r="AC17" s="26"/>
      <c r="AD17" s="26"/>
      <c r="AE17" s="26" t="s">
        <v>343</v>
      </c>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row>
    <row r="18" spans="2:75" ht="15" customHeight="1" x14ac:dyDescent="0.25">
      <c r="C18" s="50" t="s">
        <v>344</v>
      </c>
      <c r="D18" s="50"/>
      <c r="E18" s="50"/>
      <c r="F18" s="50"/>
      <c r="G18" s="50"/>
      <c r="H18" s="50"/>
      <c r="I18" s="50"/>
      <c r="J18" s="50"/>
      <c r="K18" s="50"/>
      <c r="L18" s="50"/>
      <c r="M18" s="50"/>
      <c r="N18" s="50"/>
      <c r="O18" s="50"/>
      <c r="P18" s="50"/>
      <c r="Q18" s="51" t="s">
        <v>345</v>
      </c>
      <c r="R18" s="51"/>
      <c r="S18" s="51"/>
      <c r="T18" s="51"/>
      <c r="U18" s="51"/>
      <c r="V18" s="51"/>
      <c r="W18" s="51"/>
      <c r="X18" s="51"/>
      <c r="Y18" s="51"/>
      <c r="Z18" s="51"/>
      <c r="AA18" s="51"/>
      <c r="AB18" s="51"/>
      <c r="AC18" s="51"/>
      <c r="AD18" s="51"/>
      <c r="AE18" s="51" t="s">
        <v>346</v>
      </c>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c r="BM18" s="51"/>
      <c r="BN18" s="51"/>
      <c r="BO18" s="51"/>
      <c r="BP18" s="51"/>
      <c r="BQ18" s="51"/>
      <c r="BR18" s="51"/>
      <c r="BS18" s="51"/>
      <c r="BT18" s="51"/>
      <c r="BU18" s="51"/>
      <c r="BV18" s="51"/>
      <c r="BW18" s="51"/>
    </row>
    <row r="19" spans="2:75" ht="15" customHeight="1" x14ac:dyDescent="0.25">
      <c r="C19" s="50" t="s">
        <v>28</v>
      </c>
      <c r="D19" s="50"/>
      <c r="E19" s="50"/>
      <c r="F19" s="50"/>
      <c r="G19" s="50"/>
      <c r="H19" s="50"/>
      <c r="I19" s="50"/>
      <c r="J19" s="50"/>
      <c r="K19" s="50"/>
      <c r="L19" s="50"/>
      <c r="M19" s="50"/>
      <c r="N19" s="50"/>
      <c r="O19" s="50"/>
      <c r="P19" s="50"/>
      <c r="Q19" s="51" t="s">
        <v>347</v>
      </c>
      <c r="R19" s="51"/>
      <c r="S19" s="51"/>
      <c r="T19" s="51"/>
      <c r="U19" s="51"/>
      <c r="V19" s="51"/>
      <c r="W19" s="51"/>
      <c r="X19" s="51"/>
      <c r="Y19" s="51"/>
      <c r="Z19" s="51"/>
      <c r="AA19" s="51"/>
      <c r="AB19" s="51"/>
      <c r="AC19" s="51"/>
      <c r="AD19" s="51"/>
      <c r="AE19" s="51" t="s">
        <v>348</v>
      </c>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c r="BM19" s="51"/>
      <c r="BN19" s="51"/>
      <c r="BO19" s="51"/>
      <c r="BP19" s="51"/>
      <c r="BQ19" s="51"/>
      <c r="BR19" s="51"/>
      <c r="BS19" s="51"/>
      <c r="BT19" s="51"/>
      <c r="BU19" s="51"/>
      <c r="BV19" s="51"/>
      <c r="BW19" s="51"/>
    </row>
    <row r="20" spans="2:75" ht="15" customHeight="1" x14ac:dyDescent="0.25">
      <c r="C20" s="50" t="s">
        <v>30</v>
      </c>
      <c r="D20" s="50"/>
      <c r="E20" s="50"/>
      <c r="F20" s="50"/>
      <c r="G20" s="50"/>
      <c r="H20" s="50"/>
      <c r="I20" s="50"/>
      <c r="J20" s="50"/>
      <c r="K20" s="50"/>
      <c r="L20" s="50"/>
      <c r="M20" s="50"/>
      <c r="N20" s="50"/>
      <c r="O20" s="50"/>
      <c r="P20" s="50"/>
      <c r="Q20" s="51" t="s">
        <v>349</v>
      </c>
      <c r="R20" s="51"/>
      <c r="S20" s="51"/>
      <c r="T20" s="51"/>
      <c r="U20" s="51"/>
      <c r="V20" s="51"/>
      <c r="W20" s="51"/>
      <c r="X20" s="51"/>
      <c r="Y20" s="51"/>
      <c r="Z20" s="51"/>
      <c r="AA20" s="51"/>
      <c r="AB20" s="51"/>
      <c r="AC20" s="51"/>
      <c r="AD20" s="51"/>
      <c r="AE20" s="51" t="s">
        <v>350</v>
      </c>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c r="BM20" s="51"/>
      <c r="BN20" s="51"/>
      <c r="BO20" s="51"/>
      <c r="BP20" s="51"/>
      <c r="BQ20" s="51"/>
      <c r="BR20" s="51"/>
      <c r="BS20" s="51"/>
      <c r="BT20" s="51"/>
      <c r="BU20" s="51"/>
      <c r="BV20" s="51"/>
      <c r="BW20" s="51"/>
    </row>
    <row r="21" spans="2:75" ht="15" customHeight="1" x14ac:dyDescent="0.25">
      <c r="C21" s="50" t="s">
        <v>32</v>
      </c>
      <c r="D21" s="50"/>
      <c r="E21" s="50"/>
      <c r="F21" s="50"/>
      <c r="G21" s="50"/>
      <c r="H21" s="50"/>
      <c r="I21" s="50"/>
      <c r="J21" s="50"/>
      <c r="K21" s="50"/>
      <c r="L21" s="50"/>
      <c r="M21" s="50"/>
      <c r="N21" s="50"/>
      <c r="O21" s="50"/>
      <c r="P21" s="50"/>
      <c r="Q21" s="51" t="s">
        <v>351</v>
      </c>
      <c r="R21" s="51"/>
      <c r="S21" s="51"/>
      <c r="T21" s="51"/>
      <c r="U21" s="51"/>
      <c r="V21" s="51"/>
      <c r="W21" s="51"/>
      <c r="X21" s="51"/>
      <c r="Y21" s="51"/>
      <c r="Z21" s="51"/>
      <c r="AA21" s="51"/>
      <c r="AB21" s="51"/>
      <c r="AC21" s="51"/>
      <c r="AD21" s="51"/>
      <c r="AE21" s="51" t="s">
        <v>352</v>
      </c>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c r="BM21" s="51"/>
      <c r="BN21" s="51"/>
      <c r="BO21" s="51"/>
      <c r="BP21" s="51"/>
      <c r="BQ21" s="51"/>
      <c r="BR21" s="51"/>
      <c r="BS21" s="51"/>
      <c r="BT21" s="51"/>
      <c r="BU21" s="51"/>
      <c r="BV21" s="51"/>
      <c r="BW21" s="51"/>
    </row>
    <row r="22" spans="2:75" ht="15" customHeight="1" x14ac:dyDescent="0.25">
      <c r="C22" s="50" t="s">
        <v>353</v>
      </c>
      <c r="D22" s="50"/>
      <c r="E22" s="50"/>
      <c r="F22" s="50"/>
      <c r="G22" s="50"/>
      <c r="H22" s="50"/>
      <c r="I22" s="50"/>
      <c r="J22" s="50"/>
      <c r="K22" s="50"/>
      <c r="L22" s="50"/>
      <c r="M22" s="50"/>
      <c r="N22" s="50"/>
      <c r="O22" s="50"/>
      <c r="P22" s="50"/>
      <c r="Q22" s="51" t="s">
        <v>354</v>
      </c>
      <c r="R22" s="51"/>
      <c r="S22" s="51"/>
      <c r="T22" s="51"/>
      <c r="U22" s="51"/>
      <c r="V22" s="51"/>
      <c r="W22" s="51"/>
      <c r="X22" s="51"/>
      <c r="Y22" s="51"/>
      <c r="Z22" s="51"/>
      <c r="AA22" s="51"/>
      <c r="AB22" s="51"/>
      <c r="AC22" s="51"/>
      <c r="AD22" s="51"/>
      <c r="AE22" s="51" t="s">
        <v>355</v>
      </c>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c r="BM22" s="51"/>
      <c r="BN22" s="51"/>
      <c r="BO22" s="51"/>
      <c r="BP22" s="51"/>
      <c r="BQ22" s="51"/>
      <c r="BR22" s="51"/>
      <c r="BS22" s="51"/>
      <c r="BT22" s="51"/>
      <c r="BU22" s="51"/>
      <c r="BV22" s="51"/>
      <c r="BW22" s="51"/>
    </row>
    <row r="24" spans="2:75" ht="15" customHeight="1" x14ac:dyDescent="0.25">
      <c r="B24" s="49" t="s">
        <v>356</v>
      </c>
      <c r="C24" s="49"/>
      <c r="D24" s="49"/>
      <c r="E24" s="49"/>
      <c r="F24" s="49"/>
      <c r="G24" s="49"/>
      <c r="H24" s="49"/>
      <c r="I24" s="49"/>
      <c r="J24" s="49"/>
      <c r="K24" s="49"/>
      <c r="L24" s="49"/>
      <c r="M24" s="49"/>
      <c r="N24" s="49"/>
      <c r="O24" s="49"/>
      <c r="P24" s="49"/>
      <c r="Q24" s="49"/>
      <c r="R24" s="49"/>
      <c r="S24" s="49"/>
      <c r="T24" s="49"/>
      <c r="U24" s="49"/>
      <c r="V24" s="49"/>
      <c r="W24" s="49"/>
      <c r="X24" s="49"/>
      <c r="Y24" s="49"/>
      <c r="Z24" s="49"/>
      <c r="AA24" s="49"/>
      <c r="AB24" s="49"/>
      <c r="AC24" s="49"/>
      <c r="AD24" s="49"/>
      <c r="AE24" s="49"/>
      <c r="AF24" s="49"/>
      <c r="AG24" s="49"/>
      <c r="AH24" s="49"/>
      <c r="AI24" s="49"/>
      <c r="AJ24" s="49"/>
      <c r="AK24" s="49"/>
      <c r="AL24" s="49"/>
      <c r="AM24" s="49"/>
      <c r="AN24" s="49"/>
      <c r="AO24" s="49"/>
      <c r="AP24" s="49"/>
      <c r="AQ24" s="49"/>
      <c r="AR24" s="49"/>
      <c r="AS24" s="49"/>
      <c r="AT24" s="49"/>
      <c r="AU24" s="49"/>
      <c r="AV24" s="49"/>
      <c r="AW24" s="49"/>
      <c r="AX24" s="49"/>
      <c r="AY24" s="49"/>
      <c r="AZ24" s="49"/>
      <c r="BA24" s="49"/>
      <c r="BB24" s="49"/>
      <c r="BC24" s="49"/>
      <c r="BD24" s="49"/>
      <c r="BE24" s="49"/>
      <c r="BF24" s="49"/>
      <c r="BG24" s="49"/>
      <c r="BH24" s="49"/>
      <c r="BI24" s="49"/>
      <c r="BJ24" s="49"/>
      <c r="BK24" s="49"/>
      <c r="BL24" s="49"/>
      <c r="BM24" s="49"/>
      <c r="BN24" s="49"/>
      <c r="BO24" s="49"/>
      <c r="BP24" s="49"/>
      <c r="BQ24" s="49"/>
      <c r="BR24" s="49"/>
      <c r="BS24" s="49"/>
      <c r="BT24" s="49"/>
      <c r="BU24" s="49"/>
      <c r="BV24" s="49"/>
      <c r="BW24" s="49"/>
    </row>
    <row r="25" spans="2:75" ht="15" customHeight="1" x14ac:dyDescent="0.25">
      <c r="B25" s="49"/>
      <c r="C25" s="49"/>
      <c r="D25" s="49"/>
      <c r="E25" s="49"/>
      <c r="F25" s="49"/>
      <c r="G25" s="49"/>
      <c r="H25" s="49"/>
      <c r="I25" s="49"/>
      <c r="J25" s="49"/>
      <c r="K25" s="49"/>
      <c r="L25" s="49"/>
      <c r="M25" s="49"/>
      <c r="N25" s="49"/>
      <c r="O25" s="49"/>
      <c r="P25" s="49"/>
      <c r="Q25" s="49"/>
      <c r="R25" s="49"/>
      <c r="S25" s="49"/>
      <c r="T25" s="49"/>
      <c r="U25" s="49"/>
      <c r="V25" s="49"/>
      <c r="W25" s="49"/>
      <c r="X25" s="49"/>
      <c r="Y25" s="49"/>
      <c r="Z25" s="49"/>
      <c r="AA25" s="49"/>
      <c r="AB25" s="49"/>
      <c r="AC25" s="49"/>
      <c r="AD25" s="49"/>
      <c r="AE25" s="49"/>
      <c r="AF25" s="49"/>
      <c r="AG25" s="49"/>
      <c r="AH25" s="49"/>
      <c r="AI25" s="49"/>
      <c r="AJ25" s="49"/>
      <c r="AK25" s="49"/>
      <c r="AL25" s="49"/>
      <c r="AM25" s="49"/>
      <c r="AN25" s="49"/>
      <c r="AO25" s="49"/>
      <c r="AP25" s="49"/>
      <c r="AQ25" s="49"/>
      <c r="AR25" s="49"/>
      <c r="AS25" s="49"/>
      <c r="AT25" s="49"/>
      <c r="AU25" s="49"/>
      <c r="AV25" s="49"/>
      <c r="AW25" s="49"/>
      <c r="AX25" s="49"/>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row>
    <row r="27" spans="2:75" ht="15" customHeight="1" x14ac:dyDescent="0.25">
      <c r="C27" s="52" t="s">
        <v>357</v>
      </c>
      <c r="D27" s="5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row>
    <row r="28" spans="2:75" ht="15" customHeight="1" x14ac:dyDescent="0.25">
      <c r="C28" s="52" t="s">
        <v>358</v>
      </c>
      <c r="D28" s="5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row>
    <row r="29" spans="2:75" ht="15" customHeight="1" x14ac:dyDescent="0.25">
      <c r="C29" s="52" t="s">
        <v>359</v>
      </c>
      <c r="D29" s="5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row>
    <row r="30" spans="2:75" ht="15" customHeight="1" x14ac:dyDescent="0.25">
      <c r="C30" s="52" t="s">
        <v>360</v>
      </c>
      <c r="D30" s="5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row>
    <row r="31" spans="2:75" ht="15" customHeight="1" x14ac:dyDescent="0.25">
      <c r="C31" s="52" t="s">
        <v>361</v>
      </c>
      <c r="D31" s="5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row>
    <row r="32" spans="2:75" ht="15" customHeight="1" x14ac:dyDescent="0.25">
      <c r="C32" s="52" t="s">
        <v>362</v>
      </c>
      <c r="D32" s="5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row>
    <row r="33" spans="2:75" ht="15" customHeight="1" x14ac:dyDescent="0.25">
      <c r="C33" s="52" t="s">
        <v>363</v>
      </c>
      <c r="D33" s="5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row>
    <row r="35" spans="2:75" ht="15" customHeight="1" x14ac:dyDescent="0.25">
      <c r="B35" s="49" t="s">
        <v>364</v>
      </c>
      <c r="C35" s="49"/>
      <c r="D35" s="49"/>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c r="AY35" s="49"/>
      <c r="AZ35" s="49"/>
      <c r="BA35" s="49"/>
      <c r="BB35" s="49"/>
      <c r="BC35" s="49"/>
      <c r="BD35" s="49"/>
      <c r="BE35" s="49"/>
      <c r="BF35" s="49"/>
      <c r="BG35" s="49"/>
      <c r="BH35" s="49"/>
      <c r="BI35" s="49"/>
      <c r="BJ35" s="49"/>
      <c r="BK35" s="49"/>
      <c r="BL35" s="49"/>
      <c r="BM35" s="49"/>
      <c r="BN35" s="49"/>
      <c r="BO35" s="49"/>
      <c r="BP35" s="49"/>
      <c r="BQ35" s="49"/>
      <c r="BR35" s="49"/>
      <c r="BS35" s="49"/>
      <c r="BT35" s="49"/>
      <c r="BU35" s="49"/>
      <c r="BV35" s="49"/>
      <c r="BW35" s="49"/>
    </row>
    <row r="36" spans="2:75" ht="15" customHeight="1" x14ac:dyDescent="0.25">
      <c r="B36" s="49"/>
      <c r="C36" s="49"/>
      <c r="D36" s="49"/>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49"/>
      <c r="BE36" s="49"/>
      <c r="BF36" s="49"/>
      <c r="BG36" s="49"/>
      <c r="BH36" s="49"/>
      <c r="BI36" s="49"/>
      <c r="BJ36" s="49"/>
      <c r="BK36" s="49"/>
      <c r="BL36" s="49"/>
      <c r="BM36" s="49"/>
      <c r="BN36" s="49"/>
      <c r="BO36" s="49"/>
      <c r="BP36" s="49"/>
      <c r="BQ36" s="49"/>
      <c r="BR36" s="49"/>
      <c r="BS36" s="49"/>
      <c r="BT36" s="49"/>
      <c r="BU36" s="49"/>
      <c r="BV36" s="49"/>
      <c r="BW36" s="49"/>
    </row>
    <row r="38" spans="2:75" ht="15" customHeight="1" x14ac:dyDescent="0.25">
      <c r="C38" s="26" t="s">
        <v>365</v>
      </c>
      <c r="D38" s="26"/>
      <c r="E38" s="26"/>
      <c r="F38" s="26"/>
      <c r="G38" s="26"/>
      <c r="H38" s="26"/>
      <c r="I38" s="26"/>
      <c r="J38" s="26"/>
      <c r="K38" s="26"/>
      <c r="L38" s="26"/>
      <c r="M38" s="26"/>
      <c r="N38" s="26"/>
      <c r="O38" s="26"/>
      <c r="P38" s="26"/>
      <c r="Q38" s="26"/>
      <c r="R38" s="26"/>
      <c r="S38" s="26" t="s">
        <v>366</v>
      </c>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6"/>
      <c r="BR38" s="26"/>
      <c r="BS38" s="26"/>
      <c r="BT38" s="26"/>
      <c r="BU38" s="26"/>
      <c r="BV38" s="26"/>
      <c r="BW38" s="26"/>
    </row>
    <row r="39" spans="2:75" ht="15" customHeight="1" x14ac:dyDescent="0.25">
      <c r="C39" s="50" t="s">
        <v>367</v>
      </c>
      <c r="D39" s="50"/>
      <c r="E39" s="50"/>
      <c r="F39" s="50"/>
      <c r="G39" s="50"/>
      <c r="H39" s="50"/>
      <c r="I39" s="50"/>
      <c r="J39" s="50"/>
      <c r="K39" s="50"/>
      <c r="L39" s="50"/>
      <c r="M39" s="50"/>
      <c r="N39" s="50"/>
      <c r="O39" s="50"/>
      <c r="P39" s="50"/>
      <c r="Q39" s="50"/>
      <c r="R39" s="50"/>
      <c r="S39" s="51" t="s">
        <v>368</v>
      </c>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c r="AV39" s="51"/>
      <c r="AW39" s="51"/>
      <c r="AX39" s="51"/>
      <c r="AY39" s="51"/>
      <c r="AZ39" s="51"/>
      <c r="BA39" s="51"/>
      <c r="BB39" s="51"/>
      <c r="BC39" s="51"/>
      <c r="BD39" s="51"/>
      <c r="BE39" s="51"/>
      <c r="BF39" s="51"/>
      <c r="BG39" s="51"/>
      <c r="BH39" s="51"/>
      <c r="BI39" s="51"/>
      <c r="BJ39" s="51"/>
      <c r="BK39" s="51"/>
      <c r="BL39" s="51"/>
      <c r="BM39" s="51"/>
      <c r="BN39" s="51"/>
      <c r="BO39" s="51"/>
      <c r="BP39" s="51"/>
      <c r="BQ39" s="51"/>
      <c r="BR39" s="51"/>
      <c r="BS39" s="51"/>
      <c r="BT39" s="51"/>
      <c r="BU39" s="51"/>
      <c r="BV39" s="51"/>
      <c r="BW39" s="51"/>
    </row>
    <row r="40" spans="2:75" ht="15" customHeight="1" x14ac:dyDescent="0.25">
      <c r="C40" s="50" t="s">
        <v>369</v>
      </c>
      <c r="D40" s="50"/>
      <c r="E40" s="50"/>
      <c r="F40" s="50"/>
      <c r="G40" s="50"/>
      <c r="H40" s="50"/>
      <c r="I40" s="50"/>
      <c r="J40" s="50"/>
      <c r="K40" s="50"/>
      <c r="L40" s="50"/>
      <c r="M40" s="50"/>
      <c r="N40" s="50"/>
      <c r="O40" s="50"/>
      <c r="P40" s="50"/>
      <c r="Q40" s="50"/>
      <c r="R40" s="50"/>
      <c r="S40" s="51" t="s">
        <v>370</v>
      </c>
      <c r="T40" s="51"/>
      <c r="U40" s="51"/>
      <c r="V40" s="51"/>
      <c r="W40" s="51"/>
      <c r="X40" s="51"/>
      <c r="Y40" s="51"/>
      <c r="Z40" s="51"/>
      <c r="AA40" s="51"/>
      <c r="AB40" s="51"/>
      <c r="AC40" s="51"/>
      <c r="AD40" s="51"/>
      <c r="AE40" s="51"/>
      <c r="AF40" s="51"/>
      <c r="AG40" s="51"/>
      <c r="AH40" s="51"/>
      <c r="AI40" s="51"/>
      <c r="AJ40" s="51"/>
      <c r="AK40" s="51"/>
      <c r="AL40" s="51"/>
      <c r="AM40" s="51"/>
      <c r="AN40" s="51"/>
      <c r="AO40" s="51"/>
      <c r="AP40" s="51"/>
      <c r="AQ40" s="51"/>
      <c r="AR40" s="51"/>
      <c r="AS40" s="51"/>
      <c r="AT40" s="51"/>
      <c r="AU40" s="51"/>
      <c r="AV40" s="51"/>
      <c r="AW40" s="51"/>
      <c r="AX40" s="51"/>
      <c r="AY40" s="51"/>
      <c r="AZ40" s="51"/>
      <c r="BA40" s="51"/>
      <c r="BB40" s="51"/>
      <c r="BC40" s="51"/>
      <c r="BD40" s="51"/>
      <c r="BE40" s="51"/>
      <c r="BF40" s="51"/>
      <c r="BG40" s="51"/>
      <c r="BH40" s="51"/>
      <c r="BI40" s="51"/>
      <c r="BJ40" s="51"/>
      <c r="BK40" s="51"/>
      <c r="BL40" s="51"/>
      <c r="BM40" s="51"/>
      <c r="BN40" s="51"/>
      <c r="BO40" s="51"/>
      <c r="BP40" s="51"/>
      <c r="BQ40" s="51"/>
      <c r="BR40" s="51"/>
      <c r="BS40" s="51"/>
      <c r="BT40" s="51"/>
      <c r="BU40" s="51"/>
      <c r="BV40" s="51"/>
      <c r="BW40" s="51"/>
    </row>
    <row r="41" spans="2:75" ht="15" customHeight="1" x14ac:dyDescent="0.25">
      <c r="C41" s="50" t="s">
        <v>371</v>
      </c>
      <c r="D41" s="50"/>
      <c r="E41" s="50"/>
      <c r="F41" s="50"/>
      <c r="G41" s="50"/>
      <c r="H41" s="50"/>
      <c r="I41" s="50"/>
      <c r="J41" s="50"/>
      <c r="K41" s="50"/>
      <c r="L41" s="50"/>
      <c r="M41" s="50"/>
      <c r="N41" s="50"/>
      <c r="O41" s="50"/>
      <c r="P41" s="50"/>
      <c r="Q41" s="50"/>
      <c r="R41" s="50"/>
      <c r="S41" s="51" t="s">
        <v>372</v>
      </c>
      <c r="T41" s="51"/>
      <c r="U41" s="51"/>
      <c r="V41" s="51"/>
      <c r="W41" s="51"/>
      <c r="X41" s="51"/>
      <c r="Y41" s="51"/>
      <c r="Z41" s="51"/>
      <c r="AA41" s="51"/>
      <c r="AB41" s="51"/>
      <c r="AC41" s="51"/>
      <c r="AD41" s="51"/>
      <c r="AE41" s="51"/>
      <c r="AF41" s="51"/>
      <c r="AG41" s="51"/>
      <c r="AH41" s="51"/>
      <c r="AI41" s="51"/>
      <c r="AJ41" s="51"/>
      <c r="AK41" s="51"/>
      <c r="AL41" s="51"/>
      <c r="AM41" s="51"/>
      <c r="AN41" s="51"/>
      <c r="AO41" s="51"/>
      <c r="AP41" s="51"/>
      <c r="AQ41" s="51"/>
      <c r="AR41" s="51"/>
      <c r="AS41" s="51"/>
      <c r="AT41" s="51"/>
      <c r="AU41" s="51"/>
      <c r="AV41" s="51"/>
      <c r="AW41" s="51"/>
      <c r="AX41" s="51"/>
      <c r="AY41" s="51"/>
      <c r="AZ41" s="51"/>
      <c r="BA41" s="51"/>
      <c r="BB41" s="51"/>
      <c r="BC41" s="51"/>
      <c r="BD41" s="51"/>
      <c r="BE41" s="51"/>
      <c r="BF41" s="51"/>
      <c r="BG41" s="51"/>
      <c r="BH41" s="51"/>
      <c r="BI41" s="51"/>
      <c r="BJ41" s="51"/>
      <c r="BK41" s="51"/>
      <c r="BL41" s="51"/>
      <c r="BM41" s="51"/>
      <c r="BN41" s="51"/>
      <c r="BO41" s="51"/>
      <c r="BP41" s="51"/>
      <c r="BQ41" s="51"/>
      <c r="BR41" s="51"/>
      <c r="BS41" s="51"/>
      <c r="BT41" s="51"/>
      <c r="BU41" s="51"/>
      <c r="BV41" s="51"/>
      <c r="BW41" s="51"/>
    </row>
    <row r="42" spans="2:75" ht="15" customHeight="1" x14ac:dyDescent="0.25">
      <c r="C42" s="50" t="s">
        <v>373</v>
      </c>
      <c r="D42" s="50"/>
      <c r="E42" s="50"/>
      <c r="F42" s="50"/>
      <c r="G42" s="50"/>
      <c r="H42" s="50"/>
      <c r="I42" s="50"/>
      <c r="J42" s="50"/>
      <c r="K42" s="50"/>
      <c r="L42" s="50"/>
      <c r="M42" s="50"/>
      <c r="N42" s="50"/>
      <c r="O42" s="50"/>
      <c r="P42" s="50"/>
      <c r="Q42" s="50"/>
      <c r="R42" s="50"/>
      <c r="S42" s="51" t="s">
        <v>374</v>
      </c>
      <c r="T42" s="51"/>
      <c r="U42" s="51"/>
      <c r="V42" s="51"/>
      <c r="W42" s="51"/>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c r="AV42" s="51"/>
      <c r="AW42" s="51"/>
      <c r="AX42" s="51"/>
      <c r="AY42" s="51"/>
      <c r="AZ42" s="51"/>
      <c r="BA42" s="51"/>
      <c r="BB42" s="51"/>
      <c r="BC42" s="51"/>
      <c r="BD42" s="51"/>
      <c r="BE42" s="51"/>
      <c r="BF42" s="51"/>
      <c r="BG42" s="51"/>
      <c r="BH42" s="51"/>
      <c r="BI42" s="51"/>
      <c r="BJ42" s="51"/>
      <c r="BK42" s="51"/>
      <c r="BL42" s="51"/>
      <c r="BM42" s="51"/>
      <c r="BN42" s="51"/>
      <c r="BO42" s="51"/>
      <c r="BP42" s="51"/>
      <c r="BQ42" s="51"/>
      <c r="BR42" s="51"/>
      <c r="BS42" s="51"/>
      <c r="BT42" s="51"/>
      <c r="BU42" s="51"/>
      <c r="BV42" s="51"/>
      <c r="BW42" s="51"/>
    </row>
    <row r="43" spans="2:75" ht="15" customHeight="1" x14ac:dyDescent="0.25">
      <c r="C43" s="50" t="s">
        <v>375</v>
      </c>
      <c r="D43" s="50"/>
      <c r="E43" s="50"/>
      <c r="F43" s="50"/>
      <c r="G43" s="50"/>
      <c r="H43" s="50"/>
      <c r="I43" s="50"/>
      <c r="J43" s="50"/>
      <c r="K43" s="50"/>
      <c r="L43" s="50"/>
      <c r="M43" s="50"/>
      <c r="N43" s="50"/>
      <c r="O43" s="50"/>
      <c r="P43" s="50"/>
      <c r="Q43" s="50"/>
      <c r="R43" s="50"/>
      <c r="S43" s="51" t="s">
        <v>376</v>
      </c>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c r="AV43" s="51"/>
      <c r="AW43" s="51"/>
      <c r="AX43" s="51"/>
      <c r="AY43" s="51"/>
      <c r="AZ43" s="51"/>
      <c r="BA43" s="51"/>
      <c r="BB43" s="51"/>
      <c r="BC43" s="51"/>
      <c r="BD43" s="51"/>
      <c r="BE43" s="51"/>
      <c r="BF43" s="51"/>
      <c r="BG43" s="51"/>
      <c r="BH43" s="51"/>
      <c r="BI43" s="51"/>
      <c r="BJ43" s="51"/>
      <c r="BK43" s="51"/>
      <c r="BL43" s="51"/>
      <c r="BM43" s="51"/>
      <c r="BN43" s="51"/>
      <c r="BO43" s="51"/>
      <c r="BP43" s="51"/>
      <c r="BQ43" s="51"/>
      <c r="BR43" s="51"/>
      <c r="BS43" s="51"/>
      <c r="BT43" s="51"/>
      <c r="BU43" s="51"/>
      <c r="BV43" s="51"/>
      <c r="BW43" s="51"/>
    </row>
    <row r="44" spans="2:75" ht="15" customHeight="1" x14ac:dyDescent="0.25">
      <c r="C44" s="50" t="s">
        <v>377</v>
      </c>
      <c r="D44" s="50"/>
      <c r="E44" s="50"/>
      <c r="F44" s="50"/>
      <c r="G44" s="50"/>
      <c r="H44" s="50"/>
      <c r="I44" s="50"/>
      <c r="J44" s="50"/>
      <c r="K44" s="50"/>
      <c r="L44" s="50"/>
      <c r="M44" s="50"/>
      <c r="N44" s="50"/>
      <c r="O44" s="50"/>
      <c r="P44" s="50"/>
      <c r="Q44" s="50"/>
      <c r="R44" s="50"/>
      <c r="S44" s="51" t="s">
        <v>378</v>
      </c>
      <c r="T44" s="51"/>
      <c r="U44" s="51"/>
      <c r="V44" s="51"/>
      <c r="W44" s="51"/>
      <c r="X44" s="51"/>
      <c r="Y44" s="51"/>
      <c r="Z44" s="51"/>
      <c r="AA44" s="51"/>
      <c r="AB44" s="51"/>
      <c r="AC44" s="51"/>
      <c r="AD44" s="51"/>
      <c r="AE44" s="51"/>
      <c r="AF44" s="51"/>
      <c r="AG44" s="51"/>
      <c r="AH44" s="51"/>
      <c r="AI44" s="51"/>
      <c r="AJ44" s="51"/>
      <c r="AK44" s="51"/>
      <c r="AL44" s="51"/>
      <c r="AM44" s="51"/>
      <c r="AN44" s="51"/>
      <c r="AO44" s="51"/>
      <c r="AP44" s="51"/>
      <c r="AQ44" s="51"/>
      <c r="AR44" s="51"/>
      <c r="AS44" s="51"/>
      <c r="AT44" s="51"/>
      <c r="AU44" s="51"/>
      <c r="AV44" s="51"/>
      <c r="AW44" s="51"/>
      <c r="AX44" s="51"/>
      <c r="AY44" s="51"/>
      <c r="AZ44" s="51"/>
      <c r="BA44" s="51"/>
      <c r="BB44" s="51"/>
      <c r="BC44" s="51"/>
      <c r="BD44" s="51"/>
      <c r="BE44" s="51"/>
      <c r="BF44" s="51"/>
      <c r="BG44" s="51"/>
      <c r="BH44" s="51"/>
      <c r="BI44" s="51"/>
      <c r="BJ44" s="51"/>
      <c r="BK44" s="51"/>
      <c r="BL44" s="51"/>
      <c r="BM44" s="51"/>
      <c r="BN44" s="51"/>
      <c r="BO44" s="51"/>
      <c r="BP44" s="51"/>
      <c r="BQ44" s="51"/>
      <c r="BR44" s="51"/>
      <c r="BS44" s="51"/>
      <c r="BT44" s="51"/>
      <c r="BU44" s="51"/>
      <c r="BV44" s="51"/>
      <c r="BW44" s="51"/>
    </row>
    <row r="45" spans="2:75" ht="15" customHeight="1" x14ac:dyDescent="0.25">
      <c r="C45" s="50" t="s">
        <v>379</v>
      </c>
      <c r="D45" s="50"/>
      <c r="E45" s="50"/>
      <c r="F45" s="50"/>
      <c r="G45" s="50"/>
      <c r="H45" s="50"/>
      <c r="I45" s="50"/>
      <c r="J45" s="50"/>
      <c r="K45" s="50"/>
      <c r="L45" s="50"/>
      <c r="M45" s="50"/>
      <c r="N45" s="50"/>
      <c r="O45" s="50"/>
      <c r="P45" s="50"/>
      <c r="Q45" s="50"/>
      <c r="R45" s="50"/>
      <c r="S45" s="51" t="s">
        <v>380</v>
      </c>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c r="AV45" s="51"/>
      <c r="AW45" s="51"/>
      <c r="AX45" s="51"/>
      <c r="AY45" s="51"/>
      <c r="AZ45" s="51"/>
      <c r="BA45" s="51"/>
      <c r="BB45" s="51"/>
      <c r="BC45" s="51"/>
      <c r="BD45" s="51"/>
      <c r="BE45" s="51"/>
      <c r="BF45" s="51"/>
      <c r="BG45" s="51"/>
      <c r="BH45" s="51"/>
      <c r="BI45" s="51"/>
      <c r="BJ45" s="51"/>
      <c r="BK45" s="51"/>
      <c r="BL45" s="51"/>
      <c r="BM45" s="51"/>
      <c r="BN45" s="51"/>
      <c r="BO45" s="51"/>
      <c r="BP45" s="51"/>
      <c r="BQ45" s="51"/>
      <c r="BR45" s="51"/>
      <c r="BS45" s="51"/>
      <c r="BT45" s="51"/>
      <c r="BU45" s="51"/>
      <c r="BV45" s="51"/>
      <c r="BW45" s="51"/>
    </row>
    <row r="47" spans="2:75" ht="12.6" x14ac:dyDescent="0.25">
      <c r="B47" s="49" t="s">
        <v>381</v>
      </c>
      <c r="C47" s="49"/>
      <c r="D47" s="49"/>
      <c r="E47" s="49"/>
      <c r="F47" s="49"/>
      <c r="G47" s="49"/>
      <c r="H47" s="49"/>
      <c r="I47" s="49"/>
      <c r="J47" s="49"/>
      <c r="K47" s="49"/>
      <c r="L47" s="49"/>
      <c r="M47" s="49"/>
      <c r="N47" s="49"/>
      <c r="O47" s="49"/>
      <c r="P47" s="49"/>
      <c r="Q47" s="49"/>
      <c r="R47" s="49"/>
      <c r="S47" s="49"/>
      <c r="T47" s="49"/>
      <c r="U47" s="49"/>
      <c r="V47" s="49"/>
      <c r="W47" s="49"/>
      <c r="X47" s="49"/>
      <c r="Y47" s="49"/>
      <c r="Z47" s="49"/>
      <c r="AA47" s="49"/>
      <c r="AB47" s="49"/>
      <c r="AC47" s="49"/>
      <c r="AD47" s="49"/>
      <c r="AE47" s="49"/>
      <c r="AF47" s="49"/>
      <c r="AG47" s="49"/>
      <c r="AH47" s="49"/>
      <c r="AI47" s="49"/>
      <c r="AJ47" s="49"/>
      <c r="AK47" s="49"/>
      <c r="AL47" s="49"/>
      <c r="AM47" s="49"/>
      <c r="AN47" s="49"/>
      <c r="AO47" s="49"/>
      <c r="AP47" s="49"/>
      <c r="AQ47" s="49"/>
      <c r="AR47" s="49"/>
      <c r="AS47" s="49"/>
      <c r="AT47" s="49"/>
      <c r="AU47" s="49"/>
      <c r="AV47" s="49"/>
      <c r="AW47" s="49"/>
      <c r="AX47" s="49"/>
      <c r="AY47" s="49"/>
      <c r="AZ47" s="49"/>
      <c r="BA47" s="49"/>
      <c r="BB47" s="49"/>
      <c r="BC47" s="49"/>
      <c r="BD47" s="49"/>
      <c r="BE47" s="49"/>
      <c r="BF47" s="49"/>
      <c r="BG47" s="49"/>
      <c r="BH47" s="49"/>
      <c r="BI47" s="49"/>
      <c r="BJ47" s="49"/>
      <c r="BK47" s="49"/>
      <c r="BL47" s="49"/>
      <c r="BM47" s="49"/>
      <c r="BN47" s="49"/>
      <c r="BO47" s="49"/>
      <c r="BP47" s="49"/>
      <c r="BQ47" s="49"/>
      <c r="BR47" s="49"/>
      <c r="BS47" s="49"/>
      <c r="BT47" s="49"/>
      <c r="BU47" s="49"/>
      <c r="BV47" s="49"/>
      <c r="BW47" s="49"/>
    </row>
    <row r="48" spans="2:75" ht="12.6" x14ac:dyDescent="0.25">
      <c r="B48" s="49"/>
      <c r="C48" s="49"/>
      <c r="D48" s="49"/>
      <c r="E48" s="49"/>
      <c r="F48" s="49"/>
      <c r="G48" s="49"/>
      <c r="H48" s="49"/>
      <c r="I48" s="49"/>
      <c r="J48" s="49"/>
      <c r="K48" s="49"/>
      <c r="L48" s="49"/>
      <c r="M48" s="49"/>
      <c r="N48" s="49"/>
      <c r="O48" s="49"/>
      <c r="P48" s="49"/>
      <c r="Q48" s="49"/>
      <c r="R48" s="49"/>
      <c r="S48" s="49"/>
      <c r="T48" s="49"/>
      <c r="U48" s="49"/>
      <c r="V48" s="49"/>
      <c r="W48" s="49"/>
      <c r="X48" s="49"/>
      <c r="Y48" s="49"/>
      <c r="Z48" s="49"/>
      <c r="AA48" s="49"/>
      <c r="AB48" s="49"/>
      <c r="AC48" s="49"/>
      <c r="AD48" s="49"/>
      <c r="AE48" s="49"/>
      <c r="AF48" s="49"/>
      <c r="AG48" s="49"/>
      <c r="AH48" s="49"/>
      <c r="AI48" s="49"/>
      <c r="AJ48" s="49"/>
      <c r="AK48" s="49"/>
      <c r="AL48" s="49"/>
      <c r="AM48" s="49"/>
      <c r="AN48" s="49"/>
      <c r="AO48" s="49"/>
      <c r="AP48" s="49"/>
      <c r="AQ48" s="49"/>
      <c r="AR48" s="49"/>
      <c r="AS48" s="49"/>
      <c r="AT48" s="49"/>
      <c r="AU48" s="49"/>
      <c r="AV48" s="49"/>
      <c r="AW48" s="49"/>
      <c r="AX48" s="49"/>
      <c r="AY48" s="49"/>
      <c r="AZ48" s="49"/>
      <c r="BA48" s="49"/>
      <c r="BB48" s="49"/>
      <c r="BC48" s="49"/>
      <c r="BD48" s="49"/>
      <c r="BE48" s="49"/>
      <c r="BF48" s="49"/>
      <c r="BG48" s="49"/>
      <c r="BH48" s="49"/>
      <c r="BI48" s="49"/>
      <c r="BJ48" s="49"/>
      <c r="BK48" s="49"/>
      <c r="BL48" s="49"/>
      <c r="BM48" s="49"/>
      <c r="BN48" s="49"/>
      <c r="BO48" s="49"/>
      <c r="BP48" s="49"/>
      <c r="BQ48" s="49"/>
      <c r="BR48" s="49"/>
      <c r="BS48" s="49"/>
      <c r="BT48" s="49"/>
      <c r="BU48" s="49"/>
      <c r="BV48" s="49"/>
      <c r="BW48" s="49"/>
    </row>
    <row r="66" spans="2:75" ht="12.6" x14ac:dyDescent="0.25">
      <c r="C66" s="52" t="s">
        <v>382</v>
      </c>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2"/>
      <c r="BP66" s="52"/>
      <c r="BQ66" s="52"/>
      <c r="BR66" s="52"/>
      <c r="BS66" s="52"/>
      <c r="BT66" s="52"/>
      <c r="BU66" s="52"/>
      <c r="BV66" s="52"/>
      <c r="BW66" s="52"/>
    </row>
    <row r="67" spans="2:75" ht="12.6" x14ac:dyDescent="0.25">
      <c r="C67" s="52" t="s">
        <v>383</v>
      </c>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2"/>
      <c r="BP67" s="52"/>
      <c r="BQ67" s="52"/>
      <c r="BR67" s="52"/>
      <c r="BS67" s="52"/>
      <c r="BT67" s="52"/>
      <c r="BU67" s="52"/>
      <c r="BV67" s="52"/>
      <c r="BW67" s="52"/>
    </row>
    <row r="68" spans="2:75" ht="12.6" x14ac:dyDescent="0.25">
      <c r="C68" s="52" t="s">
        <v>384</v>
      </c>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2"/>
      <c r="BP68" s="52"/>
      <c r="BQ68" s="52"/>
      <c r="BR68" s="52"/>
      <c r="BS68" s="52"/>
      <c r="BT68" s="52"/>
      <c r="BU68" s="52"/>
      <c r="BV68" s="52"/>
      <c r="BW68" s="52"/>
    </row>
    <row r="69" spans="2:75" ht="12.6" x14ac:dyDescent="0.25">
      <c r="C69" s="52" t="s">
        <v>385</v>
      </c>
      <c r="D69" s="5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c r="BO69" s="52"/>
      <c r="BP69" s="52"/>
      <c r="BQ69" s="52"/>
      <c r="BR69" s="52"/>
      <c r="BS69" s="52"/>
      <c r="BT69" s="52"/>
      <c r="BU69" s="52"/>
      <c r="BV69" s="52"/>
      <c r="BW69" s="52"/>
    </row>
    <row r="70" spans="2:75" ht="12.6" x14ac:dyDescent="0.25">
      <c r="C70" s="52" t="s">
        <v>386</v>
      </c>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c r="BM70" s="52"/>
      <c r="BN70" s="52"/>
      <c r="BO70" s="52"/>
      <c r="BP70" s="52"/>
      <c r="BQ70" s="52"/>
      <c r="BR70" s="52"/>
      <c r="BS70" s="52"/>
      <c r="BT70" s="52"/>
      <c r="BU70" s="52"/>
      <c r="BV70" s="52"/>
      <c r="BW70" s="52"/>
    </row>
    <row r="71" spans="2:75" ht="12.6" x14ac:dyDescent="0.25">
      <c r="C71" s="52" t="s">
        <v>387</v>
      </c>
      <c r="D71" s="52"/>
      <c r="E71" s="52"/>
      <c r="F71" s="52"/>
      <c r="G71" s="52"/>
      <c r="H71" s="52"/>
      <c r="I71" s="52"/>
      <c r="J71" s="52"/>
      <c r="K71" s="52"/>
      <c r="L71" s="52"/>
      <c r="M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AZ71" s="52"/>
      <c r="BA71" s="52"/>
      <c r="BB71" s="52"/>
      <c r="BC71" s="52"/>
      <c r="BD71" s="52"/>
      <c r="BE71" s="52"/>
      <c r="BF71" s="52"/>
      <c r="BG71" s="52"/>
      <c r="BH71" s="52"/>
      <c r="BI71" s="52"/>
      <c r="BJ71" s="52"/>
      <c r="BK71" s="52"/>
      <c r="BL71" s="52"/>
      <c r="BM71" s="52"/>
      <c r="BN71" s="52"/>
      <c r="BO71" s="52"/>
      <c r="BP71" s="52"/>
      <c r="BQ71" s="52"/>
      <c r="BR71" s="52"/>
      <c r="BS71" s="52"/>
      <c r="BT71" s="52"/>
      <c r="BU71" s="52"/>
      <c r="BV71" s="52"/>
      <c r="BW71" s="52"/>
    </row>
    <row r="73" spans="2:75" ht="12.6" x14ac:dyDescent="0.25">
      <c r="B73" s="49" t="s">
        <v>388</v>
      </c>
      <c r="C73" s="49"/>
      <c r="D73" s="49"/>
      <c r="E73" s="49"/>
      <c r="F73" s="49"/>
      <c r="G73" s="49"/>
      <c r="H73" s="49"/>
      <c r="I73" s="49"/>
      <c r="J73" s="49"/>
      <c r="K73" s="49"/>
      <c r="L73" s="49"/>
      <c r="M73" s="49"/>
      <c r="N73" s="49"/>
      <c r="O73" s="49"/>
      <c r="P73" s="49"/>
      <c r="Q73" s="49"/>
      <c r="R73" s="49"/>
      <c r="S73" s="49"/>
      <c r="T73" s="49"/>
      <c r="U73" s="49"/>
      <c r="V73" s="49"/>
      <c r="W73" s="49"/>
      <c r="X73" s="49"/>
      <c r="Y73" s="49"/>
      <c r="Z73" s="49"/>
      <c r="AA73" s="49"/>
      <c r="AB73" s="49"/>
      <c r="AC73" s="49"/>
      <c r="AD73" s="49"/>
      <c r="AE73" s="49"/>
      <c r="AF73" s="49"/>
      <c r="AG73" s="49"/>
      <c r="AH73" s="49"/>
      <c r="AI73" s="49"/>
      <c r="AJ73" s="49"/>
      <c r="AK73" s="49"/>
      <c r="AL73" s="49"/>
      <c r="AM73" s="49"/>
      <c r="AN73" s="49"/>
      <c r="AO73" s="49"/>
      <c r="AP73" s="49"/>
      <c r="AQ73" s="49"/>
      <c r="AR73" s="49"/>
      <c r="AS73" s="49"/>
      <c r="AT73" s="49"/>
      <c r="AU73" s="49"/>
      <c r="AV73" s="49"/>
      <c r="AW73" s="49"/>
      <c r="AX73" s="49"/>
      <c r="AY73" s="49"/>
      <c r="AZ73" s="49"/>
      <c r="BA73" s="49"/>
      <c r="BB73" s="49"/>
      <c r="BC73" s="49"/>
      <c r="BD73" s="49"/>
      <c r="BE73" s="49"/>
      <c r="BF73" s="49"/>
      <c r="BG73" s="49"/>
      <c r="BH73" s="49"/>
      <c r="BI73" s="49"/>
      <c r="BJ73" s="49"/>
      <c r="BK73" s="49"/>
      <c r="BL73" s="49"/>
      <c r="BM73" s="49"/>
      <c r="BN73" s="49"/>
      <c r="BO73" s="49"/>
      <c r="BP73" s="49"/>
      <c r="BQ73" s="49"/>
      <c r="BR73" s="49"/>
      <c r="BS73" s="49"/>
      <c r="BT73" s="49"/>
      <c r="BU73" s="49"/>
      <c r="BV73" s="49"/>
      <c r="BW73" s="49"/>
    </row>
    <row r="74" spans="2:75" ht="12.6" x14ac:dyDescent="0.25">
      <c r="B74" s="49"/>
      <c r="C74" s="49"/>
      <c r="D74" s="49"/>
      <c r="E74" s="49"/>
      <c r="F74" s="49"/>
      <c r="G74" s="49"/>
      <c r="H74" s="49"/>
      <c r="I74" s="49"/>
      <c r="J74" s="49"/>
      <c r="K74" s="49"/>
      <c r="L74" s="49"/>
      <c r="M74" s="49"/>
      <c r="N74" s="49"/>
      <c r="O74" s="49"/>
      <c r="P74" s="49"/>
      <c r="Q74" s="49"/>
      <c r="R74" s="49"/>
      <c r="S74" s="49"/>
      <c r="T74" s="49"/>
      <c r="U74" s="49"/>
      <c r="V74" s="49"/>
      <c r="W74" s="49"/>
      <c r="X74" s="49"/>
      <c r="Y74" s="49"/>
      <c r="Z74" s="49"/>
      <c r="AA74" s="49"/>
      <c r="AB74" s="49"/>
      <c r="AC74" s="49"/>
      <c r="AD74" s="49"/>
      <c r="AE74" s="49"/>
      <c r="AF74" s="49"/>
      <c r="AG74" s="49"/>
      <c r="AH74" s="49"/>
      <c r="AI74" s="49"/>
      <c r="AJ74" s="49"/>
      <c r="AK74" s="49"/>
      <c r="AL74" s="49"/>
      <c r="AM74" s="49"/>
      <c r="AN74" s="49"/>
      <c r="AO74" s="49"/>
      <c r="AP74" s="49"/>
      <c r="AQ74" s="49"/>
      <c r="AR74" s="49"/>
      <c r="AS74" s="49"/>
      <c r="AT74" s="49"/>
      <c r="AU74" s="49"/>
      <c r="AV74" s="49"/>
      <c r="AW74" s="49"/>
      <c r="AX74" s="49"/>
      <c r="AY74" s="49"/>
      <c r="AZ74" s="49"/>
      <c r="BA74" s="49"/>
      <c r="BB74" s="49"/>
      <c r="BC74" s="49"/>
      <c r="BD74" s="49"/>
      <c r="BE74" s="49"/>
      <c r="BF74" s="49"/>
      <c r="BG74" s="49"/>
      <c r="BH74" s="49"/>
      <c r="BI74" s="49"/>
      <c r="BJ74" s="49"/>
      <c r="BK74" s="49"/>
      <c r="BL74" s="49"/>
      <c r="BM74" s="49"/>
      <c r="BN74" s="49"/>
      <c r="BO74" s="49"/>
      <c r="BP74" s="49"/>
      <c r="BQ74" s="49"/>
      <c r="BR74" s="49"/>
      <c r="BS74" s="49"/>
      <c r="BT74" s="49"/>
      <c r="BU74" s="49"/>
      <c r="BV74" s="49"/>
      <c r="BW74" s="49"/>
    </row>
    <row r="76" spans="2:75" ht="12.6" x14ac:dyDescent="0.25">
      <c r="C76" s="26" t="s">
        <v>41</v>
      </c>
      <c r="D76" s="26"/>
      <c r="E76" s="26"/>
      <c r="F76" s="26"/>
      <c r="G76" s="26"/>
      <c r="H76" s="26"/>
      <c r="I76" s="26"/>
      <c r="J76" s="26"/>
      <c r="K76" s="26"/>
      <c r="L76" s="26"/>
      <c r="M76" s="26" t="s">
        <v>389</v>
      </c>
      <c r="N76" s="26"/>
      <c r="O76" s="26"/>
      <c r="P76" s="26"/>
      <c r="Q76" s="26"/>
      <c r="R76" s="26"/>
      <c r="S76" s="26"/>
      <c r="T76" s="26"/>
      <c r="U76" s="26"/>
      <c r="V76" s="26"/>
      <c r="W76" s="26"/>
      <c r="X76" s="26"/>
      <c r="Y76" s="26" t="s">
        <v>390</v>
      </c>
      <c r="Z76" s="26"/>
      <c r="AA76" s="26"/>
      <c r="AB76" s="26"/>
      <c r="AC76" s="26"/>
      <c r="AD76" s="26"/>
      <c r="AE76" s="26"/>
      <c r="AF76" s="26"/>
      <c r="AG76" s="26"/>
      <c r="AH76" s="26"/>
      <c r="AI76" s="26"/>
      <c r="AJ76" s="26"/>
      <c r="AK76" s="26"/>
      <c r="AL76" s="26"/>
      <c r="AM76" s="26"/>
      <c r="AN76" s="26"/>
      <c r="AO76" s="26"/>
      <c r="AP76" s="26"/>
      <c r="AQ76" s="26"/>
      <c r="AR76" s="26"/>
      <c r="AS76" s="26"/>
      <c r="AT76" s="26" t="s">
        <v>391</v>
      </c>
      <c r="AU76" s="26"/>
      <c r="AV76" s="26"/>
      <c r="AW76" s="26"/>
      <c r="AX76" s="26"/>
      <c r="AY76" s="26"/>
      <c r="AZ76" s="26"/>
      <c r="BA76" s="26"/>
      <c r="BB76" s="26"/>
      <c r="BC76" s="26"/>
      <c r="BD76" s="26"/>
      <c r="BE76" s="26"/>
      <c r="BF76" s="26"/>
      <c r="BG76" s="26"/>
      <c r="BH76" s="26"/>
      <c r="BI76" s="26"/>
      <c r="BJ76" s="26" t="s">
        <v>392</v>
      </c>
      <c r="BK76" s="26"/>
      <c r="BL76" s="26"/>
      <c r="BM76" s="26"/>
      <c r="BN76" s="26"/>
      <c r="BO76" s="26"/>
      <c r="BP76" s="26"/>
      <c r="BQ76" s="26"/>
      <c r="BR76" s="26"/>
      <c r="BS76" s="26"/>
      <c r="BT76" s="26"/>
      <c r="BU76" s="26"/>
      <c r="BV76" s="26"/>
      <c r="BW76" s="26"/>
    </row>
    <row r="77" spans="2:75" ht="12.6" x14ac:dyDescent="0.25">
      <c r="B77" s="3"/>
      <c r="C77" s="50" t="s">
        <v>74</v>
      </c>
      <c r="D77" s="50"/>
      <c r="E77" s="50"/>
      <c r="F77" s="50"/>
      <c r="G77" s="50"/>
      <c r="H77" s="50"/>
      <c r="I77" s="50"/>
      <c r="J77" s="50"/>
      <c r="K77" s="50"/>
      <c r="L77" s="50"/>
      <c r="M77" s="51" t="s">
        <v>393</v>
      </c>
      <c r="N77" s="51"/>
      <c r="O77" s="51"/>
      <c r="P77" s="51"/>
      <c r="Q77" s="51"/>
      <c r="R77" s="51"/>
      <c r="S77" s="51"/>
      <c r="T77" s="51"/>
      <c r="U77" s="51"/>
      <c r="V77" s="51"/>
      <c r="W77" s="51"/>
      <c r="X77" s="51"/>
      <c r="Y77" s="51" t="s">
        <v>394</v>
      </c>
      <c r="Z77" s="51"/>
      <c r="AA77" s="51"/>
      <c r="AB77" s="51"/>
      <c r="AC77" s="51"/>
      <c r="AD77" s="51"/>
      <c r="AE77" s="51"/>
      <c r="AF77" s="51"/>
      <c r="AG77" s="51"/>
      <c r="AH77" s="51"/>
      <c r="AI77" s="51"/>
      <c r="AJ77" s="51"/>
      <c r="AK77" s="51"/>
      <c r="AL77" s="51"/>
      <c r="AM77" s="51"/>
      <c r="AN77" s="51"/>
      <c r="AO77" s="51"/>
      <c r="AP77" s="51"/>
      <c r="AQ77" s="51"/>
      <c r="AR77" s="51"/>
      <c r="AS77" s="51"/>
      <c r="AT77" s="51" t="s">
        <v>395</v>
      </c>
      <c r="AU77" s="51"/>
      <c r="AV77" s="51"/>
      <c r="AW77" s="51"/>
      <c r="AX77" s="51"/>
      <c r="AY77" s="51"/>
      <c r="AZ77" s="51"/>
      <c r="BA77" s="51"/>
      <c r="BB77" s="51"/>
      <c r="BC77" s="51"/>
      <c r="BD77" s="51"/>
      <c r="BE77" s="51"/>
      <c r="BF77" s="51"/>
      <c r="BG77" s="51"/>
      <c r="BH77" s="51"/>
      <c r="BI77" s="51"/>
      <c r="BJ77" s="51" t="s">
        <v>396</v>
      </c>
      <c r="BK77" s="51"/>
      <c r="BL77" s="51"/>
      <c r="BM77" s="51"/>
      <c r="BN77" s="51"/>
      <c r="BO77" s="51"/>
      <c r="BP77" s="51"/>
      <c r="BQ77" s="51"/>
      <c r="BR77" s="51"/>
      <c r="BS77" s="51"/>
      <c r="BT77" s="51"/>
      <c r="BU77" s="51"/>
      <c r="BV77" s="51"/>
      <c r="BW77" s="51"/>
    </row>
    <row r="78" spans="2:75" ht="12.6" x14ac:dyDescent="0.25">
      <c r="B78" s="4"/>
      <c r="C78" s="50" t="s">
        <v>75</v>
      </c>
      <c r="D78" s="50"/>
      <c r="E78" s="50"/>
      <c r="F78" s="50"/>
      <c r="G78" s="50"/>
      <c r="H78" s="50"/>
      <c r="I78" s="50"/>
      <c r="J78" s="50"/>
      <c r="K78" s="50"/>
      <c r="L78" s="50"/>
      <c r="M78" s="51" t="s">
        <v>46</v>
      </c>
      <c r="N78" s="51"/>
      <c r="O78" s="51"/>
      <c r="P78" s="51"/>
      <c r="Q78" s="51"/>
      <c r="R78" s="51"/>
      <c r="S78" s="51"/>
      <c r="T78" s="51"/>
      <c r="U78" s="51"/>
      <c r="V78" s="51"/>
      <c r="W78" s="51"/>
      <c r="X78" s="51"/>
      <c r="Y78" s="51" t="s">
        <v>397</v>
      </c>
      <c r="Z78" s="51"/>
      <c r="AA78" s="51"/>
      <c r="AB78" s="51"/>
      <c r="AC78" s="51"/>
      <c r="AD78" s="51"/>
      <c r="AE78" s="51"/>
      <c r="AF78" s="51"/>
      <c r="AG78" s="51"/>
      <c r="AH78" s="51"/>
      <c r="AI78" s="51"/>
      <c r="AJ78" s="51"/>
      <c r="AK78" s="51"/>
      <c r="AL78" s="51"/>
      <c r="AM78" s="51"/>
      <c r="AN78" s="51"/>
      <c r="AO78" s="51"/>
      <c r="AP78" s="51"/>
      <c r="AQ78" s="51"/>
      <c r="AR78" s="51"/>
      <c r="AS78" s="51"/>
      <c r="AT78" s="51" t="s">
        <v>398</v>
      </c>
      <c r="AU78" s="51"/>
      <c r="AV78" s="51"/>
      <c r="AW78" s="51"/>
      <c r="AX78" s="51"/>
      <c r="AY78" s="51"/>
      <c r="AZ78" s="51"/>
      <c r="BA78" s="51"/>
      <c r="BB78" s="51"/>
      <c r="BC78" s="51"/>
      <c r="BD78" s="51"/>
      <c r="BE78" s="51"/>
      <c r="BF78" s="51"/>
      <c r="BG78" s="51"/>
      <c r="BH78" s="51"/>
      <c r="BI78" s="51"/>
      <c r="BJ78" s="51" t="s">
        <v>399</v>
      </c>
      <c r="BK78" s="51"/>
      <c r="BL78" s="51"/>
      <c r="BM78" s="51"/>
      <c r="BN78" s="51"/>
      <c r="BO78" s="51"/>
      <c r="BP78" s="51"/>
      <c r="BQ78" s="51"/>
      <c r="BR78" s="51"/>
      <c r="BS78" s="51"/>
      <c r="BT78" s="51"/>
      <c r="BU78" s="51"/>
      <c r="BV78" s="51"/>
      <c r="BW78" s="51"/>
    </row>
    <row r="79" spans="2:75" ht="12.6" x14ac:dyDescent="0.25">
      <c r="B79" s="5"/>
      <c r="C79" s="50" t="s">
        <v>76</v>
      </c>
      <c r="D79" s="50"/>
      <c r="E79" s="50"/>
      <c r="F79" s="50"/>
      <c r="G79" s="50"/>
      <c r="H79" s="50"/>
      <c r="I79" s="50"/>
      <c r="J79" s="50"/>
      <c r="K79" s="50"/>
      <c r="L79" s="50"/>
      <c r="M79" s="51" t="s">
        <v>50</v>
      </c>
      <c r="N79" s="51"/>
      <c r="O79" s="51"/>
      <c r="P79" s="51"/>
      <c r="Q79" s="51"/>
      <c r="R79" s="51"/>
      <c r="S79" s="51"/>
      <c r="T79" s="51"/>
      <c r="U79" s="51"/>
      <c r="V79" s="51"/>
      <c r="W79" s="51"/>
      <c r="X79" s="51"/>
      <c r="Y79" s="51" t="s">
        <v>400</v>
      </c>
      <c r="Z79" s="51"/>
      <c r="AA79" s="51"/>
      <c r="AB79" s="51"/>
      <c r="AC79" s="51"/>
      <c r="AD79" s="51"/>
      <c r="AE79" s="51"/>
      <c r="AF79" s="51"/>
      <c r="AG79" s="51"/>
      <c r="AH79" s="51"/>
      <c r="AI79" s="51"/>
      <c r="AJ79" s="51"/>
      <c r="AK79" s="51"/>
      <c r="AL79" s="51"/>
      <c r="AM79" s="51"/>
      <c r="AN79" s="51"/>
      <c r="AO79" s="51"/>
      <c r="AP79" s="51"/>
      <c r="AQ79" s="51"/>
      <c r="AR79" s="51"/>
      <c r="AS79" s="51"/>
      <c r="AT79" s="51" t="s">
        <v>401</v>
      </c>
      <c r="AU79" s="51"/>
      <c r="AV79" s="51"/>
      <c r="AW79" s="51"/>
      <c r="AX79" s="51"/>
      <c r="AY79" s="51"/>
      <c r="AZ79" s="51"/>
      <c r="BA79" s="51"/>
      <c r="BB79" s="51"/>
      <c r="BC79" s="51"/>
      <c r="BD79" s="51"/>
      <c r="BE79" s="51"/>
      <c r="BF79" s="51"/>
      <c r="BG79" s="51"/>
      <c r="BH79" s="51"/>
      <c r="BI79" s="51"/>
      <c r="BJ79" s="51" t="s">
        <v>402</v>
      </c>
      <c r="BK79" s="51"/>
      <c r="BL79" s="51"/>
      <c r="BM79" s="51"/>
      <c r="BN79" s="51"/>
      <c r="BO79" s="51"/>
      <c r="BP79" s="51"/>
      <c r="BQ79" s="51"/>
      <c r="BR79" s="51"/>
      <c r="BS79" s="51"/>
      <c r="BT79" s="51"/>
      <c r="BU79" s="51"/>
      <c r="BV79" s="51"/>
      <c r="BW79" s="51"/>
    </row>
    <row r="80" spans="2:75" ht="12.6" x14ac:dyDescent="0.25">
      <c r="B80" s="6"/>
      <c r="C80" s="50" t="s">
        <v>77</v>
      </c>
      <c r="D80" s="50"/>
      <c r="E80" s="50"/>
      <c r="F80" s="50"/>
      <c r="G80" s="50"/>
      <c r="H80" s="50"/>
      <c r="I80" s="50"/>
      <c r="J80" s="50"/>
      <c r="K80" s="50"/>
      <c r="L80" s="50"/>
      <c r="M80" s="51" t="s">
        <v>54</v>
      </c>
      <c r="N80" s="51"/>
      <c r="O80" s="51"/>
      <c r="P80" s="51"/>
      <c r="Q80" s="51"/>
      <c r="R80" s="51"/>
      <c r="S80" s="51"/>
      <c r="T80" s="51"/>
      <c r="U80" s="51"/>
      <c r="V80" s="51"/>
      <c r="W80" s="51"/>
      <c r="X80" s="51"/>
      <c r="Y80" s="51" t="s">
        <v>403</v>
      </c>
      <c r="Z80" s="51"/>
      <c r="AA80" s="51"/>
      <c r="AB80" s="51"/>
      <c r="AC80" s="51"/>
      <c r="AD80" s="51"/>
      <c r="AE80" s="51"/>
      <c r="AF80" s="51"/>
      <c r="AG80" s="51"/>
      <c r="AH80" s="51"/>
      <c r="AI80" s="51"/>
      <c r="AJ80" s="51"/>
      <c r="AK80" s="51"/>
      <c r="AL80" s="51"/>
      <c r="AM80" s="51"/>
      <c r="AN80" s="51"/>
      <c r="AO80" s="51"/>
      <c r="AP80" s="51"/>
      <c r="AQ80" s="51"/>
      <c r="AR80" s="51"/>
      <c r="AS80" s="51"/>
      <c r="AT80" s="51" t="s">
        <v>404</v>
      </c>
      <c r="AU80" s="51"/>
      <c r="AV80" s="51"/>
      <c r="AW80" s="51"/>
      <c r="AX80" s="51"/>
      <c r="AY80" s="51"/>
      <c r="AZ80" s="51"/>
      <c r="BA80" s="51"/>
      <c r="BB80" s="51"/>
      <c r="BC80" s="51"/>
      <c r="BD80" s="51"/>
      <c r="BE80" s="51"/>
      <c r="BF80" s="51"/>
      <c r="BG80" s="51"/>
      <c r="BH80" s="51"/>
      <c r="BI80" s="51"/>
      <c r="BJ80" s="51" t="s">
        <v>405</v>
      </c>
      <c r="BK80" s="51"/>
      <c r="BL80" s="51"/>
      <c r="BM80" s="51"/>
      <c r="BN80" s="51"/>
      <c r="BO80" s="51"/>
      <c r="BP80" s="51"/>
      <c r="BQ80" s="51"/>
      <c r="BR80" s="51"/>
      <c r="BS80" s="51"/>
      <c r="BT80" s="51"/>
      <c r="BU80" s="51"/>
      <c r="BV80" s="51"/>
      <c r="BW80" s="51"/>
    </row>
    <row r="82" spans="2:75" ht="12.6" x14ac:dyDescent="0.25">
      <c r="C82" s="52" t="s">
        <v>406</v>
      </c>
      <c r="D82" s="52"/>
      <c r="E82" s="52"/>
      <c r="F82" s="52"/>
      <c r="G82" s="52"/>
      <c r="H82" s="52"/>
      <c r="I82" s="52"/>
      <c r="J82" s="52"/>
      <c r="K82" s="52"/>
      <c r="L82" s="52"/>
      <c r="M82" s="52"/>
      <c r="N82" s="52"/>
      <c r="O82" s="52"/>
      <c r="P82" s="52"/>
      <c r="Q82" s="52"/>
      <c r="R82" s="52"/>
      <c r="S82" s="52"/>
      <c r="T82" s="52"/>
      <c r="U82" s="52"/>
      <c r="V82" s="52"/>
      <c r="W82" s="52"/>
      <c r="X82" s="52"/>
      <c r="Y82" s="52"/>
      <c r="Z82" s="52"/>
      <c r="AA82" s="52"/>
      <c r="AB82" s="52"/>
      <c r="AC82" s="52"/>
      <c r="AD82" s="52"/>
      <c r="AE82" s="52"/>
      <c r="AF82" s="52"/>
      <c r="AG82" s="52"/>
      <c r="AH82" s="52"/>
      <c r="AI82" s="52"/>
      <c r="AJ82" s="52"/>
      <c r="AK82" s="52"/>
      <c r="AL82" s="52"/>
      <c r="AM82" s="52"/>
      <c r="AN82" s="52"/>
      <c r="AO82" s="52"/>
      <c r="AP82" s="52"/>
      <c r="AQ82" s="52"/>
      <c r="AR82" s="52"/>
      <c r="AS82" s="52"/>
      <c r="AT82" s="52"/>
      <c r="AU82" s="52"/>
      <c r="AV82" s="52"/>
      <c r="AW82" s="52"/>
      <c r="AX82" s="52"/>
      <c r="AY82" s="52"/>
      <c r="AZ82" s="52"/>
      <c r="BA82" s="52"/>
      <c r="BB82" s="52"/>
      <c r="BC82" s="52"/>
      <c r="BD82" s="52"/>
      <c r="BE82" s="52"/>
      <c r="BF82" s="52"/>
      <c r="BG82" s="52"/>
      <c r="BH82" s="52"/>
      <c r="BI82" s="52"/>
      <c r="BJ82" s="52"/>
      <c r="BK82" s="52"/>
      <c r="BL82" s="52"/>
      <c r="BM82" s="52"/>
      <c r="BN82" s="52"/>
      <c r="BO82" s="52"/>
      <c r="BP82" s="52"/>
      <c r="BQ82" s="52"/>
      <c r="BR82" s="52"/>
      <c r="BS82" s="52"/>
      <c r="BT82" s="52"/>
      <c r="BU82" s="52"/>
      <c r="BV82" s="52"/>
      <c r="BW82" s="52"/>
    </row>
    <row r="83" spans="2:75" ht="12.6" x14ac:dyDescent="0.25">
      <c r="C83" s="52" t="s">
        <v>407</v>
      </c>
      <c r="D83" s="52"/>
      <c r="E83" s="52"/>
      <c r="F83" s="52"/>
      <c r="G83" s="52"/>
      <c r="H83" s="52"/>
      <c r="I83" s="52"/>
      <c r="J83" s="52"/>
      <c r="K83" s="52"/>
      <c r="L83" s="52"/>
      <c r="M83" s="52"/>
      <c r="N83" s="52"/>
      <c r="O83" s="52"/>
      <c r="P83" s="52"/>
      <c r="Q83" s="52"/>
      <c r="R83" s="52"/>
      <c r="S83" s="52"/>
      <c r="T83" s="52"/>
      <c r="U83" s="52"/>
      <c r="V83" s="52"/>
      <c r="W83" s="52"/>
      <c r="X83" s="52"/>
      <c r="Y83" s="52"/>
      <c r="Z83" s="52"/>
      <c r="AA83" s="52"/>
      <c r="AB83" s="52"/>
      <c r="AC83" s="52"/>
      <c r="AD83" s="52"/>
      <c r="AE83" s="52"/>
      <c r="AF83" s="52"/>
      <c r="AG83" s="52"/>
      <c r="AH83" s="52"/>
      <c r="AI83" s="52"/>
      <c r="AJ83" s="52"/>
      <c r="AK83" s="52"/>
      <c r="AL83" s="52"/>
      <c r="AM83" s="52"/>
      <c r="AN83" s="52"/>
      <c r="AO83" s="52"/>
      <c r="AP83" s="52"/>
      <c r="AQ83" s="52"/>
      <c r="AR83" s="52"/>
      <c r="AS83" s="52"/>
      <c r="AT83" s="52"/>
      <c r="AU83" s="52"/>
      <c r="AV83" s="52"/>
      <c r="AW83" s="52"/>
      <c r="AX83" s="52"/>
      <c r="AY83" s="52"/>
      <c r="AZ83" s="52"/>
      <c r="BA83" s="52"/>
      <c r="BB83" s="52"/>
      <c r="BC83" s="52"/>
      <c r="BD83" s="52"/>
      <c r="BE83" s="52"/>
      <c r="BF83" s="52"/>
      <c r="BG83" s="52"/>
      <c r="BH83" s="52"/>
      <c r="BI83" s="52"/>
      <c r="BJ83" s="52"/>
      <c r="BK83" s="52"/>
      <c r="BL83" s="52"/>
      <c r="BM83" s="52"/>
      <c r="BN83" s="52"/>
      <c r="BO83" s="52"/>
      <c r="BP83" s="52"/>
      <c r="BQ83" s="52"/>
      <c r="BR83" s="52"/>
      <c r="BS83" s="52"/>
      <c r="BT83" s="52"/>
      <c r="BU83" s="52"/>
      <c r="BV83" s="52"/>
      <c r="BW83" s="52"/>
    </row>
    <row r="84" spans="2:75" ht="12.6" x14ac:dyDescent="0.25">
      <c r="C84" s="52" t="s">
        <v>408</v>
      </c>
      <c r="D84" s="52"/>
      <c r="E84" s="52"/>
      <c r="F84" s="52"/>
      <c r="G84" s="52"/>
      <c r="H84" s="52"/>
      <c r="I84" s="52"/>
      <c r="J84" s="52"/>
      <c r="K84" s="52"/>
      <c r="L84" s="52"/>
      <c r="M84" s="52"/>
      <c r="N84" s="52"/>
      <c r="O84" s="52"/>
      <c r="P84" s="52"/>
      <c r="Q84" s="52"/>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52"/>
      <c r="AQ84" s="52"/>
      <c r="AR84" s="52"/>
      <c r="AS84" s="52"/>
      <c r="AT84" s="52"/>
      <c r="AU84" s="52"/>
      <c r="AV84" s="52"/>
      <c r="AW84" s="52"/>
      <c r="AX84" s="52"/>
      <c r="AY84" s="52"/>
      <c r="AZ84" s="52"/>
      <c r="BA84" s="52"/>
      <c r="BB84" s="52"/>
      <c r="BC84" s="52"/>
      <c r="BD84" s="52"/>
      <c r="BE84" s="52"/>
      <c r="BF84" s="52"/>
      <c r="BG84" s="52"/>
      <c r="BH84" s="52"/>
      <c r="BI84" s="52"/>
      <c r="BJ84" s="52"/>
      <c r="BK84" s="52"/>
      <c r="BL84" s="52"/>
      <c r="BM84" s="52"/>
      <c r="BN84" s="52"/>
      <c r="BO84" s="52"/>
      <c r="BP84" s="52"/>
      <c r="BQ84" s="52"/>
      <c r="BR84" s="52"/>
      <c r="BS84" s="52"/>
      <c r="BT84" s="52"/>
      <c r="BU84" s="52"/>
      <c r="BV84" s="52"/>
      <c r="BW84" s="52"/>
    </row>
    <row r="85" spans="2:75" ht="12.6" x14ac:dyDescent="0.25">
      <c r="C85" s="52" t="s">
        <v>409</v>
      </c>
      <c r="D85" s="52"/>
      <c r="E85" s="52"/>
      <c r="F85" s="52"/>
      <c r="G85" s="52"/>
      <c r="H85" s="52"/>
      <c r="I85" s="52"/>
      <c r="J85" s="52"/>
      <c r="K85" s="52"/>
      <c r="L85" s="52"/>
      <c r="M85" s="52"/>
      <c r="N85" s="52"/>
      <c r="O85" s="52"/>
      <c r="P85" s="52"/>
      <c r="Q85" s="52"/>
      <c r="R85" s="52"/>
      <c r="S85" s="52"/>
      <c r="T85" s="52"/>
      <c r="U85" s="52"/>
      <c r="V85" s="52"/>
      <c r="W85" s="52"/>
      <c r="X85" s="52"/>
      <c r="Y85" s="52"/>
      <c r="Z85" s="52"/>
      <c r="AA85" s="52"/>
      <c r="AB85" s="52"/>
      <c r="AC85" s="52"/>
      <c r="AD85" s="52"/>
      <c r="AE85" s="52"/>
      <c r="AF85" s="52"/>
      <c r="AG85" s="52"/>
      <c r="AH85" s="52"/>
      <c r="AI85" s="52"/>
      <c r="AJ85" s="52"/>
      <c r="AK85" s="52"/>
      <c r="AL85" s="52"/>
      <c r="AM85" s="52"/>
      <c r="AN85" s="52"/>
      <c r="AO85" s="52"/>
      <c r="AP85" s="52"/>
      <c r="AQ85" s="52"/>
      <c r="AR85" s="52"/>
      <c r="AS85" s="52"/>
      <c r="AT85" s="52"/>
      <c r="AU85" s="52"/>
      <c r="AV85" s="52"/>
      <c r="AW85" s="52"/>
      <c r="AX85" s="52"/>
      <c r="AY85" s="52"/>
      <c r="AZ85" s="52"/>
      <c r="BA85" s="52"/>
      <c r="BB85" s="52"/>
      <c r="BC85" s="52"/>
      <c r="BD85" s="52"/>
      <c r="BE85" s="52"/>
      <c r="BF85" s="52"/>
      <c r="BG85" s="52"/>
      <c r="BH85" s="52"/>
      <c r="BI85" s="52"/>
      <c r="BJ85" s="52"/>
      <c r="BK85" s="52"/>
      <c r="BL85" s="52"/>
      <c r="BM85" s="52"/>
      <c r="BN85" s="52"/>
      <c r="BO85" s="52"/>
      <c r="BP85" s="52"/>
      <c r="BQ85" s="52"/>
      <c r="BR85" s="52"/>
      <c r="BS85" s="52"/>
      <c r="BT85" s="52"/>
      <c r="BU85" s="52"/>
      <c r="BV85" s="52"/>
      <c r="BW85" s="52"/>
    </row>
    <row r="86" spans="2:75" ht="12.6" x14ac:dyDescent="0.25">
      <c r="C86" s="52" t="s">
        <v>410</v>
      </c>
      <c r="D86" s="52"/>
      <c r="E86" s="52"/>
      <c r="F86" s="52"/>
      <c r="G86" s="52"/>
      <c r="H86" s="52"/>
      <c r="I86" s="52"/>
      <c r="J86" s="52"/>
      <c r="K86" s="52"/>
      <c r="L86" s="52"/>
      <c r="M86" s="52"/>
      <c r="N86" s="52"/>
      <c r="O86" s="52"/>
      <c r="P86" s="52"/>
      <c r="Q86" s="52"/>
      <c r="R86" s="52"/>
      <c r="S86" s="52"/>
      <c r="T86" s="52"/>
      <c r="U86" s="52"/>
      <c r="V86" s="52"/>
      <c r="W86" s="52"/>
      <c r="X86" s="52"/>
      <c r="Y86" s="52"/>
      <c r="Z86" s="52"/>
      <c r="AA86" s="52"/>
      <c r="AB86" s="52"/>
      <c r="AC86" s="52"/>
      <c r="AD86" s="52"/>
      <c r="AE86" s="52"/>
      <c r="AF86" s="52"/>
      <c r="AG86" s="52"/>
      <c r="AH86" s="52"/>
      <c r="AI86" s="52"/>
      <c r="AJ86" s="52"/>
      <c r="AK86" s="52"/>
      <c r="AL86" s="52"/>
      <c r="AM86" s="52"/>
      <c r="AN86" s="52"/>
      <c r="AO86" s="52"/>
      <c r="AP86" s="52"/>
      <c r="AQ86" s="52"/>
      <c r="AR86" s="52"/>
      <c r="AS86" s="52"/>
      <c r="AT86" s="52"/>
      <c r="AU86" s="52"/>
      <c r="AV86" s="52"/>
      <c r="AW86" s="52"/>
      <c r="AX86" s="52"/>
      <c r="AY86" s="52"/>
      <c r="AZ86" s="52"/>
      <c r="BA86" s="52"/>
      <c r="BB86" s="52"/>
      <c r="BC86" s="52"/>
      <c r="BD86" s="52"/>
      <c r="BE86" s="52"/>
      <c r="BF86" s="52"/>
      <c r="BG86" s="52"/>
      <c r="BH86" s="52"/>
      <c r="BI86" s="52"/>
      <c r="BJ86" s="52"/>
      <c r="BK86" s="52"/>
      <c r="BL86" s="52"/>
      <c r="BM86" s="52"/>
      <c r="BN86" s="52"/>
      <c r="BO86" s="52"/>
      <c r="BP86" s="52"/>
      <c r="BQ86" s="52"/>
      <c r="BR86" s="52"/>
      <c r="BS86" s="52"/>
      <c r="BT86" s="52"/>
      <c r="BU86" s="52"/>
      <c r="BV86" s="52"/>
      <c r="BW86" s="52"/>
    </row>
    <row r="87" spans="2:75" ht="12.6" x14ac:dyDescent="0.25">
      <c r="C87" s="52" t="s">
        <v>411</v>
      </c>
      <c r="D87" s="52"/>
      <c r="E87" s="52"/>
      <c r="F87" s="52"/>
      <c r="G87" s="52"/>
      <c r="H87" s="52"/>
      <c r="I87" s="52"/>
      <c r="J87" s="52"/>
      <c r="K87" s="52"/>
      <c r="L87" s="52"/>
      <c r="M87" s="52"/>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52"/>
      <c r="AQ87" s="52"/>
      <c r="AR87" s="52"/>
      <c r="AS87" s="52"/>
      <c r="AT87" s="52"/>
      <c r="AU87" s="52"/>
      <c r="AV87" s="52"/>
      <c r="AW87" s="52"/>
      <c r="AX87" s="52"/>
      <c r="AY87" s="52"/>
      <c r="AZ87" s="52"/>
      <c r="BA87" s="52"/>
      <c r="BB87" s="52"/>
      <c r="BC87" s="52"/>
      <c r="BD87" s="52"/>
      <c r="BE87" s="52"/>
      <c r="BF87" s="52"/>
      <c r="BG87" s="52"/>
      <c r="BH87" s="52"/>
      <c r="BI87" s="52"/>
      <c r="BJ87" s="52"/>
      <c r="BK87" s="52"/>
      <c r="BL87" s="52"/>
      <c r="BM87" s="52"/>
      <c r="BN87" s="52"/>
      <c r="BO87" s="52"/>
      <c r="BP87" s="52"/>
      <c r="BQ87" s="52"/>
      <c r="BR87" s="52"/>
      <c r="BS87" s="52"/>
      <c r="BT87" s="52"/>
      <c r="BU87" s="52"/>
      <c r="BV87" s="52"/>
      <c r="BW87" s="52"/>
    </row>
    <row r="89" spans="2:75" ht="12.6" x14ac:dyDescent="0.25">
      <c r="B89" s="49" t="s">
        <v>412</v>
      </c>
      <c r="C89" s="49"/>
      <c r="D89" s="49"/>
      <c r="E89" s="49"/>
      <c r="F89" s="49"/>
      <c r="G89" s="49"/>
      <c r="H89" s="49"/>
      <c r="I89" s="49"/>
      <c r="J89" s="49"/>
      <c r="K89" s="49"/>
      <c r="L89" s="49"/>
      <c r="M89" s="49"/>
      <c r="N89" s="49"/>
      <c r="O89" s="49"/>
      <c r="P89" s="49"/>
      <c r="Q89" s="49"/>
      <c r="R89" s="49"/>
      <c r="S89" s="49"/>
      <c r="T89" s="49"/>
      <c r="U89" s="49"/>
      <c r="V89" s="49"/>
      <c r="W89" s="49"/>
      <c r="X89" s="49"/>
      <c r="Y89" s="49"/>
      <c r="Z89" s="49"/>
      <c r="AA89" s="49"/>
      <c r="AB89" s="49"/>
      <c r="AC89" s="49"/>
      <c r="AD89" s="49"/>
      <c r="AE89" s="49"/>
      <c r="AF89" s="49"/>
      <c r="AG89" s="49"/>
      <c r="AH89" s="49"/>
      <c r="AI89" s="49"/>
      <c r="AJ89" s="49"/>
      <c r="AK89" s="49"/>
      <c r="AL89" s="49"/>
      <c r="AM89" s="49"/>
      <c r="AN89" s="49"/>
      <c r="AO89" s="49"/>
      <c r="AP89" s="49"/>
      <c r="AQ89" s="49"/>
      <c r="AR89" s="49"/>
      <c r="AS89" s="49"/>
      <c r="AT89" s="49"/>
      <c r="AU89" s="49"/>
      <c r="AV89" s="49"/>
      <c r="AW89" s="49"/>
      <c r="AX89" s="49"/>
      <c r="AY89" s="49"/>
      <c r="AZ89" s="49"/>
      <c r="BA89" s="49"/>
      <c r="BB89" s="49"/>
      <c r="BC89" s="49"/>
      <c r="BD89" s="49"/>
      <c r="BE89" s="49"/>
      <c r="BF89" s="49"/>
      <c r="BG89" s="49"/>
      <c r="BH89" s="49"/>
      <c r="BI89" s="49"/>
      <c r="BJ89" s="49"/>
      <c r="BK89" s="49"/>
      <c r="BL89" s="49"/>
      <c r="BM89" s="49"/>
      <c r="BN89" s="49"/>
      <c r="BO89" s="49"/>
      <c r="BP89" s="49"/>
      <c r="BQ89" s="49"/>
      <c r="BR89" s="49"/>
      <c r="BS89" s="49"/>
      <c r="BT89" s="49"/>
      <c r="BU89" s="49"/>
      <c r="BV89" s="49"/>
      <c r="BW89" s="49"/>
    </row>
    <row r="90" spans="2:75" ht="12.6" x14ac:dyDescent="0.25">
      <c r="B90" s="49"/>
      <c r="C90" s="49"/>
      <c r="D90" s="49"/>
      <c r="E90" s="49"/>
      <c r="F90" s="49"/>
      <c r="G90" s="49"/>
      <c r="H90" s="49"/>
      <c r="I90" s="49"/>
      <c r="J90" s="49"/>
      <c r="K90" s="49"/>
      <c r="L90" s="49"/>
      <c r="M90" s="49"/>
      <c r="N90" s="49"/>
      <c r="O90" s="49"/>
      <c r="P90" s="49"/>
      <c r="Q90" s="49"/>
      <c r="R90" s="49"/>
      <c r="S90" s="49"/>
      <c r="T90" s="49"/>
      <c r="U90" s="49"/>
      <c r="V90" s="49"/>
      <c r="W90" s="49"/>
      <c r="X90" s="49"/>
      <c r="Y90" s="49"/>
      <c r="Z90" s="49"/>
      <c r="AA90" s="49"/>
      <c r="AB90" s="49"/>
      <c r="AC90" s="49"/>
      <c r="AD90" s="49"/>
      <c r="AE90" s="49"/>
      <c r="AF90" s="49"/>
      <c r="AG90" s="49"/>
      <c r="AH90" s="49"/>
      <c r="AI90" s="49"/>
      <c r="AJ90" s="49"/>
      <c r="AK90" s="49"/>
      <c r="AL90" s="49"/>
      <c r="AM90" s="49"/>
      <c r="AN90" s="49"/>
      <c r="AO90" s="49"/>
      <c r="AP90" s="49"/>
      <c r="AQ90" s="49"/>
      <c r="AR90" s="49"/>
      <c r="AS90" s="49"/>
      <c r="AT90" s="49"/>
      <c r="AU90" s="49"/>
      <c r="AV90" s="49"/>
      <c r="AW90" s="49"/>
      <c r="AX90" s="49"/>
      <c r="AY90" s="49"/>
      <c r="AZ90" s="49"/>
      <c r="BA90" s="49"/>
      <c r="BB90" s="49"/>
      <c r="BC90" s="49"/>
      <c r="BD90" s="49"/>
      <c r="BE90" s="49"/>
      <c r="BF90" s="49"/>
      <c r="BG90" s="49"/>
      <c r="BH90" s="49"/>
      <c r="BI90" s="49"/>
      <c r="BJ90" s="49"/>
      <c r="BK90" s="49"/>
      <c r="BL90" s="49"/>
      <c r="BM90" s="49"/>
      <c r="BN90" s="49"/>
      <c r="BO90" s="49"/>
      <c r="BP90" s="49"/>
      <c r="BQ90" s="49"/>
      <c r="BR90" s="49"/>
      <c r="BS90" s="49"/>
      <c r="BT90" s="49"/>
      <c r="BU90" s="49"/>
      <c r="BV90" s="49"/>
      <c r="BW90" s="49"/>
    </row>
    <row r="92" spans="2:75" ht="12.6" x14ac:dyDescent="0.25">
      <c r="C92" s="26" t="s">
        <v>413</v>
      </c>
      <c r="D92" s="26"/>
      <c r="E92" s="26"/>
      <c r="F92" s="26"/>
      <c r="G92" s="26"/>
      <c r="H92" s="26"/>
      <c r="I92" s="26"/>
      <c r="J92" s="26"/>
      <c r="K92" s="26"/>
      <c r="L92" s="26"/>
      <c r="M92" s="26" t="s">
        <v>414</v>
      </c>
      <c r="N92" s="26"/>
      <c r="O92" s="26"/>
      <c r="P92" s="26"/>
      <c r="Q92" s="26"/>
      <c r="R92" s="26"/>
      <c r="S92" s="26"/>
      <c r="T92" s="26"/>
      <c r="U92" s="26"/>
      <c r="V92" s="26"/>
      <c r="W92" s="26" t="s">
        <v>415</v>
      </c>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row>
    <row r="93" spans="2:75" ht="12.6" x14ac:dyDescent="0.25">
      <c r="C93" s="50"/>
      <c r="D93" s="50"/>
      <c r="E93" s="50"/>
      <c r="F93" s="50"/>
      <c r="G93" s="50"/>
      <c r="H93" s="50"/>
      <c r="I93" s="50"/>
      <c r="J93" s="50"/>
      <c r="K93" s="50"/>
      <c r="L93" s="50"/>
      <c r="M93" s="51" t="s">
        <v>416</v>
      </c>
      <c r="N93" s="51"/>
      <c r="O93" s="51"/>
      <c r="P93" s="51"/>
      <c r="Q93" s="51"/>
      <c r="R93" s="51"/>
      <c r="S93" s="51"/>
      <c r="T93" s="51"/>
      <c r="U93" s="51"/>
      <c r="V93" s="51"/>
      <c r="W93" s="51" t="s">
        <v>417</v>
      </c>
      <c r="X93" s="51"/>
      <c r="Y93" s="51"/>
      <c r="Z93" s="51"/>
      <c r="AA93" s="51"/>
      <c r="AB93" s="51"/>
      <c r="AC93" s="51"/>
      <c r="AD93" s="51"/>
      <c r="AE93" s="51"/>
      <c r="AF93" s="51"/>
      <c r="AG93" s="51"/>
      <c r="AH93" s="51"/>
      <c r="AI93" s="51"/>
      <c r="AJ93" s="51"/>
      <c r="AK93" s="51"/>
      <c r="AL93" s="51"/>
      <c r="AM93" s="51"/>
      <c r="AN93" s="51"/>
      <c r="AO93" s="51"/>
      <c r="AP93" s="51"/>
      <c r="AQ93" s="51"/>
      <c r="AR93" s="51"/>
      <c r="AS93" s="51"/>
      <c r="AT93" s="51"/>
      <c r="AU93" s="51"/>
      <c r="AV93" s="51"/>
      <c r="AW93" s="51"/>
      <c r="AX93" s="51"/>
      <c r="AY93" s="51"/>
      <c r="AZ93" s="51"/>
      <c r="BA93" s="51"/>
      <c r="BB93" s="51"/>
      <c r="BC93" s="51"/>
      <c r="BD93" s="51"/>
      <c r="BE93" s="51"/>
      <c r="BF93" s="51"/>
      <c r="BG93" s="51"/>
      <c r="BH93" s="51"/>
      <c r="BI93" s="51"/>
      <c r="BJ93" s="51"/>
      <c r="BK93" s="51"/>
      <c r="BL93" s="51"/>
      <c r="BM93" s="51"/>
      <c r="BN93" s="51"/>
      <c r="BO93" s="51"/>
      <c r="BP93" s="51"/>
      <c r="BQ93" s="51"/>
      <c r="BR93" s="51"/>
      <c r="BS93" s="51"/>
      <c r="BT93" s="51"/>
      <c r="BU93" s="51"/>
      <c r="BV93" s="51"/>
      <c r="BW93" s="51"/>
    </row>
    <row r="94" spans="2:75" ht="12.6" x14ac:dyDescent="0.25">
      <c r="C94" s="50"/>
      <c r="D94" s="50"/>
      <c r="E94" s="50"/>
      <c r="F94" s="50"/>
      <c r="G94" s="50"/>
      <c r="H94" s="50"/>
      <c r="I94" s="50"/>
      <c r="J94" s="50"/>
      <c r="K94" s="50"/>
      <c r="L94" s="50"/>
      <c r="M94" s="51" t="s">
        <v>418</v>
      </c>
      <c r="N94" s="51"/>
      <c r="O94" s="51"/>
      <c r="P94" s="51"/>
      <c r="Q94" s="51"/>
      <c r="R94" s="51"/>
      <c r="S94" s="51"/>
      <c r="T94" s="51"/>
      <c r="U94" s="51"/>
      <c r="V94" s="51"/>
      <c r="W94" s="51" t="s">
        <v>419</v>
      </c>
      <c r="X94" s="51"/>
      <c r="Y94" s="51"/>
      <c r="Z94" s="51"/>
      <c r="AA94" s="51"/>
      <c r="AB94" s="51"/>
      <c r="AC94" s="51"/>
      <c r="AD94" s="51"/>
      <c r="AE94" s="51"/>
      <c r="AF94" s="51"/>
      <c r="AG94" s="51"/>
      <c r="AH94" s="51"/>
      <c r="AI94" s="51"/>
      <c r="AJ94" s="51"/>
      <c r="AK94" s="51"/>
      <c r="AL94" s="51"/>
      <c r="AM94" s="51"/>
      <c r="AN94" s="51"/>
      <c r="AO94" s="51"/>
      <c r="AP94" s="51"/>
      <c r="AQ94" s="51"/>
      <c r="AR94" s="51"/>
      <c r="AS94" s="51"/>
      <c r="AT94" s="51"/>
      <c r="AU94" s="51"/>
      <c r="AV94" s="51"/>
      <c r="AW94" s="51"/>
      <c r="AX94" s="51"/>
      <c r="AY94" s="51"/>
      <c r="AZ94" s="51"/>
      <c r="BA94" s="51"/>
      <c r="BB94" s="51"/>
      <c r="BC94" s="51"/>
      <c r="BD94" s="51"/>
      <c r="BE94" s="51"/>
      <c r="BF94" s="51"/>
      <c r="BG94" s="51"/>
      <c r="BH94" s="51"/>
      <c r="BI94" s="51"/>
      <c r="BJ94" s="51"/>
      <c r="BK94" s="51"/>
      <c r="BL94" s="51"/>
      <c r="BM94" s="51"/>
      <c r="BN94" s="51"/>
      <c r="BO94" s="51"/>
      <c r="BP94" s="51"/>
      <c r="BQ94" s="51"/>
      <c r="BR94" s="51"/>
      <c r="BS94" s="51"/>
      <c r="BT94" s="51"/>
      <c r="BU94" s="51"/>
      <c r="BV94" s="51"/>
      <c r="BW94" s="51"/>
    </row>
    <row r="95" spans="2:75" ht="12.6" x14ac:dyDescent="0.25">
      <c r="C95" s="50"/>
      <c r="D95" s="50"/>
      <c r="E95" s="50"/>
      <c r="F95" s="50"/>
      <c r="G95" s="50"/>
      <c r="H95" s="50"/>
      <c r="I95" s="50"/>
      <c r="J95" s="50"/>
      <c r="K95" s="50"/>
      <c r="L95" s="50"/>
      <c r="M95" s="51" t="s">
        <v>420</v>
      </c>
      <c r="N95" s="51"/>
      <c r="O95" s="51"/>
      <c r="P95" s="51"/>
      <c r="Q95" s="51"/>
      <c r="R95" s="51"/>
      <c r="S95" s="51"/>
      <c r="T95" s="51"/>
      <c r="U95" s="51"/>
      <c r="V95" s="51"/>
      <c r="W95" s="51" t="s">
        <v>421</v>
      </c>
      <c r="X95" s="51"/>
      <c r="Y95" s="51"/>
      <c r="Z95" s="51"/>
      <c r="AA95" s="51"/>
      <c r="AB95" s="51"/>
      <c r="AC95" s="51"/>
      <c r="AD95" s="51"/>
      <c r="AE95" s="51"/>
      <c r="AF95" s="51"/>
      <c r="AG95" s="51"/>
      <c r="AH95" s="51"/>
      <c r="AI95" s="51"/>
      <c r="AJ95" s="51"/>
      <c r="AK95" s="51"/>
      <c r="AL95" s="51"/>
      <c r="AM95" s="51"/>
      <c r="AN95" s="51"/>
      <c r="AO95" s="51"/>
      <c r="AP95" s="51"/>
      <c r="AQ95" s="51"/>
      <c r="AR95" s="51"/>
      <c r="AS95" s="51"/>
      <c r="AT95" s="51"/>
      <c r="AU95" s="51"/>
      <c r="AV95" s="51"/>
      <c r="AW95" s="51"/>
      <c r="AX95" s="51"/>
      <c r="AY95" s="51"/>
      <c r="AZ95" s="51"/>
      <c r="BA95" s="51"/>
      <c r="BB95" s="51"/>
      <c r="BC95" s="51"/>
      <c r="BD95" s="51"/>
      <c r="BE95" s="51"/>
      <c r="BF95" s="51"/>
      <c r="BG95" s="51"/>
      <c r="BH95" s="51"/>
      <c r="BI95" s="51"/>
      <c r="BJ95" s="51"/>
      <c r="BK95" s="51"/>
      <c r="BL95" s="51"/>
      <c r="BM95" s="51"/>
      <c r="BN95" s="51"/>
      <c r="BO95" s="51"/>
      <c r="BP95" s="51"/>
      <c r="BQ95" s="51"/>
      <c r="BR95" s="51"/>
      <c r="BS95" s="51"/>
      <c r="BT95" s="51"/>
      <c r="BU95" s="51"/>
      <c r="BV95" s="51"/>
      <c r="BW95" s="51"/>
    </row>
    <row r="96" spans="2:75" ht="12.6" x14ac:dyDescent="0.25">
      <c r="C96" s="50"/>
      <c r="D96" s="50"/>
      <c r="E96" s="50"/>
      <c r="F96" s="50"/>
      <c r="G96" s="50"/>
      <c r="H96" s="50"/>
      <c r="I96" s="50"/>
      <c r="J96" s="50"/>
      <c r="K96" s="50"/>
      <c r="L96" s="50"/>
      <c r="M96" s="51" t="s">
        <v>422</v>
      </c>
      <c r="N96" s="51"/>
      <c r="O96" s="51"/>
      <c r="P96" s="51"/>
      <c r="Q96" s="51"/>
      <c r="R96" s="51"/>
      <c r="S96" s="51"/>
      <c r="T96" s="51"/>
      <c r="U96" s="51"/>
      <c r="V96" s="51"/>
      <c r="W96" s="51" t="s">
        <v>423</v>
      </c>
      <c r="X96" s="51"/>
      <c r="Y96" s="51"/>
      <c r="Z96" s="51"/>
      <c r="AA96" s="51"/>
      <c r="AB96" s="51"/>
      <c r="AC96" s="51"/>
      <c r="AD96" s="51"/>
      <c r="AE96" s="51"/>
      <c r="AF96" s="51"/>
      <c r="AG96" s="51"/>
      <c r="AH96" s="51"/>
      <c r="AI96" s="51"/>
      <c r="AJ96" s="51"/>
      <c r="AK96" s="51"/>
      <c r="AL96" s="51"/>
      <c r="AM96" s="51"/>
      <c r="AN96" s="51"/>
      <c r="AO96" s="51"/>
      <c r="AP96" s="51"/>
      <c r="AQ96" s="51"/>
      <c r="AR96" s="51"/>
      <c r="AS96" s="51"/>
      <c r="AT96" s="51"/>
      <c r="AU96" s="51"/>
      <c r="AV96" s="51"/>
      <c r="AW96" s="51"/>
      <c r="AX96" s="51"/>
      <c r="AY96" s="51"/>
      <c r="AZ96" s="51"/>
      <c r="BA96" s="51"/>
      <c r="BB96" s="51"/>
      <c r="BC96" s="51"/>
      <c r="BD96" s="51"/>
      <c r="BE96" s="51"/>
      <c r="BF96" s="51"/>
      <c r="BG96" s="51"/>
      <c r="BH96" s="51"/>
      <c r="BI96" s="51"/>
      <c r="BJ96" s="51"/>
      <c r="BK96" s="51"/>
      <c r="BL96" s="51"/>
      <c r="BM96" s="51"/>
      <c r="BN96" s="51"/>
      <c r="BO96" s="51"/>
      <c r="BP96" s="51"/>
      <c r="BQ96" s="51"/>
      <c r="BR96" s="51"/>
      <c r="BS96" s="51"/>
      <c r="BT96" s="51"/>
      <c r="BU96" s="51"/>
      <c r="BV96" s="51"/>
      <c r="BW96" s="51"/>
    </row>
    <row r="97" spans="2:75" ht="12.6" x14ac:dyDescent="0.25">
      <c r="C97" s="50"/>
      <c r="D97" s="50"/>
      <c r="E97" s="50"/>
      <c r="F97" s="50"/>
      <c r="G97" s="50"/>
      <c r="H97" s="50"/>
      <c r="I97" s="50"/>
      <c r="J97" s="50"/>
      <c r="K97" s="50"/>
      <c r="L97" s="50"/>
      <c r="M97" s="51" t="s">
        <v>424</v>
      </c>
      <c r="N97" s="51"/>
      <c r="O97" s="51"/>
      <c r="P97" s="51"/>
      <c r="Q97" s="51"/>
      <c r="R97" s="51"/>
      <c r="S97" s="51"/>
      <c r="T97" s="51"/>
      <c r="U97" s="51"/>
      <c r="V97" s="51"/>
      <c r="W97" s="51" t="s">
        <v>425</v>
      </c>
      <c r="X97" s="51"/>
      <c r="Y97" s="51"/>
      <c r="Z97" s="51"/>
      <c r="AA97" s="51"/>
      <c r="AB97" s="51"/>
      <c r="AC97" s="51"/>
      <c r="AD97" s="51"/>
      <c r="AE97" s="51"/>
      <c r="AF97" s="51"/>
      <c r="AG97" s="51"/>
      <c r="AH97" s="51"/>
      <c r="AI97" s="51"/>
      <c r="AJ97" s="51"/>
      <c r="AK97" s="51"/>
      <c r="AL97" s="51"/>
      <c r="AM97" s="51"/>
      <c r="AN97" s="51"/>
      <c r="AO97" s="51"/>
      <c r="AP97" s="51"/>
      <c r="AQ97" s="51"/>
      <c r="AR97" s="51"/>
      <c r="AS97" s="51"/>
      <c r="AT97" s="51"/>
      <c r="AU97" s="51"/>
      <c r="AV97" s="51"/>
      <c r="AW97" s="51"/>
      <c r="AX97" s="51"/>
      <c r="AY97" s="51"/>
      <c r="AZ97" s="51"/>
      <c r="BA97" s="51"/>
      <c r="BB97" s="51"/>
      <c r="BC97" s="51"/>
      <c r="BD97" s="51"/>
      <c r="BE97" s="51"/>
      <c r="BF97" s="51"/>
      <c r="BG97" s="51"/>
      <c r="BH97" s="51"/>
      <c r="BI97" s="51"/>
      <c r="BJ97" s="51"/>
      <c r="BK97" s="51"/>
      <c r="BL97" s="51"/>
      <c r="BM97" s="51"/>
      <c r="BN97" s="51"/>
      <c r="BO97" s="51"/>
      <c r="BP97" s="51"/>
      <c r="BQ97" s="51"/>
      <c r="BR97" s="51"/>
      <c r="BS97" s="51"/>
      <c r="BT97" s="51"/>
      <c r="BU97" s="51"/>
      <c r="BV97" s="51"/>
      <c r="BW97" s="51"/>
    </row>
    <row r="98" spans="2:75" ht="12.6" x14ac:dyDescent="0.25">
      <c r="C98" s="50"/>
      <c r="D98" s="50"/>
      <c r="E98" s="50"/>
      <c r="F98" s="50"/>
      <c r="G98" s="50"/>
      <c r="H98" s="50"/>
      <c r="I98" s="50"/>
      <c r="J98" s="50"/>
      <c r="K98" s="50"/>
      <c r="L98" s="50"/>
      <c r="M98" s="51" t="s">
        <v>426</v>
      </c>
      <c r="N98" s="51"/>
      <c r="O98" s="51"/>
      <c r="P98" s="51"/>
      <c r="Q98" s="51"/>
      <c r="R98" s="51"/>
      <c r="S98" s="51"/>
      <c r="T98" s="51"/>
      <c r="U98" s="51"/>
      <c r="V98" s="51"/>
      <c r="W98" s="51" t="s">
        <v>427</v>
      </c>
      <c r="X98" s="51"/>
      <c r="Y98" s="51"/>
      <c r="Z98" s="51"/>
      <c r="AA98" s="51"/>
      <c r="AB98" s="51"/>
      <c r="AC98" s="51"/>
      <c r="AD98" s="51"/>
      <c r="AE98" s="51"/>
      <c r="AF98" s="51"/>
      <c r="AG98" s="51"/>
      <c r="AH98" s="51"/>
      <c r="AI98" s="51"/>
      <c r="AJ98" s="51"/>
      <c r="AK98" s="51"/>
      <c r="AL98" s="51"/>
      <c r="AM98" s="51"/>
      <c r="AN98" s="51"/>
      <c r="AO98" s="51"/>
      <c r="AP98" s="51"/>
      <c r="AQ98" s="51"/>
      <c r="AR98" s="51"/>
      <c r="AS98" s="51"/>
      <c r="AT98" s="51"/>
      <c r="AU98" s="51"/>
      <c r="AV98" s="51"/>
      <c r="AW98" s="51"/>
      <c r="AX98" s="51"/>
      <c r="AY98" s="51"/>
      <c r="AZ98" s="51"/>
      <c r="BA98" s="51"/>
      <c r="BB98" s="51"/>
      <c r="BC98" s="51"/>
      <c r="BD98" s="51"/>
      <c r="BE98" s="51"/>
      <c r="BF98" s="51"/>
      <c r="BG98" s="51"/>
      <c r="BH98" s="51"/>
      <c r="BI98" s="51"/>
      <c r="BJ98" s="51"/>
      <c r="BK98" s="51"/>
      <c r="BL98" s="51"/>
      <c r="BM98" s="51"/>
      <c r="BN98" s="51"/>
      <c r="BO98" s="51"/>
      <c r="BP98" s="51"/>
      <c r="BQ98" s="51"/>
      <c r="BR98" s="51"/>
      <c r="BS98" s="51"/>
      <c r="BT98" s="51"/>
      <c r="BU98" s="51"/>
      <c r="BV98" s="51"/>
      <c r="BW98" s="51"/>
    </row>
    <row r="99" spans="2:75" ht="12.6" x14ac:dyDescent="0.25">
      <c r="C99" s="50"/>
      <c r="D99" s="50"/>
      <c r="E99" s="50"/>
      <c r="F99" s="50"/>
      <c r="G99" s="50"/>
      <c r="H99" s="50"/>
      <c r="I99" s="50"/>
      <c r="J99" s="50"/>
      <c r="K99" s="50"/>
      <c r="L99" s="50"/>
      <c r="M99" s="51" t="s">
        <v>428</v>
      </c>
      <c r="N99" s="51"/>
      <c r="O99" s="51"/>
      <c r="P99" s="51"/>
      <c r="Q99" s="51"/>
      <c r="R99" s="51"/>
      <c r="S99" s="51"/>
      <c r="T99" s="51"/>
      <c r="U99" s="51"/>
      <c r="V99" s="51"/>
      <c r="W99" s="51" t="s">
        <v>143</v>
      </c>
      <c r="X99" s="51"/>
      <c r="Y99" s="51"/>
      <c r="Z99" s="51"/>
      <c r="AA99" s="51"/>
      <c r="AB99" s="51"/>
      <c r="AC99" s="51"/>
      <c r="AD99" s="51"/>
      <c r="AE99" s="51"/>
      <c r="AF99" s="51"/>
      <c r="AG99" s="51"/>
      <c r="AH99" s="51"/>
      <c r="AI99" s="51"/>
      <c r="AJ99" s="51"/>
      <c r="AK99" s="51"/>
      <c r="AL99" s="51"/>
      <c r="AM99" s="51"/>
      <c r="AN99" s="51"/>
      <c r="AO99" s="51"/>
      <c r="AP99" s="51"/>
      <c r="AQ99" s="51"/>
      <c r="AR99" s="51"/>
      <c r="AS99" s="51"/>
      <c r="AT99" s="51"/>
      <c r="AU99" s="51"/>
      <c r="AV99" s="51"/>
      <c r="AW99" s="51"/>
      <c r="AX99" s="51"/>
      <c r="AY99" s="51"/>
      <c r="AZ99" s="51"/>
      <c r="BA99" s="51"/>
      <c r="BB99" s="51"/>
      <c r="BC99" s="51"/>
      <c r="BD99" s="51"/>
      <c r="BE99" s="51"/>
      <c r="BF99" s="51"/>
      <c r="BG99" s="51"/>
      <c r="BH99" s="51"/>
      <c r="BI99" s="51"/>
      <c r="BJ99" s="51"/>
      <c r="BK99" s="51"/>
      <c r="BL99" s="51"/>
      <c r="BM99" s="51"/>
      <c r="BN99" s="51"/>
      <c r="BO99" s="51"/>
      <c r="BP99" s="51"/>
      <c r="BQ99" s="51"/>
      <c r="BR99" s="51"/>
      <c r="BS99" s="51"/>
      <c r="BT99" s="51"/>
      <c r="BU99" s="51"/>
      <c r="BV99" s="51"/>
      <c r="BW99" s="51"/>
    </row>
    <row r="100" spans="2:75" ht="12.6" x14ac:dyDescent="0.25">
      <c r="C100" s="50"/>
      <c r="D100" s="50"/>
      <c r="E100" s="50"/>
      <c r="F100" s="50"/>
      <c r="G100" s="50"/>
      <c r="H100" s="50"/>
      <c r="I100" s="50"/>
      <c r="J100" s="50"/>
      <c r="K100" s="50"/>
      <c r="L100" s="50"/>
      <c r="M100" s="51" t="s">
        <v>148</v>
      </c>
      <c r="N100" s="51"/>
      <c r="O100" s="51"/>
      <c r="P100" s="51"/>
      <c r="Q100" s="51"/>
      <c r="R100" s="51"/>
      <c r="S100" s="51"/>
      <c r="T100" s="51"/>
      <c r="U100" s="51"/>
      <c r="V100" s="51"/>
      <c r="W100" s="51" t="s">
        <v>429</v>
      </c>
      <c r="X100" s="51"/>
      <c r="Y100" s="51"/>
      <c r="Z100" s="51"/>
      <c r="AA100" s="51"/>
      <c r="AB100" s="51"/>
      <c r="AC100" s="51"/>
      <c r="AD100" s="51"/>
      <c r="AE100" s="51"/>
      <c r="AF100" s="51"/>
      <c r="AG100" s="51"/>
      <c r="AH100" s="51"/>
      <c r="AI100" s="51"/>
      <c r="AJ100" s="51"/>
      <c r="AK100" s="51"/>
      <c r="AL100" s="51"/>
      <c r="AM100" s="51"/>
      <c r="AN100" s="51"/>
      <c r="AO100" s="51"/>
      <c r="AP100" s="51"/>
      <c r="AQ100" s="51"/>
      <c r="AR100" s="51"/>
      <c r="AS100" s="51"/>
      <c r="AT100" s="51"/>
      <c r="AU100" s="51"/>
      <c r="AV100" s="51"/>
      <c r="AW100" s="51"/>
      <c r="AX100" s="51"/>
      <c r="AY100" s="51"/>
      <c r="AZ100" s="51"/>
      <c r="BA100" s="51"/>
      <c r="BB100" s="51"/>
      <c r="BC100" s="51"/>
      <c r="BD100" s="51"/>
      <c r="BE100" s="51"/>
      <c r="BF100" s="51"/>
      <c r="BG100" s="51"/>
      <c r="BH100" s="51"/>
      <c r="BI100" s="51"/>
      <c r="BJ100" s="51"/>
      <c r="BK100" s="51"/>
      <c r="BL100" s="51"/>
      <c r="BM100" s="51"/>
      <c r="BN100" s="51"/>
      <c r="BO100" s="51"/>
      <c r="BP100" s="51"/>
      <c r="BQ100" s="51"/>
      <c r="BR100" s="51"/>
      <c r="BS100" s="51"/>
      <c r="BT100" s="51"/>
      <c r="BU100" s="51"/>
      <c r="BV100" s="51"/>
      <c r="BW100" s="51"/>
    </row>
    <row r="102" spans="2:75" ht="12.6" x14ac:dyDescent="0.25">
      <c r="C102" s="26" t="s">
        <v>392</v>
      </c>
      <c r="D102" s="26"/>
      <c r="E102" s="26"/>
      <c r="F102" s="26"/>
      <c r="G102" s="26"/>
      <c r="H102" s="26"/>
      <c r="I102" s="26"/>
      <c r="J102" s="26"/>
      <c r="K102" s="26"/>
      <c r="L102" s="26"/>
      <c r="M102" s="26"/>
      <c r="N102" s="26"/>
      <c r="O102" s="26"/>
      <c r="P102" s="26"/>
      <c r="Q102" s="26"/>
      <c r="R102" s="26"/>
      <c r="S102" s="26" t="s">
        <v>430</v>
      </c>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row>
    <row r="103" spans="2:75" ht="12.6" x14ac:dyDescent="0.25">
      <c r="C103" s="50" t="s">
        <v>155</v>
      </c>
      <c r="D103" s="50"/>
      <c r="E103" s="50"/>
      <c r="F103" s="50"/>
      <c r="G103" s="50"/>
      <c r="H103" s="50"/>
      <c r="I103" s="50"/>
      <c r="J103" s="50"/>
      <c r="K103" s="50"/>
      <c r="L103" s="50"/>
      <c r="M103" s="50"/>
      <c r="N103" s="50"/>
      <c r="O103" s="50"/>
      <c r="P103" s="50"/>
      <c r="Q103" s="50"/>
      <c r="R103" s="50"/>
      <c r="S103" s="51" t="s">
        <v>431</v>
      </c>
      <c r="T103" s="51"/>
      <c r="U103" s="51"/>
      <c r="V103" s="51"/>
      <c r="W103" s="51"/>
      <c r="X103" s="51"/>
      <c r="Y103" s="51"/>
      <c r="Z103" s="51"/>
      <c r="AA103" s="51"/>
      <c r="AB103" s="51"/>
      <c r="AC103" s="51"/>
      <c r="AD103" s="51"/>
      <c r="AE103" s="51"/>
      <c r="AF103" s="51"/>
      <c r="AG103" s="51"/>
      <c r="AH103" s="51"/>
      <c r="AI103" s="51"/>
      <c r="AJ103" s="51"/>
      <c r="AK103" s="51"/>
      <c r="AL103" s="51"/>
      <c r="AM103" s="51"/>
      <c r="AN103" s="51"/>
      <c r="AO103" s="51"/>
      <c r="AP103" s="51"/>
      <c r="AQ103" s="51"/>
      <c r="AR103" s="51"/>
      <c r="AS103" s="51"/>
      <c r="AT103" s="51"/>
      <c r="AU103" s="51"/>
      <c r="AV103" s="51"/>
      <c r="AW103" s="51"/>
      <c r="AX103" s="51"/>
      <c r="AY103" s="51"/>
      <c r="AZ103" s="51"/>
      <c r="BA103" s="51"/>
      <c r="BB103" s="51"/>
      <c r="BC103" s="51"/>
      <c r="BD103" s="51"/>
      <c r="BE103" s="51"/>
      <c r="BF103" s="51"/>
      <c r="BG103" s="51"/>
      <c r="BH103" s="51"/>
      <c r="BI103" s="51"/>
      <c r="BJ103" s="51"/>
      <c r="BK103" s="51"/>
      <c r="BL103" s="51"/>
      <c r="BM103" s="51"/>
      <c r="BN103" s="51"/>
      <c r="BO103" s="51"/>
      <c r="BP103" s="51"/>
      <c r="BQ103" s="51"/>
      <c r="BR103" s="51"/>
      <c r="BS103" s="51"/>
      <c r="BT103" s="51"/>
      <c r="BU103" s="51"/>
      <c r="BV103" s="51"/>
      <c r="BW103" s="51"/>
    </row>
    <row r="104" spans="2:75" ht="12.6" x14ac:dyDescent="0.25">
      <c r="C104" s="50" t="s">
        <v>158</v>
      </c>
      <c r="D104" s="50"/>
      <c r="E104" s="50"/>
      <c r="F104" s="50"/>
      <c r="G104" s="50"/>
      <c r="H104" s="50"/>
      <c r="I104" s="50"/>
      <c r="J104" s="50"/>
      <c r="K104" s="50"/>
      <c r="L104" s="50"/>
      <c r="M104" s="50"/>
      <c r="N104" s="50"/>
      <c r="O104" s="50"/>
      <c r="P104" s="50"/>
      <c r="Q104" s="50"/>
      <c r="R104" s="50"/>
      <c r="S104" s="51" t="s">
        <v>432</v>
      </c>
      <c r="T104" s="51"/>
      <c r="U104" s="51"/>
      <c r="V104" s="51"/>
      <c r="W104" s="51"/>
      <c r="X104" s="51"/>
      <c r="Y104" s="51"/>
      <c r="Z104" s="51"/>
      <c r="AA104" s="51"/>
      <c r="AB104" s="51"/>
      <c r="AC104" s="51"/>
      <c r="AD104" s="51"/>
      <c r="AE104" s="51"/>
      <c r="AF104" s="51"/>
      <c r="AG104" s="51"/>
      <c r="AH104" s="51"/>
      <c r="AI104" s="51"/>
      <c r="AJ104" s="51"/>
      <c r="AK104" s="51"/>
      <c r="AL104" s="51"/>
      <c r="AM104" s="51"/>
      <c r="AN104" s="51"/>
      <c r="AO104" s="51"/>
      <c r="AP104" s="51"/>
      <c r="AQ104" s="51"/>
      <c r="AR104" s="51"/>
      <c r="AS104" s="51"/>
      <c r="AT104" s="51"/>
      <c r="AU104" s="51"/>
      <c r="AV104" s="51"/>
      <c r="AW104" s="51"/>
      <c r="AX104" s="51"/>
      <c r="AY104" s="51"/>
      <c r="AZ104" s="51"/>
      <c r="BA104" s="51"/>
      <c r="BB104" s="51"/>
      <c r="BC104" s="51"/>
      <c r="BD104" s="51"/>
      <c r="BE104" s="51"/>
      <c r="BF104" s="51"/>
      <c r="BG104" s="51"/>
      <c r="BH104" s="51"/>
      <c r="BI104" s="51"/>
      <c r="BJ104" s="51"/>
      <c r="BK104" s="51"/>
      <c r="BL104" s="51"/>
      <c r="BM104" s="51"/>
      <c r="BN104" s="51"/>
      <c r="BO104" s="51"/>
      <c r="BP104" s="51"/>
      <c r="BQ104" s="51"/>
      <c r="BR104" s="51"/>
      <c r="BS104" s="51"/>
      <c r="BT104" s="51"/>
      <c r="BU104" s="51"/>
      <c r="BV104" s="51"/>
      <c r="BW104" s="51"/>
    </row>
    <row r="105" spans="2:75" ht="12.6" x14ac:dyDescent="0.25">
      <c r="C105" s="50" t="s">
        <v>161</v>
      </c>
      <c r="D105" s="50"/>
      <c r="E105" s="50"/>
      <c r="F105" s="50"/>
      <c r="G105" s="50"/>
      <c r="H105" s="50"/>
      <c r="I105" s="50"/>
      <c r="J105" s="50"/>
      <c r="K105" s="50"/>
      <c r="L105" s="50"/>
      <c r="M105" s="50"/>
      <c r="N105" s="50"/>
      <c r="O105" s="50"/>
      <c r="P105" s="50"/>
      <c r="Q105" s="50"/>
      <c r="R105" s="50"/>
      <c r="S105" s="51" t="s">
        <v>433</v>
      </c>
      <c r="T105" s="51"/>
      <c r="U105" s="51"/>
      <c r="V105" s="51"/>
      <c r="W105" s="51"/>
      <c r="X105" s="51"/>
      <c r="Y105" s="51"/>
      <c r="Z105" s="51"/>
      <c r="AA105" s="51"/>
      <c r="AB105" s="51"/>
      <c r="AC105" s="51"/>
      <c r="AD105" s="51"/>
      <c r="AE105" s="51"/>
      <c r="AF105" s="51"/>
      <c r="AG105" s="51"/>
      <c r="AH105" s="51"/>
      <c r="AI105" s="51"/>
      <c r="AJ105" s="51"/>
      <c r="AK105" s="51"/>
      <c r="AL105" s="51"/>
      <c r="AM105" s="51"/>
      <c r="AN105" s="51"/>
      <c r="AO105" s="51"/>
      <c r="AP105" s="51"/>
      <c r="AQ105" s="51"/>
      <c r="AR105" s="51"/>
      <c r="AS105" s="51"/>
      <c r="AT105" s="51"/>
      <c r="AU105" s="51"/>
      <c r="AV105" s="51"/>
      <c r="AW105" s="51"/>
      <c r="AX105" s="51"/>
      <c r="AY105" s="51"/>
      <c r="AZ105" s="51"/>
      <c r="BA105" s="51"/>
      <c r="BB105" s="51"/>
      <c r="BC105" s="51"/>
      <c r="BD105" s="51"/>
      <c r="BE105" s="51"/>
      <c r="BF105" s="51"/>
      <c r="BG105" s="51"/>
      <c r="BH105" s="51"/>
      <c r="BI105" s="51"/>
      <c r="BJ105" s="51"/>
      <c r="BK105" s="51"/>
      <c r="BL105" s="51"/>
      <c r="BM105" s="51"/>
      <c r="BN105" s="51"/>
      <c r="BO105" s="51"/>
      <c r="BP105" s="51"/>
      <c r="BQ105" s="51"/>
      <c r="BR105" s="51"/>
      <c r="BS105" s="51"/>
      <c r="BT105" s="51"/>
      <c r="BU105" s="51"/>
      <c r="BV105" s="51"/>
      <c r="BW105" s="51"/>
    </row>
    <row r="106" spans="2:75" ht="12.6" x14ac:dyDescent="0.25">
      <c r="C106" s="50" t="s">
        <v>434</v>
      </c>
      <c r="D106" s="50"/>
      <c r="E106" s="50"/>
      <c r="F106" s="50"/>
      <c r="G106" s="50"/>
      <c r="H106" s="50"/>
      <c r="I106" s="50"/>
      <c r="J106" s="50"/>
      <c r="K106" s="50"/>
      <c r="L106" s="50"/>
      <c r="M106" s="50"/>
      <c r="N106" s="50"/>
      <c r="O106" s="50"/>
      <c r="P106" s="50"/>
      <c r="Q106" s="50"/>
      <c r="R106" s="50"/>
      <c r="S106" s="51" t="s">
        <v>435</v>
      </c>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c r="AV106" s="51"/>
      <c r="AW106" s="51"/>
      <c r="AX106" s="51"/>
      <c r="AY106" s="51"/>
      <c r="AZ106" s="51"/>
      <c r="BA106" s="51"/>
      <c r="BB106" s="51"/>
      <c r="BC106" s="51"/>
      <c r="BD106" s="51"/>
      <c r="BE106" s="51"/>
      <c r="BF106" s="51"/>
      <c r="BG106" s="51"/>
      <c r="BH106" s="51"/>
      <c r="BI106" s="51"/>
      <c r="BJ106" s="51"/>
      <c r="BK106" s="51"/>
      <c r="BL106" s="51"/>
      <c r="BM106" s="51"/>
      <c r="BN106" s="51"/>
      <c r="BO106" s="51"/>
      <c r="BP106" s="51"/>
      <c r="BQ106" s="51"/>
      <c r="BR106" s="51"/>
      <c r="BS106" s="51"/>
      <c r="BT106" s="51"/>
      <c r="BU106" s="51"/>
      <c r="BV106" s="51"/>
      <c r="BW106" s="51"/>
    </row>
    <row r="107" spans="2:75" ht="12.6" x14ac:dyDescent="0.25">
      <c r="C107" s="50" t="s">
        <v>436</v>
      </c>
      <c r="D107" s="50"/>
      <c r="E107" s="50"/>
      <c r="F107" s="50"/>
      <c r="G107" s="50"/>
      <c r="H107" s="50"/>
      <c r="I107" s="50"/>
      <c r="J107" s="50"/>
      <c r="K107" s="50"/>
      <c r="L107" s="50"/>
      <c r="M107" s="50"/>
      <c r="N107" s="50"/>
      <c r="O107" s="50"/>
      <c r="P107" s="50"/>
      <c r="Q107" s="50"/>
      <c r="R107" s="50"/>
      <c r="S107" s="51" t="s">
        <v>437</v>
      </c>
      <c r="T107" s="51"/>
      <c r="U107" s="51"/>
      <c r="V107" s="51"/>
      <c r="W107" s="51"/>
      <c r="X107" s="51"/>
      <c r="Y107" s="51"/>
      <c r="Z107" s="51"/>
      <c r="AA107" s="51"/>
      <c r="AB107" s="51"/>
      <c r="AC107" s="51"/>
      <c r="AD107" s="51"/>
      <c r="AE107" s="51"/>
      <c r="AF107" s="51"/>
      <c r="AG107" s="51"/>
      <c r="AH107" s="51"/>
      <c r="AI107" s="51"/>
      <c r="AJ107" s="51"/>
      <c r="AK107" s="51"/>
      <c r="AL107" s="51"/>
      <c r="AM107" s="51"/>
      <c r="AN107" s="51"/>
      <c r="AO107" s="51"/>
      <c r="AP107" s="51"/>
      <c r="AQ107" s="51"/>
      <c r="AR107" s="51"/>
      <c r="AS107" s="51"/>
      <c r="AT107" s="51"/>
      <c r="AU107" s="51"/>
      <c r="AV107" s="51"/>
      <c r="AW107" s="51"/>
      <c r="AX107" s="51"/>
      <c r="AY107" s="51"/>
      <c r="AZ107" s="51"/>
      <c r="BA107" s="51"/>
      <c r="BB107" s="51"/>
      <c r="BC107" s="51"/>
      <c r="BD107" s="51"/>
      <c r="BE107" s="51"/>
      <c r="BF107" s="51"/>
      <c r="BG107" s="51"/>
      <c r="BH107" s="51"/>
      <c r="BI107" s="51"/>
      <c r="BJ107" s="51"/>
      <c r="BK107" s="51"/>
      <c r="BL107" s="51"/>
      <c r="BM107" s="51"/>
      <c r="BN107" s="51"/>
      <c r="BO107" s="51"/>
      <c r="BP107" s="51"/>
      <c r="BQ107" s="51"/>
      <c r="BR107" s="51"/>
      <c r="BS107" s="51"/>
      <c r="BT107" s="51"/>
      <c r="BU107" s="51"/>
      <c r="BV107" s="51"/>
      <c r="BW107" s="51"/>
    </row>
    <row r="109" spans="2:75" ht="12.6" x14ac:dyDescent="0.25">
      <c r="B109" s="49" t="s">
        <v>438</v>
      </c>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c r="AA109" s="49"/>
      <c r="AB109" s="49"/>
      <c r="AC109" s="49"/>
      <c r="AD109" s="49"/>
      <c r="AE109" s="49"/>
      <c r="AF109" s="49"/>
      <c r="AG109" s="49"/>
      <c r="AH109" s="49"/>
      <c r="AI109" s="49"/>
      <c r="AJ109" s="49"/>
      <c r="AK109" s="49"/>
      <c r="AL109" s="49"/>
      <c r="AM109" s="49"/>
      <c r="AN109" s="49"/>
      <c r="AO109" s="49"/>
      <c r="AP109" s="49"/>
      <c r="AQ109" s="49"/>
      <c r="AR109" s="49"/>
      <c r="AS109" s="49"/>
      <c r="AT109" s="49"/>
      <c r="AU109" s="49"/>
      <c r="AV109" s="49"/>
      <c r="AW109" s="49"/>
      <c r="AX109" s="49"/>
      <c r="AY109" s="49"/>
      <c r="AZ109" s="49"/>
      <c r="BA109" s="49"/>
      <c r="BB109" s="49"/>
      <c r="BC109" s="49"/>
      <c r="BD109" s="49"/>
      <c r="BE109" s="49"/>
      <c r="BF109" s="49"/>
      <c r="BG109" s="49"/>
      <c r="BH109" s="49"/>
      <c r="BI109" s="49"/>
      <c r="BJ109" s="49"/>
      <c r="BK109" s="49"/>
      <c r="BL109" s="49"/>
      <c r="BM109" s="49"/>
      <c r="BN109" s="49"/>
      <c r="BO109" s="49"/>
      <c r="BP109" s="49"/>
      <c r="BQ109" s="49"/>
      <c r="BR109" s="49"/>
      <c r="BS109" s="49"/>
      <c r="BT109" s="49"/>
      <c r="BU109" s="49"/>
      <c r="BV109" s="49"/>
      <c r="BW109" s="49"/>
    </row>
    <row r="110" spans="2:75" ht="12.6" x14ac:dyDescent="0.25">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c r="AA110" s="49"/>
      <c r="AB110" s="49"/>
      <c r="AC110" s="49"/>
      <c r="AD110" s="49"/>
      <c r="AE110" s="49"/>
      <c r="AF110" s="49"/>
      <c r="AG110" s="49"/>
      <c r="AH110" s="49"/>
      <c r="AI110" s="49"/>
      <c r="AJ110" s="49"/>
      <c r="AK110" s="49"/>
      <c r="AL110" s="49"/>
      <c r="AM110" s="49"/>
      <c r="AN110" s="49"/>
      <c r="AO110" s="49"/>
      <c r="AP110" s="49"/>
      <c r="AQ110" s="49"/>
      <c r="AR110" s="49"/>
      <c r="AS110" s="49"/>
      <c r="AT110" s="49"/>
      <c r="AU110" s="49"/>
      <c r="AV110" s="49"/>
      <c r="AW110" s="49"/>
      <c r="AX110" s="49"/>
      <c r="AY110" s="49"/>
      <c r="AZ110" s="49"/>
      <c r="BA110" s="49"/>
      <c r="BB110" s="49"/>
      <c r="BC110" s="49"/>
      <c r="BD110" s="49"/>
      <c r="BE110" s="49"/>
      <c r="BF110" s="49"/>
      <c r="BG110" s="49"/>
      <c r="BH110" s="49"/>
      <c r="BI110" s="49"/>
      <c r="BJ110" s="49"/>
      <c r="BK110" s="49"/>
      <c r="BL110" s="49"/>
      <c r="BM110" s="49"/>
      <c r="BN110" s="49"/>
      <c r="BO110" s="49"/>
      <c r="BP110" s="49"/>
      <c r="BQ110" s="49"/>
      <c r="BR110" s="49"/>
      <c r="BS110" s="49"/>
      <c r="BT110" s="49"/>
      <c r="BU110" s="49"/>
      <c r="BV110" s="49"/>
      <c r="BW110" s="49"/>
    </row>
    <row r="112" spans="2:75" ht="12.6" x14ac:dyDescent="0.25">
      <c r="C112" s="52" t="s">
        <v>439</v>
      </c>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2"/>
      <c r="BA112" s="52"/>
      <c r="BB112" s="52"/>
      <c r="BC112" s="52"/>
      <c r="BD112" s="52"/>
      <c r="BE112" s="52"/>
      <c r="BF112" s="52"/>
      <c r="BG112" s="52"/>
      <c r="BH112" s="52"/>
      <c r="BI112" s="52"/>
      <c r="BJ112" s="52"/>
      <c r="BK112" s="52"/>
      <c r="BL112" s="52"/>
      <c r="BM112" s="52"/>
      <c r="BN112" s="52"/>
      <c r="BO112" s="52"/>
      <c r="BP112" s="52"/>
      <c r="BQ112" s="52"/>
      <c r="BR112" s="52"/>
      <c r="BS112" s="52"/>
      <c r="BT112" s="52"/>
      <c r="BU112" s="52"/>
      <c r="BV112" s="52"/>
      <c r="BW112" s="52"/>
    </row>
    <row r="113" spans="2:75" ht="12.6" x14ac:dyDescent="0.25">
      <c r="C113" s="52" t="s">
        <v>440</v>
      </c>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2"/>
      <c r="BA113" s="52"/>
      <c r="BB113" s="52"/>
      <c r="BC113" s="52"/>
      <c r="BD113" s="52"/>
      <c r="BE113" s="52"/>
      <c r="BF113" s="52"/>
      <c r="BG113" s="52"/>
      <c r="BH113" s="52"/>
      <c r="BI113" s="52"/>
      <c r="BJ113" s="52"/>
      <c r="BK113" s="52"/>
      <c r="BL113" s="52"/>
      <c r="BM113" s="52"/>
      <c r="BN113" s="52"/>
      <c r="BO113" s="52"/>
      <c r="BP113" s="52"/>
      <c r="BQ113" s="52"/>
      <c r="BR113" s="52"/>
      <c r="BS113" s="52"/>
      <c r="BT113" s="52"/>
      <c r="BU113" s="52"/>
      <c r="BV113" s="52"/>
      <c r="BW113" s="52"/>
    </row>
    <row r="114" spans="2:75" ht="12.6" x14ac:dyDescent="0.25">
      <c r="C114" s="52" t="s">
        <v>441</v>
      </c>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2"/>
      <c r="BA114" s="52"/>
      <c r="BB114" s="52"/>
      <c r="BC114" s="52"/>
      <c r="BD114" s="52"/>
      <c r="BE114" s="52"/>
      <c r="BF114" s="52"/>
      <c r="BG114" s="52"/>
      <c r="BH114" s="52"/>
      <c r="BI114" s="52"/>
      <c r="BJ114" s="52"/>
      <c r="BK114" s="52"/>
      <c r="BL114" s="52"/>
      <c r="BM114" s="52"/>
      <c r="BN114" s="52"/>
      <c r="BO114" s="52"/>
      <c r="BP114" s="52"/>
      <c r="BQ114" s="52"/>
      <c r="BR114" s="52"/>
      <c r="BS114" s="52"/>
      <c r="BT114" s="52"/>
      <c r="BU114" s="52"/>
      <c r="BV114" s="52"/>
      <c r="BW114" s="52"/>
    </row>
    <row r="115" spans="2:75" ht="12.6" x14ac:dyDescent="0.25">
      <c r="C115" s="52" t="s">
        <v>442</v>
      </c>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c r="AT115" s="52"/>
      <c r="AU115" s="52"/>
      <c r="AV115" s="52"/>
      <c r="AW115" s="52"/>
      <c r="AX115" s="52"/>
      <c r="AY115" s="52"/>
      <c r="AZ115" s="52"/>
      <c r="BA115" s="52"/>
      <c r="BB115" s="52"/>
      <c r="BC115" s="52"/>
      <c r="BD115" s="52"/>
      <c r="BE115" s="52"/>
      <c r="BF115" s="52"/>
      <c r="BG115" s="52"/>
      <c r="BH115" s="52"/>
      <c r="BI115" s="52"/>
      <c r="BJ115" s="52"/>
      <c r="BK115" s="52"/>
      <c r="BL115" s="52"/>
      <c r="BM115" s="52"/>
      <c r="BN115" s="52"/>
      <c r="BO115" s="52"/>
      <c r="BP115" s="52"/>
      <c r="BQ115" s="52"/>
      <c r="BR115" s="52"/>
      <c r="BS115" s="52"/>
      <c r="BT115" s="52"/>
      <c r="BU115" s="52"/>
      <c r="BV115" s="52"/>
      <c r="BW115" s="52"/>
    </row>
    <row r="116" spans="2:75" ht="12.6" x14ac:dyDescent="0.25">
      <c r="C116" s="52" t="s">
        <v>443</v>
      </c>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c r="BB116" s="52"/>
      <c r="BC116" s="52"/>
      <c r="BD116" s="52"/>
      <c r="BE116" s="52"/>
      <c r="BF116" s="52"/>
      <c r="BG116" s="52"/>
      <c r="BH116" s="52"/>
      <c r="BI116" s="52"/>
      <c r="BJ116" s="52"/>
      <c r="BK116" s="52"/>
      <c r="BL116" s="52"/>
      <c r="BM116" s="52"/>
      <c r="BN116" s="52"/>
      <c r="BO116" s="52"/>
      <c r="BP116" s="52"/>
      <c r="BQ116" s="52"/>
      <c r="BR116" s="52"/>
      <c r="BS116" s="52"/>
      <c r="BT116" s="52"/>
      <c r="BU116" s="52"/>
      <c r="BV116" s="52"/>
      <c r="BW116" s="52"/>
    </row>
    <row r="117" spans="2:75" ht="12.6" x14ac:dyDescent="0.25">
      <c r="C117" s="52" t="s">
        <v>444</v>
      </c>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c r="BB117" s="52"/>
      <c r="BC117" s="52"/>
      <c r="BD117" s="52"/>
      <c r="BE117" s="52"/>
      <c r="BF117" s="52"/>
      <c r="BG117" s="52"/>
      <c r="BH117" s="52"/>
      <c r="BI117" s="52"/>
      <c r="BJ117" s="52"/>
      <c r="BK117" s="52"/>
      <c r="BL117" s="52"/>
      <c r="BM117" s="52"/>
      <c r="BN117" s="52"/>
      <c r="BO117" s="52"/>
      <c r="BP117" s="52"/>
      <c r="BQ117" s="52"/>
      <c r="BR117" s="52"/>
      <c r="BS117" s="52"/>
      <c r="BT117" s="52"/>
      <c r="BU117" s="52"/>
      <c r="BV117" s="52"/>
      <c r="BW117" s="52"/>
    </row>
    <row r="118" spans="2:75" ht="12.6" x14ac:dyDescent="0.25">
      <c r="C118" s="52" t="s">
        <v>445</v>
      </c>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2"/>
      <c r="AV118" s="52"/>
      <c r="AW118" s="52"/>
      <c r="AX118" s="52"/>
      <c r="AY118" s="52"/>
      <c r="AZ118" s="52"/>
      <c r="BA118" s="52"/>
      <c r="BB118" s="52"/>
      <c r="BC118" s="52"/>
      <c r="BD118" s="52"/>
      <c r="BE118" s="52"/>
      <c r="BF118" s="52"/>
      <c r="BG118" s="52"/>
      <c r="BH118" s="52"/>
      <c r="BI118" s="52"/>
      <c r="BJ118" s="52"/>
      <c r="BK118" s="52"/>
      <c r="BL118" s="52"/>
      <c r="BM118" s="52"/>
      <c r="BN118" s="52"/>
      <c r="BO118" s="52"/>
      <c r="BP118" s="52"/>
      <c r="BQ118" s="52"/>
      <c r="BR118" s="52"/>
      <c r="BS118" s="52"/>
      <c r="BT118" s="52"/>
      <c r="BU118" s="52"/>
      <c r="BV118" s="52"/>
      <c r="BW118" s="52"/>
    </row>
    <row r="120" spans="2:75" ht="12.6" x14ac:dyDescent="0.25">
      <c r="B120" s="49" t="s">
        <v>446</v>
      </c>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c r="AA120" s="49"/>
      <c r="AB120" s="49"/>
      <c r="AC120" s="49"/>
      <c r="AD120" s="49"/>
      <c r="AE120" s="49"/>
      <c r="AF120" s="49"/>
      <c r="AG120" s="49"/>
      <c r="AH120" s="49"/>
      <c r="AI120" s="49"/>
      <c r="AJ120" s="49"/>
      <c r="AK120" s="49"/>
      <c r="AL120" s="49"/>
      <c r="AM120" s="49"/>
      <c r="AN120" s="49"/>
      <c r="AO120" s="49"/>
      <c r="AP120" s="49"/>
      <c r="AQ120" s="49"/>
      <c r="AR120" s="49"/>
      <c r="AS120" s="49"/>
      <c r="AT120" s="49"/>
      <c r="AU120" s="49"/>
      <c r="AV120" s="49"/>
      <c r="AW120" s="49"/>
      <c r="AX120" s="49"/>
      <c r="AY120" s="49"/>
      <c r="AZ120" s="49"/>
      <c r="BA120" s="49"/>
      <c r="BB120" s="49"/>
      <c r="BC120" s="49"/>
      <c r="BD120" s="49"/>
      <c r="BE120" s="49"/>
      <c r="BF120" s="49"/>
      <c r="BG120" s="49"/>
      <c r="BH120" s="49"/>
      <c r="BI120" s="49"/>
      <c r="BJ120" s="49"/>
      <c r="BK120" s="49"/>
      <c r="BL120" s="49"/>
      <c r="BM120" s="49"/>
      <c r="BN120" s="49"/>
      <c r="BO120" s="49"/>
      <c r="BP120" s="49"/>
      <c r="BQ120" s="49"/>
      <c r="BR120" s="49"/>
      <c r="BS120" s="49"/>
      <c r="BT120" s="49"/>
      <c r="BU120" s="49"/>
      <c r="BV120" s="49"/>
      <c r="BW120" s="49"/>
    </row>
    <row r="121" spans="2:75" ht="12.6" x14ac:dyDescent="0.25">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c r="AA121" s="49"/>
      <c r="AB121" s="49"/>
      <c r="AC121" s="49"/>
      <c r="AD121" s="49"/>
      <c r="AE121" s="49"/>
      <c r="AF121" s="49"/>
      <c r="AG121" s="49"/>
      <c r="AH121" s="49"/>
      <c r="AI121" s="49"/>
      <c r="AJ121" s="49"/>
      <c r="AK121" s="49"/>
      <c r="AL121" s="49"/>
      <c r="AM121" s="49"/>
      <c r="AN121" s="49"/>
      <c r="AO121" s="49"/>
      <c r="AP121" s="49"/>
      <c r="AQ121" s="49"/>
      <c r="AR121" s="49"/>
      <c r="AS121" s="49"/>
      <c r="AT121" s="49"/>
      <c r="AU121" s="49"/>
      <c r="AV121" s="49"/>
      <c r="AW121" s="49"/>
      <c r="AX121" s="49"/>
      <c r="AY121" s="49"/>
      <c r="AZ121" s="49"/>
      <c r="BA121" s="49"/>
      <c r="BB121" s="49"/>
      <c r="BC121" s="49"/>
      <c r="BD121" s="49"/>
      <c r="BE121" s="49"/>
      <c r="BF121" s="49"/>
      <c r="BG121" s="49"/>
      <c r="BH121" s="49"/>
      <c r="BI121" s="49"/>
      <c r="BJ121" s="49"/>
      <c r="BK121" s="49"/>
      <c r="BL121" s="49"/>
      <c r="BM121" s="49"/>
      <c r="BN121" s="49"/>
      <c r="BO121" s="49"/>
      <c r="BP121" s="49"/>
      <c r="BQ121" s="49"/>
      <c r="BR121" s="49"/>
      <c r="BS121" s="49"/>
      <c r="BT121" s="49"/>
      <c r="BU121" s="49"/>
      <c r="BV121" s="49"/>
      <c r="BW121" s="49"/>
    </row>
    <row r="123" spans="2:75" ht="12.6" x14ac:dyDescent="0.25">
      <c r="C123" s="53" t="s">
        <v>447</v>
      </c>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c r="AI123" s="53"/>
      <c r="AJ123" s="53"/>
      <c r="AK123" s="53"/>
      <c r="AL123" s="53"/>
      <c r="AM123" s="53"/>
      <c r="AN123" s="53"/>
      <c r="AO123" s="53"/>
      <c r="AP123" s="53"/>
      <c r="AQ123" s="53"/>
      <c r="AR123" s="53"/>
      <c r="AS123" s="53"/>
      <c r="AT123" s="53"/>
      <c r="AU123" s="53"/>
      <c r="AV123" s="53"/>
      <c r="AW123" s="53"/>
      <c r="AX123" s="53"/>
      <c r="AY123" s="53"/>
      <c r="AZ123" s="53"/>
      <c r="BA123" s="53"/>
      <c r="BB123" s="53"/>
      <c r="BC123" s="53"/>
      <c r="BD123" s="53"/>
      <c r="BE123" s="53"/>
      <c r="BF123" s="53"/>
      <c r="BG123" s="53"/>
      <c r="BH123" s="53"/>
      <c r="BI123" s="53"/>
      <c r="BJ123" s="53"/>
      <c r="BK123" s="53"/>
      <c r="BL123" s="53"/>
      <c r="BM123" s="53"/>
      <c r="BN123" s="53"/>
      <c r="BO123" s="53"/>
      <c r="BP123" s="53"/>
      <c r="BQ123" s="53"/>
      <c r="BR123" s="53"/>
      <c r="BS123" s="53"/>
      <c r="BT123" s="53"/>
      <c r="BU123" s="53"/>
      <c r="BV123" s="53"/>
      <c r="BW123" s="53"/>
    </row>
    <row r="124" spans="2:75" ht="12.6" x14ac:dyDescent="0.25">
      <c r="C124" s="53" t="s">
        <v>448</v>
      </c>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c r="AR124" s="53"/>
      <c r="AS124" s="53"/>
      <c r="AT124" s="53"/>
      <c r="AU124" s="53"/>
      <c r="AV124" s="53"/>
      <c r="AW124" s="53"/>
      <c r="AX124" s="53"/>
      <c r="AY124" s="53"/>
      <c r="AZ124" s="53"/>
      <c r="BA124" s="53"/>
      <c r="BB124" s="53"/>
      <c r="BC124" s="53"/>
      <c r="BD124" s="53"/>
      <c r="BE124" s="53"/>
      <c r="BF124" s="53"/>
      <c r="BG124" s="53"/>
      <c r="BH124" s="53"/>
      <c r="BI124" s="53"/>
      <c r="BJ124" s="53"/>
      <c r="BK124" s="53"/>
      <c r="BL124" s="53"/>
      <c r="BM124" s="53"/>
      <c r="BN124" s="53"/>
      <c r="BO124" s="53"/>
      <c r="BP124" s="53"/>
      <c r="BQ124" s="53"/>
      <c r="BR124" s="53"/>
      <c r="BS124" s="53"/>
      <c r="BT124" s="53"/>
      <c r="BU124" s="53"/>
      <c r="BV124" s="53"/>
      <c r="BW124" s="53"/>
    </row>
    <row r="125" spans="2:75" ht="12.6" x14ac:dyDescent="0.25">
      <c r="C125" s="53" t="s">
        <v>449</v>
      </c>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c r="AR125" s="53"/>
      <c r="AS125" s="53"/>
      <c r="AT125" s="53"/>
      <c r="AU125" s="53"/>
      <c r="AV125" s="53"/>
      <c r="AW125" s="53"/>
      <c r="AX125" s="53"/>
      <c r="AY125" s="53"/>
      <c r="AZ125" s="53"/>
      <c r="BA125" s="53"/>
      <c r="BB125" s="53"/>
      <c r="BC125" s="53"/>
      <c r="BD125" s="53"/>
      <c r="BE125" s="53"/>
      <c r="BF125" s="53"/>
      <c r="BG125" s="53"/>
      <c r="BH125" s="53"/>
      <c r="BI125" s="53"/>
      <c r="BJ125" s="53"/>
      <c r="BK125" s="53"/>
      <c r="BL125" s="53"/>
      <c r="BM125" s="53"/>
      <c r="BN125" s="53"/>
      <c r="BO125" s="53"/>
      <c r="BP125" s="53"/>
      <c r="BQ125" s="53"/>
      <c r="BR125" s="53"/>
      <c r="BS125" s="53"/>
      <c r="BT125" s="53"/>
      <c r="BU125" s="53"/>
      <c r="BV125" s="53"/>
      <c r="BW125" s="53"/>
    </row>
    <row r="126" spans="2:75" ht="12.6" x14ac:dyDescent="0.25">
      <c r="C126" s="53" t="s">
        <v>450</v>
      </c>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c r="AJ126" s="53"/>
      <c r="AK126" s="53"/>
      <c r="AL126" s="53"/>
      <c r="AM126" s="53"/>
      <c r="AN126" s="53"/>
      <c r="AO126" s="53"/>
      <c r="AP126" s="53"/>
      <c r="AQ126" s="53"/>
      <c r="AR126" s="53"/>
      <c r="AS126" s="53"/>
      <c r="AT126" s="53"/>
      <c r="AU126" s="53"/>
      <c r="AV126" s="53"/>
      <c r="AW126" s="53"/>
      <c r="AX126" s="53"/>
      <c r="AY126" s="53"/>
      <c r="AZ126" s="53"/>
      <c r="BA126" s="53"/>
      <c r="BB126" s="53"/>
      <c r="BC126" s="53"/>
      <c r="BD126" s="53"/>
      <c r="BE126" s="53"/>
      <c r="BF126" s="53"/>
      <c r="BG126" s="53"/>
      <c r="BH126" s="53"/>
      <c r="BI126" s="53"/>
      <c r="BJ126" s="53"/>
      <c r="BK126" s="53"/>
      <c r="BL126" s="53"/>
      <c r="BM126" s="53"/>
      <c r="BN126" s="53"/>
      <c r="BO126" s="53"/>
      <c r="BP126" s="53"/>
      <c r="BQ126" s="53"/>
      <c r="BR126" s="53"/>
      <c r="BS126" s="53"/>
      <c r="BT126" s="53"/>
      <c r="BU126" s="53"/>
      <c r="BV126" s="53"/>
      <c r="BW126" s="53"/>
    </row>
    <row r="127" spans="2:75" ht="12.6" x14ac:dyDescent="0.25">
      <c r="C127" s="53" t="s">
        <v>451</v>
      </c>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c r="AR127" s="53"/>
      <c r="AS127" s="53"/>
      <c r="AT127" s="53"/>
      <c r="AU127" s="53"/>
      <c r="AV127" s="53"/>
      <c r="AW127" s="53"/>
      <c r="AX127" s="53"/>
      <c r="AY127" s="53"/>
      <c r="AZ127" s="53"/>
      <c r="BA127" s="53"/>
      <c r="BB127" s="53"/>
      <c r="BC127" s="53"/>
      <c r="BD127" s="53"/>
      <c r="BE127" s="53"/>
      <c r="BF127" s="53"/>
      <c r="BG127" s="53"/>
      <c r="BH127" s="53"/>
      <c r="BI127" s="53"/>
      <c r="BJ127" s="53"/>
      <c r="BK127" s="53"/>
      <c r="BL127" s="53"/>
      <c r="BM127" s="53"/>
      <c r="BN127" s="53"/>
      <c r="BO127" s="53"/>
      <c r="BP127" s="53"/>
      <c r="BQ127" s="53"/>
      <c r="BR127" s="53"/>
      <c r="BS127" s="53"/>
      <c r="BT127" s="53"/>
      <c r="BU127" s="53"/>
      <c r="BV127" s="53"/>
      <c r="BW127" s="53"/>
    </row>
    <row r="128" spans="2:75" ht="12.6" x14ac:dyDescent="0.25">
      <c r="C128" s="53" t="s">
        <v>452</v>
      </c>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c r="AS128" s="53"/>
      <c r="AT128" s="53"/>
      <c r="AU128" s="53"/>
      <c r="AV128" s="53"/>
      <c r="AW128" s="53"/>
      <c r="AX128" s="53"/>
      <c r="AY128" s="53"/>
      <c r="AZ128" s="53"/>
      <c r="BA128" s="53"/>
      <c r="BB128" s="53"/>
      <c r="BC128" s="53"/>
      <c r="BD128" s="53"/>
      <c r="BE128" s="53"/>
      <c r="BF128" s="53"/>
      <c r="BG128" s="53"/>
      <c r="BH128" s="53"/>
      <c r="BI128" s="53"/>
      <c r="BJ128" s="53"/>
      <c r="BK128" s="53"/>
      <c r="BL128" s="53"/>
      <c r="BM128" s="53"/>
      <c r="BN128" s="53"/>
      <c r="BO128" s="53"/>
      <c r="BP128" s="53"/>
      <c r="BQ128" s="53"/>
      <c r="BR128" s="53"/>
      <c r="BS128" s="53"/>
      <c r="BT128" s="53"/>
      <c r="BU128" s="53"/>
      <c r="BV128" s="53"/>
      <c r="BW128" s="53"/>
    </row>
  </sheetData>
  <mergeCells count="140">
    <mergeCell ref="C124:BW124"/>
    <mergeCell ref="C125:BW125"/>
    <mergeCell ref="C126:BW126"/>
    <mergeCell ref="C127:BW127"/>
    <mergeCell ref="C128:BW128"/>
    <mergeCell ref="C112:BW112"/>
    <mergeCell ref="C113:BW113"/>
    <mergeCell ref="C114:BW114"/>
    <mergeCell ref="C115:BW115"/>
    <mergeCell ref="C116:BW116"/>
    <mergeCell ref="C117:BW117"/>
    <mergeCell ref="C118:BW118"/>
    <mergeCell ref="B120:BW121"/>
    <mergeCell ref="C123:BW123"/>
    <mergeCell ref="C104:R104"/>
    <mergeCell ref="S104:BW104"/>
    <mergeCell ref="C105:R105"/>
    <mergeCell ref="S105:BW105"/>
    <mergeCell ref="C106:R106"/>
    <mergeCell ref="S106:BW106"/>
    <mergeCell ref="C107:R107"/>
    <mergeCell ref="S107:BW107"/>
    <mergeCell ref="B109:BW110"/>
    <mergeCell ref="C99:L99"/>
    <mergeCell ref="M99:V99"/>
    <mergeCell ref="W99:BW99"/>
    <mergeCell ref="C100:L100"/>
    <mergeCell ref="M100:V100"/>
    <mergeCell ref="W100:BW100"/>
    <mergeCell ref="C102:R102"/>
    <mergeCell ref="S102:BW102"/>
    <mergeCell ref="C103:R103"/>
    <mergeCell ref="S103:BW103"/>
    <mergeCell ref="C96:L96"/>
    <mergeCell ref="M96:V96"/>
    <mergeCell ref="W96:BW96"/>
    <mergeCell ref="C97:L97"/>
    <mergeCell ref="M97:V97"/>
    <mergeCell ref="W97:BW97"/>
    <mergeCell ref="C98:L98"/>
    <mergeCell ref="M98:V98"/>
    <mergeCell ref="W98:BW98"/>
    <mergeCell ref="C93:L93"/>
    <mergeCell ref="M93:V93"/>
    <mergeCell ref="W93:BW93"/>
    <mergeCell ref="C94:L94"/>
    <mergeCell ref="M94:V94"/>
    <mergeCell ref="W94:BW94"/>
    <mergeCell ref="C95:L95"/>
    <mergeCell ref="M95:V95"/>
    <mergeCell ref="W95:BW95"/>
    <mergeCell ref="C82:BW82"/>
    <mergeCell ref="C83:BW83"/>
    <mergeCell ref="C84:BW84"/>
    <mergeCell ref="C85:BW85"/>
    <mergeCell ref="C86:BW86"/>
    <mergeCell ref="C87:BW87"/>
    <mergeCell ref="B89:BW90"/>
    <mergeCell ref="C92:L92"/>
    <mergeCell ref="M92:V92"/>
    <mergeCell ref="W92:BW92"/>
    <mergeCell ref="C79:L79"/>
    <mergeCell ref="M79:X79"/>
    <mergeCell ref="Y79:AS79"/>
    <mergeCell ref="AT79:BI79"/>
    <mergeCell ref="BJ79:BW79"/>
    <mergeCell ref="C80:L80"/>
    <mergeCell ref="M80:X80"/>
    <mergeCell ref="Y80:AS80"/>
    <mergeCell ref="AT80:BI80"/>
    <mergeCell ref="BJ80:BW80"/>
    <mergeCell ref="C77:L77"/>
    <mergeCell ref="M77:X77"/>
    <mergeCell ref="Y77:AS77"/>
    <mergeCell ref="AT77:BI77"/>
    <mergeCell ref="BJ77:BW77"/>
    <mergeCell ref="C78:L78"/>
    <mergeCell ref="M78:X78"/>
    <mergeCell ref="Y78:AS78"/>
    <mergeCell ref="AT78:BI78"/>
    <mergeCell ref="BJ78:BW78"/>
    <mergeCell ref="B47:BW48"/>
    <mergeCell ref="C66:BW66"/>
    <mergeCell ref="C67:BW67"/>
    <mergeCell ref="C68:BW68"/>
    <mergeCell ref="C69:BW69"/>
    <mergeCell ref="C70:BW70"/>
    <mergeCell ref="C71:BW71"/>
    <mergeCell ref="B73:BW74"/>
    <mergeCell ref="C76:L76"/>
    <mergeCell ref="M76:X76"/>
    <mergeCell ref="Y76:AS76"/>
    <mergeCell ref="AT76:BI76"/>
    <mergeCell ref="BJ76:BW76"/>
    <mergeCell ref="C41:R41"/>
    <mergeCell ref="S41:BW41"/>
    <mergeCell ref="C42:R42"/>
    <mergeCell ref="S42:BW42"/>
    <mergeCell ref="C43:R43"/>
    <mergeCell ref="S43:BW43"/>
    <mergeCell ref="C44:R44"/>
    <mergeCell ref="S44:BW44"/>
    <mergeCell ref="C45:R45"/>
    <mergeCell ref="S45:BW45"/>
    <mergeCell ref="C32:BW32"/>
    <mergeCell ref="C33:BW33"/>
    <mergeCell ref="B35:BW36"/>
    <mergeCell ref="C38:R38"/>
    <mergeCell ref="S38:BW38"/>
    <mergeCell ref="C39:R39"/>
    <mergeCell ref="S39:BW39"/>
    <mergeCell ref="C40:R40"/>
    <mergeCell ref="S40:BW40"/>
    <mergeCell ref="C22:P22"/>
    <mergeCell ref="Q22:AD22"/>
    <mergeCell ref="AE22:BW22"/>
    <mergeCell ref="B24:BW25"/>
    <mergeCell ref="C27:BW27"/>
    <mergeCell ref="C28:BW28"/>
    <mergeCell ref="C29:BW29"/>
    <mergeCell ref="C30:BW30"/>
    <mergeCell ref="C31:BW31"/>
    <mergeCell ref="C19:P19"/>
    <mergeCell ref="Q19:AD19"/>
    <mergeCell ref="AE19:BW19"/>
    <mergeCell ref="C20:P20"/>
    <mergeCell ref="Q20:AD20"/>
    <mergeCell ref="AE20:BW20"/>
    <mergeCell ref="C21:P21"/>
    <mergeCell ref="Q21:AD21"/>
    <mergeCell ref="AE21:BW21"/>
    <mergeCell ref="B1:BW2"/>
    <mergeCell ref="B4:BW5"/>
    <mergeCell ref="B14:BW15"/>
    <mergeCell ref="C17:P17"/>
    <mergeCell ref="Q17:AD17"/>
    <mergeCell ref="AE17:BW17"/>
    <mergeCell ref="C18:P18"/>
    <mergeCell ref="Q18:AD18"/>
    <mergeCell ref="AE18:BW18"/>
  </mergeCells>
  <phoneticPr fontId="35"/>
  <printOptions horizontalCentered="1"/>
  <pageMargins left="0.4" right="0.4" top="0.4" bottom="0.4" header="0.3" footer="0.3"/>
  <pageSetup paperSize="8" fitToHeight="0" orientation="landscape"/>
  <rowBreaks count="2" manualBreakCount="2">
    <brk id="46" max="16383" man="1"/>
    <brk id="88" max="16383" man="1"/>
  </rowBreak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15C92"/>
    <pageSetUpPr fitToPage="1"/>
  </sheetPr>
  <dimension ref="A1:DL51"/>
  <sheetViews>
    <sheetView zoomScale="80" zoomScaleNormal="80" workbookViewId="0"/>
  </sheetViews>
  <sheetFormatPr defaultRowHeight="15" customHeight="1" x14ac:dyDescent="0.25"/>
  <cols>
    <col min="1" max="161" width="2.80859375" customWidth="1"/>
  </cols>
  <sheetData>
    <row r="1" spans="1:116" ht="15" customHeight="1" x14ac:dyDescent="0.25">
      <c r="A1" s="1"/>
      <c r="C1" s="54" t="str">
        <f>文書名</f>
        <v>システム構成図</v>
      </c>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J1" s="56" t="s">
        <v>69</v>
      </c>
      <c r="AK1" s="56"/>
      <c r="AL1" s="56"/>
      <c r="AM1" s="56"/>
      <c r="AN1" s="56"/>
      <c r="AO1" s="56" t="s">
        <v>6</v>
      </c>
      <c r="AP1" s="56"/>
      <c r="AQ1" s="56"/>
      <c r="AR1" s="56"/>
      <c r="AS1" s="56"/>
      <c r="AT1" s="56"/>
      <c r="AU1" s="56"/>
      <c r="AV1" s="56"/>
      <c r="AW1" s="56"/>
      <c r="AX1" s="56"/>
      <c r="AY1" s="56"/>
      <c r="AZ1" s="56"/>
      <c r="BA1" s="56"/>
      <c r="BB1" s="56" t="s">
        <v>10</v>
      </c>
      <c r="BC1" s="56"/>
      <c r="BD1" s="56"/>
      <c r="BE1" s="56"/>
      <c r="BF1" s="56" t="s">
        <v>12</v>
      </c>
      <c r="BG1" s="56"/>
      <c r="BH1" s="56"/>
      <c r="BI1" s="56"/>
      <c r="BJ1" s="56"/>
      <c r="BK1" s="56"/>
      <c r="BL1" s="56" t="s">
        <v>70</v>
      </c>
      <c r="BM1" s="56"/>
      <c r="BN1" s="56"/>
      <c r="BO1" s="56"/>
      <c r="BP1" s="56"/>
      <c r="BQ1" s="56"/>
      <c r="BR1" s="56" t="s">
        <v>14</v>
      </c>
      <c r="BS1" s="56"/>
      <c r="BT1" s="56"/>
      <c r="BU1" s="56"/>
      <c r="BV1" s="56"/>
      <c r="BW1" s="56"/>
      <c r="BX1" s="56"/>
      <c r="CA1" s="60" t="s">
        <v>72</v>
      </c>
      <c r="CB1" s="60"/>
      <c r="CC1" s="60"/>
      <c r="CD1" s="60"/>
      <c r="CE1" s="60"/>
      <c r="CF1" s="60"/>
      <c r="CG1" s="60"/>
      <c r="CH1" s="60"/>
      <c r="CI1" s="60"/>
      <c r="CJ1" s="60"/>
      <c r="CK1" s="60"/>
      <c r="CL1" s="60"/>
      <c r="CM1" s="60"/>
      <c r="CN1" s="60"/>
      <c r="CO1" s="60"/>
      <c r="CP1" s="60"/>
      <c r="CQ1" s="60"/>
      <c r="CR1" s="60"/>
      <c r="CS1" s="60"/>
      <c r="CT1" s="60"/>
      <c r="CU1" s="60"/>
      <c r="CV1" s="60"/>
      <c r="CW1" s="60"/>
      <c r="CX1" s="60"/>
      <c r="CY1" s="60"/>
      <c r="CZ1" s="60"/>
      <c r="DA1" s="60"/>
      <c r="DB1" s="60"/>
      <c r="DC1" s="60"/>
      <c r="DD1" s="60"/>
      <c r="DE1" s="60"/>
      <c r="DF1" s="60"/>
      <c r="DG1" s="60"/>
      <c r="DH1" s="60"/>
      <c r="DI1" s="60"/>
      <c r="DJ1" s="60"/>
      <c r="DK1" s="60"/>
      <c r="DL1" s="60"/>
    </row>
    <row r="2" spans="1:116" ht="15" customHeight="1" x14ac:dyDescent="0.25">
      <c r="A2" s="1"/>
      <c r="C2" s="54"/>
      <c r="D2" s="54"/>
      <c r="E2" s="54"/>
      <c r="F2" s="54"/>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J2" s="57" t="s">
        <v>71</v>
      </c>
      <c r="AK2" s="57"/>
      <c r="AL2" s="57"/>
      <c r="AM2" s="57"/>
      <c r="AN2" s="57"/>
      <c r="AO2" s="58" t="str">
        <f>IF(システム名="","",システム名)</f>
        <v>○○システム</v>
      </c>
      <c r="AP2" s="58"/>
      <c r="AQ2" s="58"/>
      <c r="AR2" s="58"/>
      <c r="AS2" s="58"/>
      <c r="AT2" s="58"/>
      <c r="AU2" s="58"/>
      <c r="AV2" s="58"/>
      <c r="AW2" s="58"/>
      <c r="AX2" s="58"/>
      <c r="AY2" s="58"/>
      <c r="AZ2" s="58"/>
      <c r="BA2" s="58"/>
      <c r="BB2" s="58" t="str">
        <f>IF(版数="","",版数)</f>
        <v>1.0</v>
      </c>
      <c r="BC2" s="58"/>
      <c r="BD2" s="58"/>
      <c r="BE2" s="58"/>
      <c r="BF2" s="59">
        <f>IF(作成日="","",作成日)</f>
        <v>46298</v>
      </c>
      <c r="BG2" s="59"/>
      <c r="BH2" s="59"/>
      <c r="BI2" s="59"/>
      <c r="BJ2" s="59"/>
      <c r="BK2" s="59"/>
      <c r="BL2" s="59">
        <f>IF(更新日="","",更新日)</f>
        <v>46298</v>
      </c>
      <c r="BM2" s="59"/>
      <c r="BN2" s="59"/>
      <c r="BO2" s="59"/>
      <c r="BP2" s="59"/>
      <c r="BQ2" s="59"/>
      <c r="BR2" s="58" t="str">
        <f>IF(作成者="","",作成者)</f>
        <v>（氏名）</v>
      </c>
      <c r="BS2" s="58"/>
      <c r="BT2" s="58"/>
      <c r="BU2" s="58"/>
      <c r="BV2" s="58"/>
      <c r="BW2" s="58"/>
      <c r="BX2" s="58"/>
      <c r="CA2" s="60"/>
      <c r="CB2" s="60"/>
      <c r="CC2" s="60"/>
      <c r="CD2" s="60"/>
      <c r="CE2" s="60"/>
      <c r="CF2" s="60"/>
      <c r="CG2" s="60"/>
      <c r="CH2" s="60"/>
      <c r="CI2" s="60"/>
      <c r="CJ2" s="60"/>
      <c r="CK2" s="60"/>
      <c r="CL2" s="60"/>
      <c r="CM2" s="60"/>
      <c r="CN2" s="60"/>
      <c r="CO2" s="60"/>
      <c r="CP2" s="60"/>
      <c r="CQ2" s="60"/>
      <c r="CR2" s="60"/>
      <c r="CS2" s="60"/>
      <c r="CT2" s="60"/>
      <c r="CU2" s="60"/>
      <c r="CV2" s="60"/>
      <c r="CW2" s="60"/>
      <c r="CX2" s="60"/>
      <c r="CY2" s="60"/>
      <c r="CZ2" s="60"/>
      <c r="DA2" s="60"/>
      <c r="DB2" s="60"/>
      <c r="DC2" s="60"/>
      <c r="DD2" s="60"/>
      <c r="DE2" s="60"/>
      <c r="DF2" s="60"/>
      <c r="DG2" s="60"/>
      <c r="DH2" s="60"/>
      <c r="DI2" s="60"/>
      <c r="DJ2" s="60"/>
      <c r="DK2" s="60"/>
      <c r="DL2" s="60"/>
    </row>
    <row r="3" spans="1:116" ht="15" customHeight="1" x14ac:dyDescent="0.25">
      <c r="A3" s="1"/>
      <c r="C3" s="55" t="s">
        <v>68</v>
      </c>
      <c r="D3" s="55"/>
      <c r="E3" s="55"/>
      <c r="F3" s="55"/>
      <c r="G3" s="55"/>
      <c r="H3" s="55"/>
      <c r="I3" s="55"/>
      <c r="J3" s="55"/>
      <c r="K3" s="55"/>
      <c r="L3" s="55"/>
      <c r="M3" s="55"/>
      <c r="N3" s="55"/>
      <c r="O3" s="55"/>
      <c r="P3" s="55"/>
      <c r="Q3" s="55"/>
      <c r="R3" s="55"/>
      <c r="S3" s="55"/>
      <c r="T3" s="55"/>
      <c r="U3" s="55"/>
      <c r="V3" s="55"/>
      <c r="W3" s="55"/>
      <c r="X3" s="55"/>
      <c r="Y3" s="55"/>
      <c r="Z3" s="55"/>
      <c r="AA3" s="55"/>
      <c r="AB3" s="55"/>
      <c r="AC3" s="55"/>
      <c r="AD3" s="55"/>
      <c r="AE3" s="55"/>
      <c r="AF3" s="55"/>
      <c r="AG3" s="55"/>
      <c r="AH3" s="55"/>
      <c r="AJ3" s="57"/>
      <c r="AK3" s="57"/>
      <c r="AL3" s="57"/>
      <c r="AM3" s="57"/>
      <c r="AN3" s="57"/>
      <c r="AO3" s="58"/>
      <c r="AP3" s="58"/>
      <c r="AQ3" s="58"/>
      <c r="AR3" s="58"/>
      <c r="AS3" s="58"/>
      <c r="AT3" s="58"/>
      <c r="AU3" s="58"/>
      <c r="AV3" s="58"/>
      <c r="AW3" s="58"/>
      <c r="AX3" s="58"/>
      <c r="AY3" s="58"/>
      <c r="AZ3" s="58"/>
      <c r="BA3" s="58"/>
      <c r="BB3" s="58"/>
      <c r="BC3" s="58"/>
      <c r="BD3" s="58"/>
      <c r="BE3" s="58"/>
      <c r="BF3" s="59"/>
      <c r="BG3" s="59"/>
      <c r="BH3" s="59"/>
      <c r="BI3" s="59"/>
      <c r="BJ3" s="59"/>
      <c r="BK3" s="59"/>
      <c r="BL3" s="59"/>
      <c r="BM3" s="59"/>
      <c r="BN3" s="59"/>
      <c r="BO3" s="59"/>
      <c r="BP3" s="59"/>
      <c r="BQ3" s="59"/>
      <c r="BR3" s="58"/>
      <c r="BS3" s="58"/>
      <c r="BT3" s="58"/>
      <c r="BU3" s="58"/>
      <c r="BV3" s="58"/>
      <c r="BW3" s="58"/>
      <c r="BX3" s="58"/>
      <c r="CA3" s="61" t="s">
        <v>73</v>
      </c>
      <c r="CB3" s="61"/>
      <c r="CC3" s="61"/>
      <c r="CD3" s="61"/>
      <c r="CE3" s="61"/>
      <c r="CF3" s="61"/>
      <c r="CG3" s="61"/>
      <c r="CH3" s="61"/>
      <c r="CI3" s="61"/>
      <c r="CJ3" s="61"/>
      <c r="CK3" s="61"/>
      <c r="CL3" s="61"/>
      <c r="CM3" s="61"/>
      <c r="CN3" s="61"/>
      <c r="CO3" s="61"/>
      <c r="CP3" s="61"/>
      <c r="CQ3" s="61"/>
      <c r="CR3" s="61"/>
      <c r="CS3" s="61"/>
      <c r="CT3" s="61"/>
      <c r="CU3" s="61"/>
      <c r="CV3" s="61"/>
      <c r="CW3" s="61"/>
      <c r="CX3" s="61"/>
      <c r="CY3" s="61"/>
      <c r="CZ3" s="61"/>
      <c r="DA3" s="61"/>
      <c r="DB3" s="61"/>
      <c r="DC3" s="61"/>
      <c r="DD3" s="61"/>
      <c r="DE3" s="61"/>
      <c r="DF3" s="61"/>
      <c r="DG3" s="61"/>
      <c r="DH3" s="61"/>
      <c r="DI3" s="61"/>
      <c r="DJ3" s="61"/>
      <c r="DK3" s="61"/>
      <c r="DL3" s="61"/>
    </row>
    <row r="5" spans="1:116" ht="15" customHeight="1" x14ac:dyDescent="0.25">
      <c r="A5" s="7"/>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9"/>
      <c r="CA5" s="62" t="s">
        <v>74</v>
      </c>
      <c r="CB5" s="62"/>
      <c r="CC5" s="62"/>
      <c r="CD5" s="62"/>
      <c r="CE5" s="62"/>
      <c r="CF5" s="62"/>
      <c r="CG5" s="62"/>
      <c r="CH5" s="62"/>
      <c r="CJ5" s="63" t="s">
        <v>75</v>
      </c>
      <c r="CK5" s="63"/>
      <c r="CL5" s="63"/>
      <c r="CM5" s="63"/>
      <c r="CN5" s="63"/>
      <c r="CO5" s="63"/>
      <c r="CP5" s="63"/>
      <c r="CQ5" s="63"/>
      <c r="CS5" s="64" t="s">
        <v>76</v>
      </c>
      <c r="CT5" s="64"/>
      <c r="CU5" s="64"/>
      <c r="CV5" s="64"/>
      <c r="CW5" s="64"/>
      <c r="CX5" s="64"/>
      <c r="CY5" s="64"/>
      <c r="CZ5" s="64"/>
      <c r="DB5" s="65" t="s">
        <v>77</v>
      </c>
      <c r="DC5" s="65"/>
      <c r="DD5" s="65"/>
      <c r="DE5" s="65"/>
      <c r="DF5" s="65"/>
      <c r="DG5" s="65"/>
      <c r="DH5" s="65"/>
      <c r="DI5" s="65"/>
    </row>
    <row r="6" spans="1:116" ht="15" customHeight="1" x14ac:dyDescent="0.25">
      <c r="A6" s="10"/>
      <c r="BX6" s="11"/>
      <c r="CA6" s="66" t="s">
        <v>78</v>
      </c>
      <c r="CB6" s="66"/>
      <c r="CC6" s="66"/>
      <c r="CD6" s="66"/>
      <c r="CE6" s="66"/>
      <c r="CF6" s="66"/>
      <c r="CG6" s="66"/>
      <c r="CH6" s="66"/>
      <c r="CI6" s="66"/>
      <c r="CJ6" s="66"/>
      <c r="CK6" s="66"/>
      <c r="CL6" s="66"/>
      <c r="CM6" s="66"/>
      <c r="CN6" s="66"/>
      <c r="CO6" s="66"/>
      <c r="CP6" s="66"/>
      <c r="CQ6" s="66"/>
      <c r="CR6" s="66"/>
      <c r="CS6" s="66"/>
      <c r="CT6" s="66"/>
      <c r="CU6" s="66"/>
      <c r="CV6" s="66"/>
      <c r="CW6" s="66"/>
      <c r="CX6" s="66"/>
      <c r="CY6" s="66"/>
      <c r="CZ6" s="66"/>
      <c r="DA6" s="66"/>
      <c r="DB6" s="66"/>
      <c r="DC6" s="66"/>
      <c r="DD6" s="66"/>
      <c r="DE6" s="66"/>
      <c r="DF6" s="66"/>
      <c r="DG6" s="66"/>
      <c r="DH6" s="66"/>
      <c r="DI6" s="66"/>
      <c r="DJ6" s="66"/>
      <c r="DK6" s="66"/>
      <c r="DL6" s="66"/>
    </row>
    <row r="7" spans="1:116" ht="15" customHeight="1" x14ac:dyDescent="0.25">
      <c r="A7" s="10"/>
      <c r="BX7" s="11"/>
    </row>
    <row r="8" spans="1:116" ht="15" customHeight="1" x14ac:dyDescent="0.25">
      <c r="A8" s="10"/>
      <c r="BX8" s="11"/>
    </row>
    <row r="9" spans="1:116" ht="15" customHeight="1" x14ac:dyDescent="0.25">
      <c r="A9" s="10"/>
      <c r="BX9" s="11"/>
    </row>
    <row r="10" spans="1:116" ht="15" customHeight="1" x14ac:dyDescent="0.25">
      <c r="A10" s="10"/>
      <c r="BX10" s="11"/>
    </row>
    <row r="11" spans="1:116" ht="15" customHeight="1" x14ac:dyDescent="0.25">
      <c r="A11" s="10"/>
      <c r="BX11" s="11"/>
    </row>
    <row r="12" spans="1:116" ht="15" customHeight="1" x14ac:dyDescent="0.25">
      <c r="A12" s="10"/>
      <c r="BX12" s="11"/>
    </row>
    <row r="13" spans="1:116" ht="15" customHeight="1" x14ac:dyDescent="0.25">
      <c r="A13" s="10"/>
      <c r="BX13" s="11"/>
    </row>
    <row r="14" spans="1:116" ht="15" customHeight="1" x14ac:dyDescent="0.25">
      <c r="A14" s="10"/>
      <c r="BX14" s="11"/>
    </row>
    <row r="15" spans="1:116" ht="15" customHeight="1" x14ac:dyDescent="0.25">
      <c r="A15" s="10"/>
      <c r="BX15" s="11"/>
    </row>
    <row r="16" spans="1:116" ht="15" customHeight="1" x14ac:dyDescent="0.25">
      <c r="A16" s="10"/>
      <c r="BX16" s="11"/>
    </row>
    <row r="17" spans="1:116" ht="15" customHeight="1" x14ac:dyDescent="0.25">
      <c r="A17" s="10"/>
      <c r="BX17" s="11"/>
    </row>
    <row r="18" spans="1:116" ht="15" customHeight="1" x14ac:dyDescent="0.25">
      <c r="A18" s="10"/>
      <c r="BX18" s="11"/>
    </row>
    <row r="19" spans="1:116" ht="15" customHeight="1" x14ac:dyDescent="0.25">
      <c r="A19" s="10"/>
      <c r="BX19" s="11"/>
    </row>
    <row r="20" spans="1:116" ht="15" customHeight="1" x14ac:dyDescent="0.25">
      <c r="A20" s="10"/>
      <c r="BX20" s="11"/>
    </row>
    <row r="21" spans="1:116" ht="15" customHeight="1" x14ac:dyDescent="0.25">
      <c r="A21" s="10"/>
      <c r="BX21" s="11"/>
    </row>
    <row r="22" spans="1:116" ht="15" customHeight="1" x14ac:dyDescent="0.25">
      <c r="A22" s="10"/>
      <c r="BX22" s="11"/>
    </row>
    <row r="23" spans="1:116" ht="15" customHeight="1" x14ac:dyDescent="0.25">
      <c r="A23" s="10"/>
      <c r="BX23" s="11"/>
    </row>
    <row r="24" spans="1:116" ht="15" customHeight="1" x14ac:dyDescent="0.25">
      <c r="A24" s="10"/>
      <c r="BX24" s="11"/>
    </row>
    <row r="25" spans="1:116" ht="15" customHeight="1" x14ac:dyDescent="0.25">
      <c r="A25" s="10"/>
      <c r="BX25" s="11"/>
    </row>
    <row r="26" spans="1:116" ht="15" customHeight="1" x14ac:dyDescent="0.25">
      <c r="A26" s="10"/>
      <c r="BX26" s="11"/>
    </row>
    <row r="27" spans="1:116" ht="15" customHeight="1" x14ac:dyDescent="0.25">
      <c r="A27" s="10"/>
      <c r="BX27" s="11"/>
      <c r="CA27" s="66" t="s">
        <v>79</v>
      </c>
      <c r="CB27" s="66"/>
      <c r="CC27" s="66"/>
      <c r="CD27" s="66"/>
      <c r="CE27" s="66"/>
      <c r="CF27" s="66"/>
      <c r="CG27" s="66"/>
      <c r="CH27" s="66"/>
      <c r="CI27" s="66"/>
      <c r="CJ27" s="66"/>
      <c r="CK27" s="66"/>
      <c r="CL27" s="66"/>
      <c r="CM27" s="66"/>
      <c r="CN27" s="66"/>
      <c r="CO27" s="66"/>
      <c r="CP27" s="66"/>
      <c r="CQ27" s="66"/>
      <c r="CR27" s="66"/>
      <c r="CS27" s="66"/>
      <c r="CT27" s="66"/>
      <c r="CU27" s="66"/>
      <c r="CV27" s="66"/>
      <c r="CW27" s="66"/>
      <c r="CX27" s="66"/>
      <c r="CY27" s="66"/>
      <c r="CZ27" s="66"/>
      <c r="DA27" s="66"/>
      <c r="DB27" s="66"/>
      <c r="DC27" s="66"/>
      <c r="DD27" s="66"/>
      <c r="DE27" s="66"/>
      <c r="DF27" s="66"/>
      <c r="DG27" s="66"/>
      <c r="DH27" s="66"/>
      <c r="DI27" s="66"/>
      <c r="DJ27" s="66"/>
      <c r="DK27" s="66"/>
      <c r="DL27" s="66"/>
    </row>
    <row r="28" spans="1:116" ht="15" customHeight="1" x14ac:dyDescent="0.25">
      <c r="A28" s="10"/>
      <c r="BX28" s="11"/>
    </row>
    <row r="29" spans="1:116" ht="15" customHeight="1" x14ac:dyDescent="0.25">
      <c r="A29" s="10"/>
      <c r="BX29" s="11"/>
    </row>
    <row r="30" spans="1:116" ht="15" customHeight="1" x14ac:dyDescent="0.25">
      <c r="A30" s="10"/>
      <c r="BX30" s="11"/>
    </row>
    <row r="31" spans="1:116" ht="15" customHeight="1" x14ac:dyDescent="0.25">
      <c r="A31" s="10"/>
      <c r="BX31" s="11"/>
    </row>
    <row r="32" spans="1:116" ht="15" customHeight="1" x14ac:dyDescent="0.25">
      <c r="A32" s="10"/>
      <c r="BX32" s="11"/>
    </row>
    <row r="33" spans="1:116" ht="15" customHeight="1" x14ac:dyDescent="0.25">
      <c r="A33" s="10"/>
      <c r="BX33" s="11"/>
    </row>
    <row r="34" spans="1:116" ht="15" customHeight="1" x14ac:dyDescent="0.25">
      <c r="A34" s="10"/>
      <c r="BX34" s="11"/>
      <c r="CA34" s="66" t="s">
        <v>80</v>
      </c>
      <c r="CB34" s="66"/>
      <c r="CC34" s="66"/>
      <c r="CD34" s="66"/>
      <c r="CE34" s="66"/>
      <c r="CF34" s="66"/>
      <c r="CG34" s="66"/>
      <c r="CH34" s="66"/>
      <c r="CI34" s="66"/>
      <c r="CJ34" s="66"/>
      <c r="CK34" s="66"/>
      <c r="CL34" s="66"/>
      <c r="CM34" s="66"/>
      <c r="CN34" s="66"/>
      <c r="CO34" s="66"/>
      <c r="CP34" s="66"/>
      <c r="CQ34" s="66"/>
      <c r="CR34" s="66"/>
      <c r="CS34" s="66"/>
      <c r="CT34" s="66"/>
      <c r="CU34" s="66"/>
      <c r="CV34" s="66"/>
      <c r="CW34" s="66"/>
      <c r="CX34" s="66"/>
      <c r="CY34" s="66"/>
      <c r="CZ34" s="66"/>
      <c r="DA34" s="66"/>
      <c r="DB34" s="66"/>
      <c r="DC34" s="66"/>
      <c r="DD34" s="66"/>
      <c r="DE34" s="66"/>
      <c r="DF34" s="66"/>
      <c r="DG34" s="66"/>
      <c r="DH34" s="66"/>
      <c r="DI34" s="66"/>
      <c r="DJ34" s="66"/>
      <c r="DK34" s="66"/>
      <c r="DL34" s="66"/>
    </row>
    <row r="35" spans="1:116" ht="15" customHeight="1" x14ac:dyDescent="0.25">
      <c r="A35" s="10"/>
      <c r="BX35" s="11"/>
    </row>
    <row r="36" spans="1:116" ht="15" customHeight="1" x14ac:dyDescent="0.25">
      <c r="A36" s="10"/>
      <c r="BX36" s="11"/>
    </row>
    <row r="37" spans="1:116" ht="15" customHeight="1" x14ac:dyDescent="0.25">
      <c r="A37" s="10"/>
      <c r="BX37" s="11"/>
    </row>
    <row r="38" spans="1:116" ht="15" customHeight="1" x14ac:dyDescent="0.25">
      <c r="A38" s="10"/>
      <c r="BX38" s="11"/>
    </row>
    <row r="39" spans="1:116" ht="15" customHeight="1" x14ac:dyDescent="0.25">
      <c r="A39" s="10"/>
      <c r="BX39" s="11"/>
    </row>
    <row r="40" spans="1:116" ht="15" customHeight="1" x14ac:dyDescent="0.25">
      <c r="A40" s="10"/>
      <c r="BX40" s="11"/>
    </row>
    <row r="41" spans="1:116" ht="15" customHeight="1" x14ac:dyDescent="0.25">
      <c r="A41" s="10"/>
      <c r="BX41" s="11"/>
    </row>
    <row r="42" spans="1:116" ht="15" customHeight="1" x14ac:dyDescent="0.25">
      <c r="A42" s="10"/>
      <c r="BX42" s="11"/>
    </row>
    <row r="43" spans="1:116" ht="15" customHeight="1" x14ac:dyDescent="0.25">
      <c r="A43" s="10"/>
      <c r="BX43" s="11"/>
    </row>
    <row r="44" spans="1:116" ht="15" customHeight="1" x14ac:dyDescent="0.25">
      <c r="A44" s="10"/>
      <c r="BX44" s="11"/>
    </row>
    <row r="45" spans="1:116" ht="15" customHeight="1" x14ac:dyDescent="0.25">
      <c r="A45" s="10"/>
      <c r="BX45" s="11"/>
    </row>
    <row r="46" spans="1:116" ht="15" customHeight="1" x14ac:dyDescent="0.25">
      <c r="A46" s="10"/>
      <c r="BX46" s="11"/>
    </row>
    <row r="47" spans="1:116" ht="15" customHeight="1" x14ac:dyDescent="0.25">
      <c r="A47" s="10"/>
      <c r="BX47" s="11"/>
      <c r="CA47" s="66" t="s">
        <v>81</v>
      </c>
      <c r="CB47" s="66"/>
      <c r="CC47" s="66"/>
      <c r="CD47" s="66"/>
      <c r="CE47" s="66"/>
      <c r="CF47" s="66"/>
      <c r="CG47" s="66"/>
      <c r="CH47" s="66"/>
      <c r="CI47" s="66"/>
      <c r="CJ47" s="66"/>
      <c r="CK47" s="66"/>
      <c r="CL47" s="66"/>
      <c r="CM47" s="66"/>
      <c r="CN47" s="66"/>
      <c r="CO47" s="66"/>
      <c r="CP47" s="66"/>
      <c r="CQ47" s="66"/>
      <c r="CR47" s="66"/>
      <c r="CS47" s="66"/>
      <c r="CT47" s="66"/>
      <c r="CU47" s="66"/>
      <c r="CV47" s="66"/>
      <c r="CW47" s="66"/>
      <c r="CX47" s="66"/>
      <c r="CY47" s="66"/>
      <c r="CZ47" s="66"/>
      <c r="DA47" s="66"/>
      <c r="DB47" s="66"/>
      <c r="DC47" s="66"/>
      <c r="DD47" s="66"/>
      <c r="DE47" s="66"/>
      <c r="DF47" s="66"/>
      <c r="DG47" s="66"/>
      <c r="DH47" s="66"/>
      <c r="DI47" s="66"/>
      <c r="DJ47" s="66"/>
      <c r="DK47" s="66"/>
      <c r="DL47" s="66"/>
    </row>
    <row r="48" spans="1:116" ht="15" customHeight="1" x14ac:dyDescent="0.25">
      <c r="A48" s="10"/>
      <c r="BX48" s="11"/>
    </row>
    <row r="49" spans="1:76" ht="12.6" x14ac:dyDescent="0.25">
      <c r="A49" s="10"/>
      <c r="BX49" s="11"/>
    </row>
    <row r="50" spans="1:76" ht="12.6" x14ac:dyDescent="0.25">
      <c r="A50" s="12"/>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13"/>
      <c r="BU50" s="13"/>
      <c r="BV50" s="13"/>
      <c r="BW50" s="13"/>
      <c r="BX50" s="14"/>
    </row>
    <row r="51" spans="1:76" ht="12.6" x14ac:dyDescent="0.25">
      <c r="B51" s="21" t="str">
        <f>"機密区分："&amp;機密区分</f>
        <v>機密区分：社外秘</v>
      </c>
      <c r="C51" s="21"/>
      <c r="D51" s="21"/>
      <c r="E51" s="21"/>
      <c r="F51" s="21"/>
      <c r="G51" s="21"/>
      <c r="H51" s="21"/>
      <c r="I51" s="21"/>
      <c r="J51" s="21"/>
      <c r="K51" s="21"/>
      <c r="L51" s="21"/>
      <c r="M51" s="21"/>
      <c r="N51" s="21"/>
      <c r="O51" s="21"/>
      <c r="P51" s="21"/>
      <c r="Q51" s="21"/>
      <c r="R51" s="21"/>
      <c r="S51" s="21"/>
      <c r="T51" s="21"/>
      <c r="U51" s="21"/>
      <c r="V51" s="21"/>
      <c r="W51" s="21"/>
      <c r="X51" s="21"/>
      <c r="Y51" s="21"/>
      <c r="Z51" s="46" t="str">
        <f>IF(会社名="","",会社名)</f>
        <v>（会社名・部署名）</v>
      </c>
      <c r="AA51" s="46"/>
      <c r="AB51" s="46"/>
      <c r="AC51" s="46"/>
      <c r="AD51" s="46"/>
      <c r="AE51" s="46"/>
      <c r="AF51" s="46"/>
      <c r="AG51" s="46"/>
      <c r="AH51" s="46"/>
      <c r="AI51" s="46"/>
      <c r="AJ51" s="46"/>
      <c r="AK51" s="46"/>
      <c r="AL51" s="46"/>
      <c r="AM51" s="46"/>
      <c r="AN51" s="46"/>
      <c r="AO51" s="46"/>
      <c r="AP51" s="46"/>
      <c r="AQ51" s="46"/>
      <c r="AR51" s="46"/>
      <c r="AS51" s="46"/>
      <c r="AT51" s="46"/>
      <c r="AU51" s="46"/>
      <c r="AV51" s="46"/>
      <c r="AW51" s="46"/>
      <c r="AX51" s="46"/>
      <c r="AY51" s="46"/>
      <c r="AZ51" s="47" t="str">
        <f>"文書番号："&amp;文書番号&amp;"　版数："&amp;版数</f>
        <v>文書番号：ARC-0002　版数：1.0</v>
      </c>
      <c r="BA51" s="47"/>
      <c r="BB51" s="47"/>
      <c r="BC51" s="47"/>
      <c r="BD51" s="47"/>
      <c r="BE51" s="47"/>
      <c r="BF51" s="47"/>
      <c r="BG51" s="47"/>
      <c r="BH51" s="47"/>
      <c r="BI51" s="47"/>
      <c r="BJ51" s="47"/>
      <c r="BK51" s="47"/>
      <c r="BL51" s="47"/>
      <c r="BM51" s="47"/>
      <c r="BN51" s="47"/>
      <c r="BO51" s="47"/>
      <c r="BP51" s="47"/>
      <c r="BQ51" s="47"/>
      <c r="BR51" s="47"/>
      <c r="BS51" s="47"/>
      <c r="BT51" s="47"/>
      <c r="BU51" s="47"/>
      <c r="BV51" s="47"/>
      <c r="BW51" s="47"/>
      <c r="BX51" s="47"/>
    </row>
  </sheetData>
  <mergeCells count="27">
    <mergeCell ref="B51:Y51"/>
    <mergeCell ref="Z51:AY51"/>
    <mergeCell ref="AZ51:BX51"/>
    <mergeCell ref="CA1:DL2"/>
    <mergeCell ref="CA3:DL3"/>
    <mergeCell ref="CA5:CH5"/>
    <mergeCell ref="CJ5:CQ5"/>
    <mergeCell ref="CS5:CZ5"/>
    <mergeCell ref="DB5:DI5"/>
    <mergeCell ref="CA6:DL6"/>
    <mergeCell ref="CA27:DL27"/>
    <mergeCell ref="CA34:DL34"/>
    <mergeCell ref="CA47:DL47"/>
    <mergeCell ref="BF1:BK1"/>
    <mergeCell ref="BL1:BQ1"/>
    <mergeCell ref="BR1:BX1"/>
    <mergeCell ref="AJ2:AN3"/>
    <mergeCell ref="AO2:BA3"/>
    <mergeCell ref="BB2:BE3"/>
    <mergeCell ref="BF2:BK3"/>
    <mergeCell ref="BL2:BQ3"/>
    <mergeCell ref="BR2:BX3"/>
    <mergeCell ref="C1:AH2"/>
    <mergeCell ref="C3:AH3"/>
    <mergeCell ref="AJ1:AN1"/>
    <mergeCell ref="AO1:BA1"/>
    <mergeCell ref="BB1:BE1"/>
  </mergeCells>
  <phoneticPr fontId="35"/>
  <printOptions horizontalCentered="1"/>
  <pageMargins left="0.4" right="0.4" top="0.4" bottom="0.4" header="0.3" footer="0.3"/>
  <pageSetup paperSize="8"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95959"/>
    <pageSetUpPr fitToPage="1"/>
  </sheetPr>
  <dimension ref="A1:BX51"/>
  <sheetViews>
    <sheetView zoomScale="80" zoomScaleNormal="80" workbookViewId="0"/>
  </sheetViews>
  <sheetFormatPr defaultRowHeight="15" customHeight="1" x14ac:dyDescent="0.25"/>
  <cols>
    <col min="1" max="161" width="2.80859375" customWidth="1"/>
  </cols>
  <sheetData>
    <row r="1" spans="1:76" ht="15" customHeight="1" x14ac:dyDescent="0.25">
      <c r="A1" s="1"/>
      <c r="C1" s="54" t="str">
        <f>文書名&amp;"　記入例"</f>
        <v>システム構成図　記入例</v>
      </c>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J1" s="56" t="s">
        <v>69</v>
      </c>
      <c r="AK1" s="56"/>
      <c r="AL1" s="56"/>
      <c r="AM1" s="56"/>
      <c r="AN1" s="56"/>
      <c r="AO1" s="56" t="s">
        <v>6</v>
      </c>
      <c r="AP1" s="56"/>
      <c r="AQ1" s="56"/>
      <c r="AR1" s="56"/>
      <c r="AS1" s="56"/>
      <c r="AT1" s="56"/>
      <c r="AU1" s="56"/>
      <c r="AV1" s="56"/>
      <c r="AW1" s="56"/>
      <c r="AX1" s="56"/>
      <c r="AY1" s="56"/>
      <c r="AZ1" s="56"/>
      <c r="BA1" s="56"/>
      <c r="BB1" s="56" t="s">
        <v>10</v>
      </c>
      <c r="BC1" s="56"/>
      <c r="BD1" s="56"/>
      <c r="BE1" s="56"/>
      <c r="BF1" s="56" t="s">
        <v>12</v>
      </c>
      <c r="BG1" s="56"/>
      <c r="BH1" s="56"/>
      <c r="BI1" s="56"/>
      <c r="BJ1" s="56"/>
      <c r="BK1" s="56"/>
      <c r="BL1" s="56" t="s">
        <v>70</v>
      </c>
      <c r="BM1" s="56"/>
      <c r="BN1" s="56"/>
      <c r="BO1" s="56"/>
      <c r="BP1" s="56"/>
      <c r="BQ1" s="56"/>
      <c r="BR1" s="56" t="s">
        <v>14</v>
      </c>
      <c r="BS1" s="56"/>
      <c r="BT1" s="56"/>
      <c r="BU1" s="56"/>
      <c r="BV1" s="56"/>
      <c r="BW1" s="56"/>
      <c r="BX1" s="56"/>
    </row>
    <row r="2" spans="1:76" ht="15" customHeight="1" x14ac:dyDescent="0.25">
      <c r="A2" s="1"/>
      <c r="C2" s="54"/>
      <c r="D2" s="54"/>
      <c r="E2" s="54"/>
      <c r="F2" s="54"/>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J2" s="57" t="s">
        <v>71</v>
      </c>
      <c r="AK2" s="57"/>
      <c r="AL2" s="57"/>
      <c r="AM2" s="57"/>
      <c r="AN2" s="57"/>
      <c r="AO2" s="58" t="s">
        <v>83</v>
      </c>
      <c r="AP2" s="58"/>
      <c r="AQ2" s="58"/>
      <c r="AR2" s="58"/>
      <c r="AS2" s="58"/>
      <c r="AT2" s="58"/>
      <c r="AU2" s="58"/>
      <c r="AV2" s="58"/>
      <c r="AW2" s="58"/>
      <c r="AX2" s="58"/>
      <c r="AY2" s="58"/>
      <c r="AZ2" s="58"/>
      <c r="BA2" s="58"/>
      <c r="BB2" s="58" t="s">
        <v>11</v>
      </c>
      <c r="BC2" s="58"/>
      <c r="BD2" s="58"/>
      <c r="BE2" s="58"/>
      <c r="BF2" s="59">
        <v>46298</v>
      </c>
      <c r="BG2" s="59"/>
      <c r="BH2" s="59"/>
      <c r="BI2" s="59"/>
      <c r="BJ2" s="59"/>
      <c r="BK2" s="59"/>
      <c r="BL2" s="59">
        <v>46298</v>
      </c>
      <c r="BM2" s="59"/>
      <c r="BN2" s="59"/>
      <c r="BO2" s="59"/>
      <c r="BP2" s="59"/>
      <c r="BQ2" s="59"/>
      <c r="BR2" s="58" t="s">
        <v>84</v>
      </c>
      <c r="BS2" s="58"/>
      <c r="BT2" s="58"/>
      <c r="BU2" s="58"/>
      <c r="BV2" s="58"/>
      <c r="BW2" s="58"/>
      <c r="BX2" s="58"/>
    </row>
    <row r="3" spans="1:76" ht="15" customHeight="1" x14ac:dyDescent="0.25">
      <c r="A3" s="1"/>
      <c r="C3" s="55" t="s">
        <v>82</v>
      </c>
      <c r="D3" s="55"/>
      <c r="E3" s="55"/>
      <c r="F3" s="55"/>
      <c r="G3" s="55"/>
      <c r="H3" s="55"/>
      <c r="I3" s="55"/>
      <c r="J3" s="55"/>
      <c r="K3" s="55"/>
      <c r="L3" s="55"/>
      <c r="M3" s="55"/>
      <c r="N3" s="55"/>
      <c r="O3" s="55"/>
      <c r="P3" s="55"/>
      <c r="Q3" s="55"/>
      <c r="R3" s="55"/>
      <c r="S3" s="55"/>
      <c r="T3" s="55"/>
      <c r="U3" s="55"/>
      <c r="V3" s="55"/>
      <c r="W3" s="55"/>
      <c r="X3" s="55"/>
      <c r="Y3" s="55"/>
      <c r="Z3" s="55"/>
      <c r="AA3" s="55"/>
      <c r="AB3" s="55"/>
      <c r="AC3" s="55"/>
      <c r="AD3" s="55"/>
      <c r="AE3" s="55"/>
      <c r="AF3" s="55"/>
      <c r="AG3" s="55"/>
      <c r="AH3" s="55"/>
      <c r="AJ3" s="57"/>
      <c r="AK3" s="57"/>
      <c r="AL3" s="57"/>
      <c r="AM3" s="57"/>
      <c r="AN3" s="57"/>
      <c r="AO3" s="58"/>
      <c r="AP3" s="58"/>
      <c r="AQ3" s="58"/>
      <c r="AR3" s="58"/>
      <c r="AS3" s="58"/>
      <c r="AT3" s="58"/>
      <c r="AU3" s="58"/>
      <c r="AV3" s="58"/>
      <c r="AW3" s="58"/>
      <c r="AX3" s="58"/>
      <c r="AY3" s="58"/>
      <c r="AZ3" s="58"/>
      <c r="BA3" s="58"/>
      <c r="BB3" s="58"/>
      <c r="BC3" s="58"/>
      <c r="BD3" s="58"/>
      <c r="BE3" s="58"/>
      <c r="BF3" s="59"/>
      <c r="BG3" s="59"/>
      <c r="BH3" s="59"/>
      <c r="BI3" s="59"/>
      <c r="BJ3" s="59"/>
      <c r="BK3" s="59"/>
      <c r="BL3" s="59"/>
      <c r="BM3" s="59"/>
      <c r="BN3" s="59"/>
      <c r="BO3" s="59"/>
      <c r="BP3" s="59"/>
      <c r="BQ3" s="59"/>
      <c r="BR3" s="58"/>
      <c r="BS3" s="58"/>
      <c r="BT3" s="58"/>
      <c r="BU3" s="58"/>
      <c r="BV3" s="58"/>
      <c r="BW3" s="58"/>
      <c r="BX3" s="58"/>
    </row>
    <row r="5" spans="1:76" ht="15" customHeight="1" x14ac:dyDescent="0.25">
      <c r="A5" s="7"/>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9"/>
    </row>
    <row r="6" spans="1:76" ht="15" customHeight="1" x14ac:dyDescent="0.25">
      <c r="A6" s="10"/>
      <c r="BX6" s="11"/>
    </row>
    <row r="7" spans="1:76" ht="15" customHeight="1" x14ac:dyDescent="0.25">
      <c r="A7" s="10"/>
      <c r="BX7" s="11"/>
    </row>
    <row r="8" spans="1:76" ht="15" customHeight="1" x14ac:dyDescent="0.25">
      <c r="A8" s="10"/>
      <c r="BX8" s="11"/>
    </row>
    <row r="9" spans="1:76" ht="15" customHeight="1" x14ac:dyDescent="0.25">
      <c r="A9" s="10"/>
      <c r="BX9" s="11"/>
    </row>
    <row r="10" spans="1:76" ht="15" customHeight="1" x14ac:dyDescent="0.25">
      <c r="A10" s="10"/>
      <c r="BX10" s="11"/>
    </row>
    <row r="11" spans="1:76" ht="15" customHeight="1" x14ac:dyDescent="0.25">
      <c r="A11" s="10"/>
      <c r="BX11" s="11"/>
    </row>
    <row r="12" spans="1:76" ht="15" customHeight="1" x14ac:dyDescent="0.25">
      <c r="A12" s="10"/>
      <c r="BX12" s="11"/>
    </row>
    <row r="13" spans="1:76" ht="15" customHeight="1" x14ac:dyDescent="0.25">
      <c r="A13" s="10"/>
      <c r="BX13" s="11"/>
    </row>
    <row r="14" spans="1:76" ht="15" customHeight="1" x14ac:dyDescent="0.25">
      <c r="A14" s="10"/>
      <c r="BX14" s="11"/>
    </row>
    <row r="15" spans="1:76" ht="15" customHeight="1" x14ac:dyDescent="0.25">
      <c r="A15" s="10"/>
      <c r="BX15" s="11"/>
    </row>
    <row r="16" spans="1:76" ht="15" customHeight="1" x14ac:dyDescent="0.25">
      <c r="A16" s="10"/>
      <c r="BX16" s="11"/>
    </row>
    <row r="17" spans="1:76" ht="15" customHeight="1" x14ac:dyDescent="0.25">
      <c r="A17" s="10"/>
      <c r="BX17" s="11"/>
    </row>
    <row r="18" spans="1:76" ht="15" customHeight="1" x14ac:dyDescent="0.25">
      <c r="A18" s="10"/>
      <c r="BX18" s="11"/>
    </row>
    <row r="19" spans="1:76" ht="15" customHeight="1" x14ac:dyDescent="0.25">
      <c r="A19" s="10"/>
      <c r="BX19" s="11"/>
    </row>
    <row r="20" spans="1:76" ht="15" customHeight="1" x14ac:dyDescent="0.25">
      <c r="A20" s="10"/>
      <c r="BX20" s="11"/>
    </row>
    <row r="21" spans="1:76" ht="15" customHeight="1" x14ac:dyDescent="0.25">
      <c r="A21" s="10"/>
      <c r="BX21" s="11"/>
    </row>
    <row r="22" spans="1:76" ht="15" customHeight="1" x14ac:dyDescent="0.25">
      <c r="A22" s="10"/>
      <c r="BX22" s="11"/>
    </row>
    <row r="23" spans="1:76" ht="15" customHeight="1" x14ac:dyDescent="0.25">
      <c r="A23" s="10"/>
      <c r="BX23" s="11"/>
    </row>
    <row r="24" spans="1:76" ht="15" customHeight="1" x14ac:dyDescent="0.25">
      <c r="A24" s="10"/>
      <c r="BX24" s="11"/>
    </row>
    <row r="25" spans="1:76" ht="15" customHeight="1" x14ac:dyDescent="0.25">
      <c r="A25" s="10"/>
      <c r="BX25" s="11"/>
    </row>
    <row r="26" spans="1:76" ht="15" customHeight="1" x14ac:dyDescent="0.25">
      <c r="A26" s="10"/>
      <c r="BX26" s="11"/>
    </row>
    <row r="27" spans="1:76" ht="15" customHeight="1" x14ac:dyDescent="0.25">
      <c r="A27" s="10"/>
      <c r="BX27" s="11"/>
    </row>
    <row r="28" spans="1:76" ht="15" customHeight="1" x14ac:dyDescent="0.25">
      <c r="A28" s="10"/>
      <c r="BX28" s="11"/>
    </row>
    <row r="29" spans="1:76" ht="15" customHeight="1" x14ac:dyDescent="0.25">
      <c r="A29" s="10"/>
      <c r="BX29" s="11"/>
    </row>
    <row r="30" spans="1:76" ht="15" customHeight="1" x14ac:dyDescent="0.25">
      <c r="A30" s="10"/>
      <c r="BX30" s="11"/>
    </row>
    <row r="31" spans="1:76" ht="15" customHeight="1" x14ac:dyDescent="0.25">
      <c r="A31" s="10"/>
      <c r="BX31" s="11"/>
    </row>
    <row r="32" spans="1:76" ht="15" customHeight="1" x14ac:dyDescent="0.25">
      <c r="A32" s="10"/>
      <c r="BX32" s="11"/>
    </row>
    <row r="33" spans="1:76" ht="15" customHeight="1" x14ac:dyDescent="0.25">
      <c r="A33" s="10"/>
      <c r="BX33" s="11"/>
    </row>
    <row r="34" spans="1:76" ht="15" customHeight="1" x14ac:dyDescent="0.25">
      <c r="A34" s="10"/>
      <c r="BX34" s="11"/>
    </row>
    <row r="35" spans="1:76" ht="15" customHeight="1" x14ac:dyDescent="0.25">
      <c r="A35" s="10"/>
      <c r="BX35" s="11"/>
    </row>
    <row r="36" spans="1:76" ht="15" customHeight="1" x14ac:dyDescent="0.25">
      <c r="A36" s="10"/>
      <c r="BX36" s="11"/>
    </row>
    <row r="37" spans="1:76" ht="15" customHeight="1" x14ac:dyDescent="0.25">
      <c r="A37" s="10"/>
      <c r="BX37" s="11"/>
    </row>
    <row r="38" spans="1:76" ht="15" customHeight="1" x14ac:dyDescent="0.25">
      <c r="A38" s="10"/>
      <c r="BX38" s="11"/>
    </row>
    <row r="39" spans="1:76" ht="15" customHeight="1" x14ac:dyDescent="0.25">
      <c r="A39" s="10"/>
      <c r="BX39" s="11"/>
    </row>
    <row r="40" spans="1:76" ht="15" customHeight="1" x14ac:dyDescent="0.25">
      <c r="A40" s="10"/>
      <c r="BX40" s="11"/>
    </row>
    <row r="41" spans="1:76" ht="15" customHeight="1" x14ac:dyDescent="0.25">
      <c r="A41" s="10"/>
      <c r="BX41" s="11"/>
    </row>
    <row r="42" spans="1:76" ht="15" customHeight="1" x14ac:dyDescent="0.25">
      <c r="A42" s="10"/>
      <c r="BX42" s="11"/>
    </row>
    <row r="43" spans="1:76" ht="15" customHeight="1" x14ac:dyDescent="0.25">
      <c r="A43" s="10"/>
      <c r="BX43" s="11"/>
    </row>
    <row r="44" spans="1:76" ht="15" customHeight="1" x14ac:dyDescent="0.25">
      <c r="A44" s="10"/>
      <c r="BX44" s="11"/>
    </row>
    <row r="45" spans="1:76" ht="15" customHeight="1" x14ac:dyDescent="0.25">
      <c r="A45" s="10"/>
      <c r="BX45" s="11"/>
    </row>
    <row r="46" spans="1:76" ht="15" customHeight="1" x14ac:dyDescent="0.25">
      <c r="A46" s="10"/>
      <c r="BX46" s="11"/>
    </row>
    <row r="47" spans="1:76" ht="15" customHeight="1" x14ac:dyDescent="0.25">
      <c r="A47" s="10"/>
      <c r="BX47" s="11"/>
    </row>
    <row r="48" spans="1:76" ht="15" customHeight="1" x14ac:dyDescent="0.25">
      <c r="A48" s="10"/>
      <c r="BX48" s="11"/>
    </row>
    <row r="49" spans="1:76" ht="12.6" x14ac:dyDescent="0.25">
      <c r="A49" s="10"/>
      <c r="BX49" s="11"/>
    </row>
    <row r="50" spans="1:76" ht="12.6" x14ac:dyDescent="0.25">
      <c r="A50" s="12"/>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13"/>
      <c r="BU50" s="13"/>
      <c r="BV50" s="13"/>
      <c r="BW50" s="13"/>
      <c r="BX50" s="14"/>
    </row>
    <row r="51" spans="1:76" ht="12.6" x14ac:dyDescent="0.25">
      <c r="B51" s="21" t="str">
        <f>"機密区分："&amp;機密区分</f>
        <v>機密区分：社外秘</v>
      </c>
      <c r="C51" s="21"/>
      <c r="D51" s="21"/>
      <c r="E51" s="21"/>
      <c r="F51" s="21"/>
      <c r="G51" s="21"/>
      <c r="H51" s="21"/>
      <c r="I51" s="21"/>
      <c r="J51" s="21"/>
      <c r="K51" s="21"/>
      <c r="L51" s="21"/>
      <c r="M51" s="21"/>
      <c r="N51" s="21"/>
      <c r="O51" s="21"/>
      <c r="P51" s="21"/>
      <c r="Q51" s="21"/>
      <c r="R51" s="21"/>
      <c r="S51" s="21"/>
      <c r="T51" s="21"/>
      <c r="U51" s="21"/>
      <c r="V51" s="21"/>
      <c r="W51" s="21"/>
      <c r="X51" s="21"/>
      <c r="Y51" s="21"/>
      <c r="Z51" s="46" t="str">
        <f>IF(会社名="","",会社名)</f>
        <v>（会社名・部署名）</v>
      </c>
      <c r="AA51" s="46"/>
      <c r="AB51" s="46"/>
      <c r="AC51" s="46"/>
      <c r="AD51" s="46"/>
      <c r="AE51" s="46"/>
      <c r="AF51" s="46"/>
      <c r="AG51" s="46"/>
      <c r="AH51" s="46"/>
      <c r="AI51" s="46"/>
      <c r="AJ51" s="46"/>
      <c r="AK51" s="46"/>
      <c r="AL51" s="46"/>
      <c r="AM51" s="46"/>
      <c r="AN51" s="46"/>
      <c r="AO51" s="46"/>
      <c r="AP51" s="46"/>
      <c r="AQ51" s="46"/>
      <c r="AR51" s="46"/>
      <c r="AS51" s="46"/>
      <c r="AT51" s="46"/>
      <c r="AU51" s="46"/>
      <c r="AV51" s="46"/>
      <c r="AW51" s="46"/>
      <c r="AX51" s="46"/>
      <c r="AY51" s="46"/>
      <c r="AZ51" s="47" t="str">
        <f>"文書番号："&amp;文書番号&amp;"　版数："&amp;版数</f>
        <v>文書番号：ARC-0002　版数：1.0</v>
      </c>
      <c r="BA51" s="47"/>
      <c r="BB51" s="47"/>
      <c r="BC51" s="47"/>
      <c r="BD51" s="47"/>
      <c r="BE51" s="47"/>
      <c r="BF51" s="47"/>
      <c r="BG51" s="47"/>
      <c r="BH51" s="47"/>
      <c r="BI51" s="47"/>
      <c r="BJ51" s="47"/>
      <c r="BK51" s="47"/>
      <c r="BL51" s="47"/>
      <c r="BM51" s="47"/>
      <c r="BN51" s="47"/>
      <c r="BO51" s="47"/>
      <c r="BP51" s="47"/>
      <c r="BQ51" s="47"/>
      <c r="BR51" s="47"/>
      <c r="BS51" s="47"/>
      <c r="BT51" s="47"/>
      <c r="BU51" s="47"/>
      <c r="BV51" s="47"/>
      <c r="BW51" s="47"/>
      <c r="BX51" s="47"/>
    </row>
  </sheetData>
  <mergeCells count="17">
    <mergeCell ref="B51:Y51"/>
    <mergeCell ref="Z51:AY51"/>
    <mergeCell ref="AZ51:BX51"/>
    <mergeCell ref="BF1:BK1"/>
    <mergeCell ref="BL1:BQ1"/>
    <mergeCell ref="BR1:BX1"/>
    <mergeCell ref="AJ2:AN3"/>
    <mergeCell ref="AO2:BA3"/>
    <mergeCell ref="BB2:BE3"/>
    <mergeCell ref="BF2:BK3"/>
    <mergeCell ref="BL2:BQ3"/>
    <mergeCell ref="BR2:BX3"/>
    <mergeCell ref="C1:AH2"/>
    <mergeCell ref="C3:AH3"/>
    <mergeCell ref="AJ1:AN1"/>
    <mergeCell ref="AO1:BA1"/>
    <mergeCell ref="BB1:BE1"/>
  </mergeCells>
  <phoneticPr fontId="35"/>
  <printOptions horizontalCentered="1"/>
  <pageMargins left="0.4" right="0.4" top="0.4" bottom="0.4" header="0.3" footer="0.3"/>
  <pageSetup paperSize="8"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62626"/>
    <pageSetUpPr fitToPage="1"/>
  </sheetPr>
  <dimension ref="B1:BW198"/>
  <sheetViews>
    <sheetView zoomScale="80" zoomScaleNormal="80" workbookViewId="0"/>
  </sheetViews>
  <sheetFormatPr defaultRowHeight="15" customHeight="1" x14ac:dyDescent="0.25"/>
  <cols>
    <col min="1" max="161" width="2.80859375" customWidth="1"/>
  </cols>
  <sheetData>
    <row r="1" spans="2:75" ht="15" customHeight="1" x14ac:dyDescent="0.25">
      <c r="B1" s="48" t="s">
        <v>85</v>
      </c>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c r="AL1" s="48"/>
      <c r="AM1" s="48"/>
      <c r="AN1" s="48"/>
      <c r="AO1" s="48"/>
      <c r="AP1" s="48"/>
      <c r="AQ1" s="48"/>
      <c r="AR1" s="48"/>
      <c r="AS1" s="48"/>
      <c r="AT1" s="48"/>
      <c r="AU1" s="48"/>
      <c r="AV1" s="48"/>
      <c r="AW1" s="48"/>
      <c r="AX1" s="48"/>
      <c r="AY1" s="48"/>
      <c r="AZ1" s="48"/>
      <c r="BA1" s="48"/>
      <c r="BB1" s="48"/>
      <c r="BC1" s="48"/>
      <c r="BD1" s="48"/>
      <c r="BE1" s="48"/>
      <c r="BF1" s="48"/>
      <c r="BG1" s="48"/>
      <c r="BH1" s="48"/>
      <c r="BI1" s="48"/>
      <c r="BJ1" s="48"/>
      <c r="BK1" s="48"/>
      <c r="BL1" s="48"/>
      <c r="BM1" s="48"/>
      <c r="BN1" s="48"/>
      <c r="BO1" s="48"/>
      <c r="BP1" s="48"/>
      <c r="BQ1" s="48"/>
      <c r="BR1" s="48"/>
      <c r="BS1" s="48"/>
      <c r="BT1" s="48"/>
      <c r="BU1" s="48"/>
      <c r="BV1" s="48"/>
      <c r="BW1" s="48"/>
    </row>
    <row r="2" spans="2:75" ht="15" customHeight="1" x14ac:dyDescent="0.25">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row>
    <row r="3" spans="2:75" ht="15" customHeight="1" x14ac:dyDescent="0.25">
      <c r="B3" s="67" t="s">
        <v>86</v>
      </c>
      <c r="C3" s="67"/>
      <c r="D3" s="67"/>
      <c r="E3" s="67"/>
      <c r="F3" s="67"/>
      <c r="G3" s="67"/>
      <c r="H3" s="67"/>
      <c r="I3" s="67"/>
      <c r="J3" s="67"/>
      <c r="K3" s="67"/>
      <c r="L3" s="67"/>
      <c r="M3" s="67"/>
      <c r="N3" s="67"/>
      <c r="O3" s="67"/>
      <c r="P3" s="67"/>
      <c r="Q3" s="67"/>
      <c r="R3" s="67"/>
      <c r="S3" s="67"/>
      <c r="T3" s="67"/>
      <c r="U3" s="67"/>
      <c r="V3" s="67"/>
      <c r="W3" s="67"/>
      <c r="X3" s="67"/>
      <c r="Y3" s="67"/>
      <c r="Z3" s="67"/>
      <c r="AA3" s="67"/>
      <c r="AB3" s="67"/>
      <c r="AC3" s="67"/>
      <c r="AD3" s="67"/>
      <c r="AE3" s="67"/>
      <c r="AF3" s="67"/>
      <c r="AG3" s="67"/>
      <c r="AH3" s="67"/>
      <c r="AI3" s="67"/>
      <c r="AJ3" s="67"/>
      <c r="AK3" s="67"/>
      <c r="AL3" s="67"/>
      <c r="AM3" s="67"/>
      <c r="AN3" s="67"/>
      <c r="AO3" s="67"/>
      <c r="AP3" s="67"/>
      <c r="AQ3" s="67"/>
      <c r="AR3" s="67"/>
      <c r="AS3" s="67"/>
      <c r="AT3" s="67"/>
      <c r="AU3" s="67"/>
      <c r="AV3" s="67"/>
      <c r="AW3" s="67"/>
      <c r="AX3" s="67"/>
      <c r="AY3" s="67"/>
      <c r="AZ3" s="67"/>
      <c r="BA3" s="67"/>
      <c r="BB3" s="67"/>
      <c r="BC3" s="67"/>
      <c r="BD3" s="67"/>
      <c r="BE3" s="67"/>
      <c r="BF3" s="67"/>
      <c r="BG3" s="67"/>
      <c r="BH3" s="67"/>
      <c r="BI3" s="67"/>
      <c r="BJ3" s="67"/>
      <c r="BK3" s="67"/>
      <c r="BL3" s="67"/>
      <c r="BM3" s="67"/>
      <c r="BN3" s="67"/>
      <c r="BO3" s="67"/>
      <c r="BP3" s="67"/>
      <c r="BQ3" s="67"/>
      <c r="BR3" s="67"/>
      <c r="BS3" s="67"/>
      <c r="BT3" s="67"/>
      <c r="BU3" s="67"/>
      <c r="BV3" s="67"/>
      <c r="BW3" s="67"/>
    </row>
    <row r="5" spans="2:75" ht="15" customHeight="1" x14ac:dyDescent="0.25">
      <c r="B5" s="68" t="s">
        <v>87</v>
      </c>
      <c r="C5" s="68"/>
      <c r="D5" s="68"/>
      <c r="E5" s="68"/>
      <c r="F5" s="68"/>
      <c r="G5" s="68"/>
      <c r="H5" s="68"/>
      <c r="I5" s="68"/>
      <c r="J5" s="68"/>
      <c r="K5" s="68"/>
      <c r="L5" s="68"/>
      <c r="M5" s="68"/>
      <c r="N5" s="68"/>
      <c r="O5" s="68"/>
      <c r="P5" s="68"/>
      <c r="Q5" s="68"/>
      <c r="R5" s="68"/>
      <c r="S5" s="68"/>
      <c r="T5" s="68"/>
      <c r="U5" s="68"/>
      <c r="V5" s="68"/>
      <c r="W5" s="68"/>
      <c r="X5" s="68"/>
      <c r="Y5" s="68"/>
      <c r="Z5" s="68"/>
      <c r="AA5" s="68"/>
      <c r="AB5" s="68"/>
      <c r="AC5" s="68"/>
      <c r="AD5" s="68"/>
      <c r="AE5" s="68"/>
      <c r="AF5" s="68"/>
      <c r="AG5" s="68"/>
      <c r="AH5" s="68"/>
      <c r="AI5" s="68"/>
      <c r="AJ5" s="68"/>
      <c r="AK5" s="68"/>
      <c r="AL5" s="68"/>
      <c r="AM5" s="68"/>
      <c r="AN5" s="68"/>
      <c r="AO5" s="68"/>
    </row>
    <row r="7" spans="2:75" ht="15" customHeight="1" x14ac:dyDescent="0.25">
      <c r="R7" s="69" t="s">
        <v>88</v>
      </c>
      <c r="S7" s="69"/>
      <c r="T7" s="69"/>
      <c r="U7" s="69"/>
      <c r="V7" s="69"/>
      <c r="W7" s="69"/>
      <c r="X7" s="69"/>
      <c r="Y7" s="69"/>
      <c r="Z7" s="69"/>
      <c r="AA7" s="69"/>
      <c r="AB7" s="69"/>
      <c r="AC7" s="69"/>
      <c r="AD7" s="69"/>
      <c r="AE7" s="69"/>
      <c r="AF7" s="69"/>
      <c r="AG7" s="69"/>
      <c r="AH7" s="69"/>
      <c r="AI7" s="69"/>
      <c r="AJ7" s="69"/>
      <c r="AK7" s="69"/>
      <c r="AL7" s="69"/>
      <c r="AM7" s="69"/>
      <c r="AN7" s="69"/>
      <c r="AO7" s="69"/>
      <c r="AP7" s="69"/>
      <c r="AQ7" s="69"/>
      <c r="AR7" s="69"/>
      <c r="AS7" s="69"/>
      <c r="AT7" s="69"/>
      <c r="AU7" s="69"/>
      <c r="AV7" s="69"/>
      <c r="AW7" s="69"/>
      <c r="AX7" s="69"/>
      <c r="AY7" s="69"/>
      <c r="AZ7" s="69"/>
      <c r="BA7" s="69"/>
      <c r="BB7" s="69"/>
      <c r="BC7" s="69"/>
      <c r="BD7" s="69"/>
      <c r="BE7" s="69"/>
      <c r="BF7" s="69"/>
      <c r="BG7" s="69"/>
      <c r="BH7" s="69"/>
      <c r="BI7" s="69"/>
      <c r="BJ7" s="69"/>
      <c r="BK7" s="69"/>
      <c r="BL7" s="69"/>
      <c r="BM7" s="69"/>
      <c r="BN7" s="69"/>
      <c r="BO7" s="69"/>
      <c r="BP7" s="69"/>
      <c r="BQ7" s="69"/>
      <c r="BR7" s="69"/>
      <c r="BS7" s="69"/>
      <c r="BT7" s="69"/>
      <c r="BU7" s="69"/>
      <c r="BV7" s="69"/>
      <c r="BW7" s="69"/>
    </row>
    <row r="8" spans="2:75" ht="15" customHeight="1" x14ac:dyDescent="0.25">
      <c r="R8" s="69" t="s">
        <v>89</v>
      </c>
      <c r="S8" s="69"/>
      <c r="T8" s="69"/>
      <c r="U8" s="69"/>
      <c r="V8" s="69"/>
      <c r="W8" s="69"/>
      <c r="X8" s="69"/>
      <c r="Y8" s="69"/>
      <c r="Z8" s="69"/>
      <c r="AA8" s="69"/>
      <c r="AB8" s="69"/>
      <c r="AC8" s="69"/>
      <c r="AD8" s="69"/>
      <c r="AE8" s="69"/>
      <c r="AF8" s="69"/>
      <c r="AG8" s="69"/>
      <c r="AH8" s="69"/>
      <c r="AI8" s="69"/>
      <c r="AJ8" s="69"/>
      <c r="AK8" s="69"/>
      <c r="AL8" s="69"/>
      <c r="AM8" s="69"/>
      <c r="AN8" s="69"/>
      <c r="AO8" s="69"/>
      <c r="AP8" s="69"/>
      <c r="AQ8" s="69"/>
      <c r="AR8" s="69"/>
      <c r="AS8" s="69"/>
      <c r="AT8" s="69"/>
      <c r="AU8" s="69"/>
      <c r="AV8" s="69"/>
      <c r="AW8" s="69"/>
      <c r="AX8" s="69"/>
      <c r="AY8" s="69"/>
      <c r="AZ8" s="69"/>
      <c r="BA8" s="69"/>
      <c r="BB8" s="69"/>
      <c r="BC8" s="69"/>
      <c r="BD8" s="69"/>
      <c r="BE8" s="69"/>
      <c r="BF8" s="69"/>
      <c r="BG8" s="69"/>
      <c r="BH8" s="69"/>
      <c r="BI8" s="69"/>
      <c r="BJ8" s="69"/>
      <c r="BK8" s="69"/>
      <c r="BL8" s="69"/>
      <c r="BM8" s="69"/>
      <c r="BN8" s="69"/>
      <c r="BO8" s="69"/>
      <c r="BP8" s="69"/>
      <c r="BQ8" s="69"/>
      <c r="BR8" s="69"/>
      <c r="BS8" s="69"/>
      <c r="BT8" s="69"/>
      <c r="BU8" s="69"/>
      <c r="BV8" s="69"/>
      <c r="BW8" s="69"/>
    </row>
    <row r="9" spans="2:75" ht="15" customHeight="1" x14ac:dyDescent="0.25">
      <c r="R9" s="69" t="s">
        <v>90</v>
      </c>
      <c r="S9" s="69"/>
      <c r="T9" s="69"/>
      <c r="U9" s="69"/>
      <c r="V9" s="69"/>
      <c r="W9" s="69"/>
      <c r="X9" s="69"/>
      <c r="Y9" s="69"/>
      <c r="Z9" s="69"/>
      <c r="AA9" s="69"/>
      <c r="AB9" s="69"/>
      <c r="AC9" s="69"/>
      <c r="AD9" s="69"/>
      <c r="AE9" s="69"/>
      <c r="AF9" s="69"/>
      <c r="AG9" s="69"/>
      <c r="AH9" s="69"/>
      <c r="AI9" s="69"/>
      <c r="AJ9" s="69"/>
      <c r="AK9" s="69"/>
      <c r="AL9" s="69"/>
      <c r="AM9" s="69"/>
      <c r="AN9" s="69"/>
      <c r="AO9" s="69"/>
      <c r="AP9" s="69"/>
      <c r="AQ9" s="69"/>
      <c r="AR9" s="69"/>
      <c r="AS9" s="69"/>
      <c r="AT9" s="69"/>
      <c r="AU9" s="69"/>
      <c r="AV9" s="69"/>
      <c r="AW9" s="69"/>
      <c r="AX9" s="69"/>
      <c r="AY9" s="69"/>
      <c r="AZ9" s="69"/>
      <c r="BA9" s="69"/>
      <c r="BB9" s="69"/>
      <c r="BC9" s="69"/>
      <c r="BD9" s="69"/>
      <c r="BE9" s="69"/>
      <c r="BF9" s="69"/>
      <c r="BG9" s="69"/>
      <c r="BH9" s="69"/>
      <c r="BI9" s="69"/>
      <c r="BJ9" s="69"/>
      <c r="BK9" s="69"/>
      <c r="BL9" s="69"/>
      <c r="BM9" s="69"/>
      <c r="BN9" s="69"/>
      <c r="BO9" s="69"/>
      <c r="BP9" s="69"/>
      <c r="BQ9" s="69"/>
      <c r="BR9" s="69"/>
      <c r="BS9" s="69"/>
      <c r="BT9" s="69"/>
      <c r="BU9" s="69"/>
      <c r="BV9" s="69"/>
      <c r="BW9" s="69"/>
    </row>
    <row r="10" spans="2:75" ht="15" customHeight="1" x14ac:dyDescent="0.25">
      <c r="R10" s="69" t="s">
        <v>91</v>
      </c>
      <c r="S10" s="69"/>
      <c r="T10" s="69"/>
      <c r="U10" s="69"/>
      <c r="V10" s="69"/>
      <c r="W10" s="69"/>
      <c r="X10" s="69"/>
      <c r="Y10" s="69"/>
      <c r="Z10" s="69"/>
      <c r="AA10" s="69"/>
      <c r="AB10" s="69"/>
      <c r="AC10" s="69"/>
      <c r="AD10" s="69"/>
      <c r="AE10" s="69"/>
      <c r="AF10" s="69"/>
      <c r="AG10" s="69"/>
      <c r="AH10" s="69"/>
      <c r="AI10" s="69"/>
      <c r="AJ10" s="69"/>
      <c r="AK10" s="69"/>
      <c r="AL10" s="69"/>
      <c r="AM10" s="69"/>
      <c r="AN10" s="69"/>
      <c r="AO10" s="69"/>
      <c r="AP10" s="69"/>
      <c r="AQ10" s="69"/>
      <c r="AR10" s="69"/>
      <c r="AS10" s="69"/>
      <c r="AT10" s="69"/>
      <c r="AU10" s="69"/>
      <c r="AV10" s="69"/>
      <c r="AW10" s="69"/>
      <c r="AX10" s="69"/>
      <c r="AY10" s="69"/>
      <c r="AZ10" s="69"/>
      <c r="BA10" s="69"/>
      <c r="BB10" s="69"/>
      <c r="BC10" s="69"/>
      <c r="BD10" s="69"/>
      <c r="BE10" s="69"/>
      <c r="BF10" s="69"/>
      <c r="BG10" s="69"/>
      <c r="BH10" s="69"/>
      <c r="BI10" s="69"/>
      <c r="BJ10" s="69"/>
      <c r="BK10" s="69"/>
      <c r="BL10" s="69"/>
      <c r="BM10" s="69"/>
      <c r="BN10" s="69"/>
      <c r="BO10" s="69"/>
      <c r="BP10" s="69"/>
      <c r="BQ10" s="69"/>
      <c r="BR10" s="69"/>
      <c r="BS10" s="69"/>
      <c r="BT10" s="69"/>
      <c r="BU10" s="69"/>
      <c r="BV10" s="69"/>
      <c r="BW10" s="69"/>
    </row>
    <row r="11" spans="2:75" ht="15" customHeight="1" x14ac:dyDescent="0.25">
      <c r="R11" s="69" t="s">
        <v>92</v>
      </c>
      <c r="S11" s="69"/>
      <c r="T11" s="69"/>
      <c r="U11" s="69"/>
      <c r="V11" s="69"/>
      <c r="W11" s="69"/>
      <c r="X11" s="69"/>
      <c r="Y11" s="69"/>
      <c r="Z11" s="69"/>
      <c r="AA11" s="69"/>
      <c r="AB11" s="69"/>
      <c r="AC11" s="69"/>
      <c r="AD11" s="69"/>
      <c r="AE11" s="69"/>
      <c r="AF11" s="69"/>
      <c r="AG11" s="69"/>
      <c r="AH11" s="69"/>
      <c r="AI11" s="69"/>
      <c r="AJ11" s="69"/>
      <c r="AK11" s="69"/>
      <c r="AL11" s="69"/>
      <c r="AM11" s="69"/>
      <c r="AN11" s="69"/>
      <c r="AO11" s="69"/>
      <c r="AP11" s="69"/>
      <c r="AQ11" s="69"/>
      <c r="AR11" s="69"/>
      <c r="AS11" s="69"/>
      <c r="AT11" s="69"/>
      <c r="AU11" s="69"/>
      <c r="AV11" s="69"/>
      <c r="AW11" s="69"/>
      <c r="AX11" s="69"/>
      <c r="AY11" s="69"/>
      <c r="AZ11" s="69"/>
      <c r="BA11" s="69"/>
      <c r="BB11" s="69"/>
      <c r="BC11" s="69"/>
      <c r="BD11" s="69"/>
      <c r="BE11" s="69"/>
      <c r="BF11" s="69"/>
      <c r="BG11" s="69"/>
      <c r="BH11" s="69"/>
      <c r="BI11" s="69"/>
      <c r="BJ11" s="69"/>
      <c r="BK11" s="69"/>
      <c r="BL11" s="69"/>
      <c r="BM11" s="69"/>
      <c r="BN11" s="69"/>
      <c r="BO11" s="69"/>
      <c r="BP11" s="69"/>
      <c r="BQ11" s="69"/>
      <c r="BR11" s="69"/>
      <c r="BS11" s="69"/>
      <c r="BT11" s="69"/>
      <c r="BU11" s="69"/>
      <c r="BV11" s="69"/>
      <c r="BW11" s="69"/>
    </row>
    <row r="14" spans="2:75" ht="15" customHeight="1" x14ac:dyDescent="0.25">
      <c r="B14" s="74" t="s">
        <v>190</v>
      </c>
      <c r="C14" s="75"/>
      <c r="D14" s="75"/>
      <c r="E14" s="75"/>
      <c r="F14" s="75"/>
      <c r="G14" s="75"/>
      <c r="H14" s="75"/>
      <c r="I14" s="75"/>
      <c r="J14" s="75"/>
      <c r="K14" s="75"/>
      <c r="L14" s="75"/>
      <c r="M14" s="75"/>
      <c r="N14" s="74" t="s">
        <v>191</v>
      </c>
      <c r="O14" s="75"/>
      <c r="P14" s="75"/>
      <c r="Q14" s="75"/>
      <c r="R14" s="75"/>
      <c r="S14" s="75"/>
      <c r="T14" s="75"/>
      <c r="U14" s="75"/>
      <c r="V14" s="75"/>
      <c r="W14" s="75"/>
      <c r="X14" s="75"/>
      <c r="Y14" s="75"/>
      <c r="Z14" s="74" t="s">
        <v>192</v>
      </c>
      <c r="AA14" s="75"/>
      <c r="AB14" s="75"/>
      <c r="AC14" s="75"/>
      <c r="AD14" s="75"/>
      <c r="AE14" s="75"/>
      <c r="AF14" s="75"/>
      <c r="AG14" s="75"/>
      <c r="AH14" s="75"/>
      <c r="AI14" s="75"/>
      <c r="AJ14" s="75"/>
      <c r="AK14" s="75"/>
      <c r="AL14" s="74" t="s">
        <v>193</v>
      </c>
      <c r="AM14" s="75"/>
      <c r="AN14" s="75"/>
      <c r="AO14" s="75"/>
      <c r="AP14" s="75"/>
      <c r="AQ14" s="75"/>
      <c r="AR14" s="75"/>
      <c r="AS14" s="75"/>
      <c r="AT14" s="75"/>
      <c r="AU14" s="75"/>
      <c r="AV14" s="75"/>
      <c r="AW14" s="75"/>
      <c r="AX14" s="74" t="s">
        <v>194</v>
      </c>
      <c r="AY14" s="75"/>
      <c r="AZ14" s="75"/>
      <c r="BA14" s="75"/>
      <c r="BB14" s="75"/>
      <c r="BC14" s="75"/>
      <c r="BD14" s="75"/>
      <c r="BE14" s="75"/>
      <c r="BF14" s="75"/>
      <c r="BG14" s="75"/>
      <c r="BH14" s="75"/>
      <c r="BI14" s="75"/>
      <c r="BJ14" s="74" t="s">
        <v>195</v>
      </c>
      <c r="BK14" s="75"/>
      <c r="BL14" s="75"/>
      <c r="BM14" s="75"/>
      <c r="BN14" s="75"/>
      <c r="BO14" s="75"/>
      <c r="BP14" s="75"/>
      <c r="BQ14" s="75"/>
      <c r="BR14" s="75"/>
      <c r="BS14" s="75"/>
      <c r="BT14" s="75"/>
      <c r="BU14" s="75"/>
    </row>
    <row r="16" spans="2:75" ht="15" customHeight="1" x14ac:dyDescent="0.25">
      <c r="B16" s="49" t="s">
        <v>93</v>
      </c>
      <c r="C16" s="49"/>
      <c r="D16" s="49"/>
      <c r="E16" s="49"/>
      <c r="F16" s="49"/>
      <c r="G16" s="49"/>
      <c r="H16" s="49"/>
      <c r="I16" s="49"/>
      <c r="J16" s="49"/>
      <c r="K16" s="49"/>
      <c r="L16" s="49"/>
      <c r="M16" s="49"/>
      <c r="N16" s="49"/>
      <c r="O16" s="49"/>
      <c r="P16" s="49"/>
      <c r="Q16" s="49"/>
      <c r="R16" s="49"/>
      <c r="S16" s="49"/>
      <c r="T16" s="49"/>
      <c r="U16" s="49"/>
      <c r="V16" s="49"/>
      <c r="W16" s="49"/>
      <c r="X16" s="49"/>
      <c r="Y16" s="49"/>
      <c r="Z16" s="49"/>
      <c r="AA16" s="49"/>
      <c r="AB16" s="49"/>
      <c r="AC16" s="49"/>
      <c r="AD16" s="49"/>
      <c r="AE16" s="49"/>
      <c r="AF16" s="49"/>
      <c r="AG16" s="49"/>
      <c r="AH16" s="49"/>
      <c r="AI16" s="49"/>
      <c r="AJ16" s="49"/>
      <c r="AK16" s="49"/>
      <c r="AL16" s="49"/>
      <c r="AM16" s="49"/>
      <c r="AN16" s="49"/>
      <c r="AO16" s="49"/>
      <c r="AP16" s="49"/>
      <c r="AQ16" s="49"/>
      <c r="AR16" s="49"/>
      <c r="AS16" s="49"/>
      <c r="AT16" s="49"/>
      <c r="AU16" s="49"/>
      <c r="AV16" s="49"/>
      <c r="AW16" s="49"/>
      <c r="AX16" s="49"/>
      <c r="AY16" s="49"/>
      <c r="AZ16" s="49"/>
      <c r="BA16" s="49"/>
      <c r="BB16" s="49"/>
      <c r="BC16" s="49"/>
      <c r="BD16" s="49"/>
      <c r="BE16" s="49"/>
      <c r="BF16" s="49"/>
      <c r="BG16" s="49"/>
      <c r="BH16" s="49"/>
      <c r="BI16" s="49"/>
      <c r="BJ16" s="49"/>
      <c r="BK16" s="49"/>
      <c r="BL16" s="49"/>
      <c r="BM16" s="49"/>
      <c r="BN16" s="49"/>
      <c r="BO16" s="49"/>
      <c r="BP16" s="49"/>
      <c r="BQ16" s="49"/>
      <c r="BR16" s="70" t="s">
        <v>94</v>
      </c>
      <c r="BS16" s="70"/>
      <c r="BT16" s="70"/>
      <c r="BU16" s="70"/>
      <c r="BV16" s="70"/>
      <c r="BW16" s="70"/>
    </row>
    <row r="17" spans="2:75" ht="15" customHeight="1" x14ac:dyDescent="0.25">
      <c r="B17" s="49"/>
      <c r="C17" s="49"/>
      <c r="D17" s="49"/>
      <c r="E17" s="49"/>
      <c r="F17" s="49"/>
      <c r="G17" s="49"/>
      <c r="H17" s="49"/>
      <c r="I17" s="49"/>
      <c r="J17" s="49"/>
      <c r="K17" s="49"/>
      <c r="L17" s="49"/>
      <c r="M17" s="49"/>
      <c r="N17" s="49"/>
      <c r="O17" s="49"/>
      <c r="P17" s="49"/>
      <c r="Q17" s="49"/>
      <c r="R17" s="49"/>
      <c r="S17" s="49"/>
      <c r="T17" s="49"/>
      <c r="U17" s="49"/>
      <c r="V17" s="49"/>
      <c r="W17" s="49"/>
      <c r="X17" s="49"/>
      <c r="Y17" s="49"/>
      <c r="Z17" s="49"/>
      <c r="AA17" s="49"/>
      <c r="AB17" s="49"/>
      <c r="AC17" s="49"/>
      <c r="AD17" s="49"/>
      <c r="AE17" s="49"/>
      <c r="AF17" s="49"/>
      <c r="AG17" s="49"/>
      <c r="AH17" s="49"/>
      <c r="AI17" s="49"/>
      <c r="AJ17" s="49"/>
      <c r="AK17" s="49"/>
      <c r="AL17" s="49"/>
      <c r="AM17" s="49"/>
      <c r="AN17" s="49"/>
      <c r="AO17" s="49"/>
      <c r="AP17" s="49"/>
      <c r="AQ17" s="49"/>
      <c r="AR17" s="49"/>
      <c r="AS17" s="49"/>
      <c r="AT17" s="49"/>
      <c r="AU17" s="49"/>
      <c r="AV17" s="49"/>
      <c r="AW17" s="49"/>
      <c r="AX17" s="49"/>
      <c r="AY17" s="49"/>
      <c r="AZ17" s="49"/>
      <c r="BA17" s="49"/>
      <c r="BB17" s="49"/>
      <c r="BC17" s="49"/>
      <c r="BD17" s="49"/>
      <c r="BE17" s="49"/>
      <c r="BF17" s="49"/>
      <c r="BG17" s="49"/>
      <c r="BH17" s="49"/>
      <c r="BI17" s="49"/>
      <c r="BJ17" s="49"/>
      <c r="BK17" s="49"/>
      <c r="BL17" s="49"/>
      <c r="BM17" s="49"/>
      <c r="BN17" s="49"/>
      <c r="BO17" s="49"/>
      <c r="BP17" s="49"/>
      <c r="BQ17" s="49"/>
      <c r="BR17" s="70"/>
      <c r="BS17" s="70"/>
      <c r="BT17" s="70"/>
      <c r="BU17" s="70"/>
      <c r="BV17" s="70"/>
      <c r="BW17" s="70"/>
    </row>
    <row r="18" spans="2:75" ht="15" customHeight="1" x14ac:dyDescent="0.25">
      <c r="B18" s="44" t="s">
        <v>95</v>
      </c>
      <c r="C18" s="44"/>
      <c r="D18" s="44"/>
      <c r="E18" s="44"/>
      <c r="F18" s="44"/>
      <c r="G18" s="44"/>
      <c r="H18" s="44"/>
      <c r="I18" s="44"/>
      <c r="J18" s="44"/>
      <c r="K18" s="44"/>
      <c r="L18" s="44"/>
      <c r="M18" s="44"/>
      <c r="N18" s="44"/>
      <c r="O18" s="44"/>
      <c r="P18" s="44"/>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c r="BM18" s="44"/>
      <c r="BN18" s="44"/>
      <c r="BO18" s="44"/>
      <c r="BP18" s="44"/>
      <c r="BQ18" s="44"/>
      <c r="BR18" s="44"/>
      <c r="BS18" s="44"/>
      <c r="BT18" s="44"/>
      <c r="BU18" s="44"/>
      <c r="BV18" s="44"/>
      <c r="BW18" s="44"/>
    </row>
    <row r="19" spans="2:75" ht="15" customHeight="1" x14ac:dyDescent="0.25">
      <c r="B19" s="71" t="s">
        <v>32</v>
      </c>
      <c r="C19" s="71"/>
      <c r="D19" s="71"/>
      <c r="E19" s="71"/>
      <c r="F19" s="71"/>
      <c r="G19" s="71"/>
      <c r="H19" s="71"/>
      <c r="I19" s="71"/>
      <c r="J19" s="71"/>
      <c r="L19" s="62" t="s">
        <v>74</v>
      </c>
      <c r="M19" s="62"/>
      <c r="N19" s="62"/>
      <c r="O19" s="62"/>
      <c r="P19" s="62"/>
      <c r="Q19" s="62"/>
      <c r="R19" s="62"/>
      <c r="S19" s="62"/>
      <c r="T19" s="62"/>
      <c r="U19" s="62"/>
      <c r="V19" s="62"/>
      <c r="W19" s="62"/>
      <c r="X19" s="62"/>
      <c r="Y19" s="62"/>
      <c r="Z19" s="62"/>
      <c r="AB19" s="63" t="s">
        <v>96</v>
      </c>
      <c r="AC19" s="63"/>
      <c r="AD19" s="63"/>
      <c r="AE19" s="63"/>
      <c r="AF19" s="63"/>
      <c r="AG19" s="63"/>
      <c r="AH19" s="63"/>
      <c r="AI19" s="63"/>
      <c r="AJ19" s="63"/>
      <c r="AK19" s="63"/>
      <c r="AL19" s="63"/>
      <c r="AM19" s="63"/>
      <c r="AN19" s="63"/>
      <c r="AO19" s="63"/>
      <c r="AP19" s="63"/>
      <c r="AR19" s="64" t="s">
        <v>97</v>
      </c>
      <c r="AS19" s="64"/>
      <c r="AT19" s="64"/>
      <c r="AU19" s="64"/>
      <c r="AV19" s="64"/>
      <c r="AW19" s="64"/>
      <c r="AX19" s="64"/>
      <c r="AY19" s="64"/>
      <c r="AZ19" s="64"/>
      <c r="BA19" s="64"/>
      <c r="BB19" s="64"/>
      <c r="BC19" s="64"/>
      <c r="BD19" s="64"/>
      <c r="BE19" s="64"/>
      <c r="BF19" s="64"/>
      <c r="BH19" s="65" t="s">
        <v>98</v>
      </c>
      <c r="BI19" s="65"/>
      <c r="BJ19" s="65"/>
      <c r="BK19" s="65"/>
      <c r="BL19" s="65"/>
      <c r="BM19" s="65"/>
      <c r="BN19" s="65"/>
      <c r="BO19" s="65"/>
      <c r="BP19" s="65"/>
      <c r="BQ19" s="65"/>
      <c r="BR19" s="65"/>
      <c r="BS19" s="65"/>
      <c r="BT19" s="65"/>
      <c r="BU19" s="65"/>
      <c r="BV19" s="65"/>
    </row>
    <row r="21" spans="2:75" ht="15" customHeight="1" x14ac:dyDescent="0.25">
      <c r="B21" s="72" t="s">
        <v>99</v>
      </c>
      <c r="C21" s="72"/>
      <c r="D21" s="72"/>
      <c r="E21" s="72"/>
      <c r="F21" s="72"/>
      <c r="G21" s="72"/>
      <c r="H21" s="72"/>
      <c r="I21" s="72"/>
      <c r="J21" s="72"/>
    </row>
    <row r="22" spans="2:75" ht="15" customHeight="1" x14ac:dyDescent="0.25">
      <c r="B22" s="73" t="s">
        <v>100</v>
      </c>
      <c r="C22" s="73"/>
      <c r="D22" s="73"/>
      <c r="E22" s="73"/>
      <c r="F22" s="73"/>
      <c r="G22" s="73"/>
      <c r="H22" s="73"/>
      <c r="I22" s="73"/>
      <c r="J22" s="73"/>
    </row>
    <row r="23" spans="2:75" ht="15" customHeight="1" x14ac:dyDescent="0.25">
      <c r="B23" s="73" t="s">
        <v>101</v>
      </c>
      <c r="C23" s="73"/>
      <c r="D23" s="73"/>
      <c r="E23" s="73"/>
      <c r="F23" s="73"/>
      <c r="G23" s="73"/>
      <c r="H23" s="73"/>
      <c r="I23" s="73"/>
      <c r="J23" s="73"/>
    </row>
    <row r="27" spans="2:75" ht="15" customHeight="1" x14ac:dyDescent="0.25">
      <c r="B27" s="72" t="s">
        <v>102</v>
      </c>
      <c r="C27" s="72"/>
      <c r="D27" s="72"/>
      <c r="E27" s="72"/>
      <c r="F27" s="72"/>
      <c r="G27" s="72"/>
      <c r="H27" s="72"/>
      <c r="I27" s="72"/>
      <c r="J27" s="72"/>
    </row>
    <row r="28" spans="2:75" ht="15" customHeight="1" x14ac:dyDescent="0.25">
      <c r="B28" s="73" t="s">
        <v>103</v>
      </c>
      <c r="C28" s="73"/>
      <c r="D28" s="73"/>
      <c r="E28" s="73"/>
      <c r="F28" s="73"/>
      <c r="G28" s="73"/>
      <c r="H28" s="73"/>
      <c r="I28" s="73"/>
      <c r="J28" s="73"/>
    </row>
    <row r="29" spans="2:75" ht="15" customHeight="1" x14ac:dyDescent="0.25">
      <c r="B29" s="73" t="s">
        <v>104</v>
      </c>
      <c r="C29" s="73"/>
      <c r="D29" s="73"/>
      <c r="E29" s="73"/>
      <c r="F29" s="73"/>
      <c r="G29" s="73"/>
      <c r="H29" s="73"/>
      <c r="I29" s="73"/>
      <c r="J29" s="73"/>
    </row>
    <row r="33" spans="2:10" ht="15" customHeight="1" x14ac:dyDescent="0.25">
      <c r="B33" s="72" t="s">
        <v>105</v>
      </c>
      <c r="C33" s="72"/>
      <c r="D33" s="72"/>
      <c r="E33" s="72"/>
      <c r="F33" s="72"/>
      <c r="G33" s="72"/>
      <c r="H33" s="72"/>
      <c r="I33" s="72"/>
      <c r="J33" s="72"/>
    </row>
    <row r="34" spans="2:10" ht="15" customHeight="1" x14ac:dyDescent="0.25">
      <c r="B34" s="73" t="s">
        <v>106</v>
      </c>
      <c r="C34" s="73"/>
      <c r="D34" s="73"/>
      <c r="E34" s="73"/>
      <c r="F34" s="73"/>
      <c r="G34" s="73"/>
      <c r="H34" s="73"/>
      <c r="I34" s="73"/>
      <c r="J34" s="73"/>
    </row>
    <row r="35" spans="2:10" ht="15" customHeight="1" x14ac:dyDescent="0.25">
      <c r="B35" s="73" t="s">
        <v>101</v>
      </c>
      <c r="C35" s="73"/>
      <c r="D35" s="73"/>
      <c r="E35" s="73"/>
      <c r="F35" s="73"/>
      <c r="G35" s="73"/>
      <c r="H35" s="73"/>
      <c r="I35" s="73"/>
      <c r="J35" s="73"/>
    </row>
    <row r="39" spans="2:10" ht="15" customHeight="1" x14ac:dyDescent="0.25">
      <c r="B39" s="72" t="s">
        <v>107</v>
      </c>
      <c r="C39" s="72"/>
      <c r="D39" s="72"/>
      <c r="E39" s="72"/>
      <c r="F39" s="72"/>
      <c r="G39" s="72"/>
      <c r="H39" s="72"/>
      <c r="I39" s="72"/>
      <c r="J39" s="72"/>
    </row>
    <row r="40" spans="2:10" ht="15" customHeight="1" x14ac:dyDescent="0.25">
      <c r="B40" s="73" t="s">
        <v>108</v>
      </c>
      <c r="C40" s="73"/>
      <c r="D40" s="73"/>
      <c r="E40" s="73"/>
      <c r="F40" s="73"/>
      <c r="G40" s="73"/>
      <c r="H40" s="73"/>
      <c r="I40" s="73"/>
      <c r="J40" s="73"/>
    </row>
    <row r="41" spans="2:10" ht="15" customHeight="1" x14ac:dyDescent="0.25">
      <c r="B41" s="73" t="s">
        <v>109</v>
      </c>
      <c r="C41" s="73"/>
      <c r="D41" s="73"/>
      <c r="E41" s="73"/>
      <c r="F41" s="73"/>
      <c r="G41" s="73"/>
      <c r="H41" s="73"/>
      <c r="I41" s="73"/>
      <c r="J41" s="73"/>
    </row>
    <row r="45" spans="2:10" ht="15" customHeight="1" x14ac:dyDescent="0.25">
      <c r="B45" s="72" t="s">
        <v>110</v>
      </c>
      <c r="C45" s="72"/>
      <c r="D45" s="72"/>
      <c r="E45" s="72"/>
      <c r="F45" s="72"/>
      <c r="G45" s="72"/>
      <c r="H45" s="72"/>
      <c r="I45" s="72"/>
      <c r="J45" s="72"/>
    </row>
    <row r="46" spans="2:10" ht="15" customHeight="1" x14ac:dyDescent="0.25">
      <c r="B46" s="73" t="s">
        <v>111</v>
      </c>
      <c r="C46" s="73"/>
      <c r="D46" s="73"/>
      <c r="E46" s="73"/>
      <c r="F46" s="73"/>
      <c r="G46" s="73"/>
      <c r="H46" s="73"/>
      <c r="I46" s="73"/>
      <c r="J46" s="73"/>
    </row>
    <row r="47" spans="2:10" ht="15" customHeight="1" x14ac:dyDescent="0.25">
      <c r="B47" s="73" t="s">
        <v>112</v>
      </c>
      <c r="C47" s="73"/>
      <c r="D47" s="73"/>
      <c r="E47" s="73"/>
      <c r="F47" s="73"/>
      <c r="G47" s="73"/>
      <c r="H47" s="73"/>
      <c r="I47" s="73"/>
      <c r="J47" s="73"/>
    </row>
    <row r="51" spans="2:10" ht="12.6" x14ac:dyDescent="0.25">
      <c r="B51" s="72" t="s">
        <v>113</v>
      </c>
      <c r="C51" s="72"/>
      <c r="D51" s="72"/>
      <c r="E51" s="72"/>
      <c r="F51" s="72"/>
      <c r="G51" s="72"/>
      <c r="H51" s="72"/>
      <c r="I51" s="72"/>
      <c r="J51" s="72"/>
    </row>
    <row r="52" spans="2:10" ht="12.6" x14ac:dyDescent="0.25">
      <c r="B52" s="73" t="s">
        <v>114</v>
      </c>
      <c r="C52" s="73"/>
      <c r="D52" s="73"/>
      <c r="E52" s="73"/>
      <c r="F52" s="73"/>
      <c r="G52" s="73"/>
      <c r="H52" s="73"/>
      <c r="I52" s="73"/>
      <c r="J52" s="73"/>
    </row>
    <row r="53" spans="2:10" ht="12.6" x14ac:dyDescent="0.25">
      <c r="B53" s="73" t="s">
        <v>115</v>
      </c>
      <c r="C53" s="73"/>
      <c r="D53" s="73"/>
      <c r="E53" s="73"/>
      <c r="F53" s="73"/>
      <c r="G53" s="73"/>
      <c r="H53" s="73"/>
      <c r="I53" s="73"/>
      <c r="J53" s="73"/>
    </row>
    <row r="57" spans="2:10" ht="12.6" x14ac:dyDescent="0.25">
      <c r="B57" s="72" t="s">
        <v>116</v>
      </c>
      <c r="C57" s="72"/>
      <c r="D57" s="72"/>
      <c r="E57" s="72"/>
      <c r="F57" s="72"/>
      <c r="G57" s="72"/>
      <c r="H57" s="72"/>
      <c r="I57" s="72"/>
      <c r="J57" s="72"/>
    </row>
    <row r="58" spans="2:10" ht="12.6" x14ac:dyDescent="0.25">
      <c r="B58" s="73" t="s">
        <v>117</v>
      </c>
      <c r="C58" s="73"/>
      <c r="D58" s="73"/>
      <c r="E58" s="73"/>
      <c r="F58" s="73"/>
      <c r="G58" s="73"/>
      <c r="H58" s="73"/>
      <c r="I58" s="73"/>
      <c r="J58" s="73"/>
    </row>
    <row r="59" spans="2:10" ht="12.6" x14ac:dyDescent="0.25">
      <c r="B59" s="73" t="s">
        <v>118</v>
      </c>
      <c r="C59" s="73"/>
      <c r="D59" s="73"/>
      <c r="E59" s="73"/>
      <c r="F59" s="73"/>
      <c r="G59" s="73"/>
      <c r="H59" s="73"/>
      <c r="I59" s="73"/>
      <c r="J59" s="73"/>
    </row>
    <row r="63" spans="2:10" ht="12.6" x14ac:dyDescent="0.25">
      <c r="B63" s="72" t="s">
        <v>119</v>
      </c>
      <c r="C63" s="72"/>
      <c r="D63" s="72"/>
      <c r="E63" s="72"/>
      <c r="F63" s="72"/>
      <c r="G63" s="72"/>
      <c r="H63" s="72"/>
      <c r="I63" s="72"/>
      <c r="J63" s="72"/>
    </row>
    <row r="64" spans="2:10" ht="12.6" x14ac:dyDescent="0.25">
      <c r="B64" s="73" t="s">
        <v>120</v>
      </c>
      <c r="C64" s="73"/>
      <c r="D64" s="73"/>
      <c r="E64" s="73"/>
      <c r="F64" s="73"/>
      <c r="G64" s="73"/>
      <c r="H64" s="73"/>
      <c r="I64" s="73"/>
      <c r="J64" s="73"/>
    </row>
    <row r="65" spans="2:10" ht="12.6" x14ac:dyDescent="0.25">
      <c r="B65" s="73" t="s">
        <v>121</v>
      </c>
      <c r="C65" s="73"/>
      <c r="D65" s="73"/>
      <c r="E65" s="73"/>
      <c r="F65" s="73"/>
      <c r="G65" s="73"/>
      <c r="H65" s="73"/>
      <c r="I65" s="73"/>
      <c r="J65" s="73"/>
    </row>
    <row r="73" spans="2:10" ht="12.6" x14ac:dyDescent="0.25">
      <c r="B73" s="72" t="s">
        <v>122</v>
      </c>
      <c r="C73" s="72"/>
      <c r="D73" s="72"/>
      <c r="E73" s="72"/>
      <c r="F73" s="72"/>
      <c r="G73" s="72"/>
      <c r="H73" s="72"/>
      <c r="I73" s="72"/>
      <c r="J73" s="72"/>
    </row>
    <row r="74" spans="2:10" ht="12.6" x14ac:dyDescent="0.25">
      <c r="B74" s="73" t="s">
        <v>123</v>
      </c>
      <c r="C74" s="73"/>
      <c r="D74" s="73"/>
      <c r="E74" s="73"/>
      <c r="F74" s="73"/>
      <c r="G74" s="73"/>
      <c r="H74" s="73"/>
      <c r="I74" s="73"/>
      <c r="J74" s="73"/>
    </row>
    <row r="75" spans="2:10" ht="12.6" x14ac:dyDescent="0.25">
      <c r="B75" s="73" t="s">
        <v>124</v>
      </c>
      <c r="C75" s="73"/>
      <c r="D75" s="73"/>
      <c r="E75" s="73"/>
      <c r="F75" s="73"/>
      <c r="G75" s="73"/>
      <c r="H75" s="73"/>
      <c r="I75" s="73"/>
      <c r="J75" s="73"/>
    </row>
    <row r="79" spans="2:10" ht="12.6" x14ac:dyDescent="0.25">
      <c r="B79" s="72" t="s">
        <v>125</v>
      </c>
      <c r="C79" s="72"/>
      <c r="D79" s="72"/>
      <c r="E79" s="72"/>
      <c r="F79" s="72"/>
      <c r="G79" s="72"/>
      <c r="H79" s="72"/>
      <c r="I79" s="72"/>
      <c r="J79" s="72"/>
    </row>
    <row r="80" spans="2:10" ht="12.6" x14ac:dyDescent="0.25">
      <c r="B80" s="73" t="s">
        <v>126</v>
      </c>
      <c r="C80" s="73"/>
      <c r="D80" s="73"/>
      <c r="E80" s="73"/>
      <c r="F80" s="73"/>
      <c r="G80" s="73"/>
      <c r="H80" s="73"/>
      <c r="I80" s="73"/>
      <c r="J80" s="73"/>
    </row>
    <row r="81" spans="2:75" ht="12.6" x14ac:dyDescent="0.25">
      <c r="B81" s="73" t="s">
        <v>127</v>
      </c>
      <c r="C81" s="73"/>
      <c r="D81" s="73"/>
      <c r="E81" s="73"/>
      <c r="F81" s="73"/>
      <c r="G81" s="73"/>
      <c r="H81" s="73"/>
      <c r="I81" s="73"/>
      <c r="J81" s="73"/>
    </row>
    <row r="85" spans="2:75" ht="12.6" x14ac:dyDescent="0.25">
      <c r="B85" s="49" t="s">
        <v>128</v>
      </c>
      <c r="C85" s="49"/>
      <c r="D85" s="49"/>
      <c r="E85" s="49"/>
      <c r="F85" s="49"/>
      <c r="G85" s="49"/>
      <c r="H85" s="49"/>
      <c r="I85" s="49"/>
      <c r="J85" s="49"/>
      <c r="K85" s="49"/>
      <c r="L85" s="49"/>
      <c r="M85" s="49"/>
      <c r="N85" s="49"/>
      <c r="O85" s="49"/>
      <c r="P85" s="49"/>
      <c r="Q85" s="49"/>
      <c r="R85" s="49"/>
      <c r="S85" s="49"/>
      <c r="T85" s="49"/>
      <c r="U85" s="49"/>
      <c r="V85" s="49"/>
      <c r="W85" s="49"/>
      <c r="X85" s="49"/>
      <c r="Y85" s="49"/>
      <c r="Z85" s="49"/>
      <c r="AA85" s="49"/>
      <c r="AB85" s="49"/>
      <c r="AC85" s="49"/>
      <c r="AD85" s="49"/>
      <c r="AE85" s="49"/>
      <c r="AF85" s="49"/>
      <c r="AG85" s="49"/>
      <c r="AH85" s="49"/>
      <c r="AI85" s="49"/>
      <c r="AJ85" s="49"/>
      <c r="AK85" s="49"/>
      <c r="AL85" s="49"/>
      <c r="AM85" s="49"/>
      <c r="AN85" s="49"/>
      <c r="AO85" s="49"/>
      <c r="AP85" s="49"/>
      <c r="AQ85" s="49"/>
      <c r="AR85" s="49"/>
      <c r="AS85" s="49"/>
      <c r="AT85" s="49"/>
      <c r="AU85" s="49"/>
      <c r="AV85" s="49"/>
      <c r="AW85" s="49"/>
      <c r="AX85" s="49"/>
      <c r="AY85" s="49"/>
      <c r="AZ85" s="49"/>
      <c r="BA85" s="49"/>
      <c r="BB85" s="49"/>
      <c r="BC85" s="49"/>
      <c r="BD85" s="49"/>
      <c r="BE85" s="49"/>
      <c r="BF85" s="49"/>
      <c r="BG85" s="49"/>
      <c r="BH85" s="49"/>
      <c r="BI85" s="49"/>
      <c r="BJ85" s="49"/>
      <c r="BK85" s="49"/>
      <c r="BL85" s="49"/>
      <c r="BM85" s="49"/>
      <c r="BN85" s="49"/>
      <c r="BO85" s="49"/>
      <c r="BP85" s="49"/>
      <c r="BQ85" s="49"/>
      <c r="BR85" s="70" t="s">
        <v>94</v>
      </c>
      <c r="BS85" s="70"/>
      <c r="BT85" s="70"/>
      <c r="BU85" s="70"/>
      <c r="BV85" s="70"/>
      <c r="BW85" s="70"/>
    </row>
    <row r="86" spans="2:75" ht="12.6" x14ac:dyDescent="0.25">
      <c r="B86" s="49"/>
      <c r="C86" s="49"/>
      <c r="D86" s="49"/>
      <c r="E86" s="49"/>
      <c r="F86" s="49"/>
      <c r="G86" s="49"/>
      <c r="H86" s="49"/>
      <c r="I86" s="49"/>
      <c r="J86" s="49"/>
      <c r="K86" s="49"/>
      <c r="L86" s="49"/>
      <c r="M86" s="49"/>
      <c r="N86" s="49"/>
      <c r="O86" s="49"/>
      <c r="P86" s="49"/>
      <c r="Q86" s="49"/>
      <c r="R86" s="49"/>
      <c r="S86" s="49"/>
      <c r="T86" s="49"/>
      <c r="U86" s="49"/>
      <c r="V86" s="49"/>
      <c r="W86" s="49"/>
      <c r="X86" s="49"/>
      <c r="Y86" s="49"/>
      <c r="Z86" s="49"/>
      <c r="AA86" s="49"/>
      <c r="AB86" s="49"/>
      <c r="AC86" s="49"/>
      <c r="AD86" s="49"/>
      <c r="AE86" s="49"/>
      <c r="AF86" s="49"/>
      <c r="AG86" s="49"/>
      <c r="AH86" s="49"/>
      <c r="AI86" s="49"/>
      <c r="AJ86" s="49"/>
      <c r="AK86" s="49"/>
      <c r="AL86" s="49"/>
      <c r="AM86" s="49"/>
      <c r="AN86" s="49"/>
      <c r="AO86" s="49"/>
      <c r="AP86" s="49"/>
      <c r="AQ86" s="49"/>
      <c r="AR86" s="49"/>
      <c r="AS86" s="49"/>
      <c r="AT86" s="49"/>
      <c r="AU86" s="49"/>
      <c r="AV86" s="49"/>
      <c r="AW86" s="49"/>
      <c r="AX86" s="49"/>
      <c r="AY86" s="49"/>
      <c r="AZ86" s="49"/>
      <c r="BA86" s="49"/>
      <c r="BB86" s="49"/>
      <c r="BC86" s="49"/>
      <c r="BD86" s="49"/>
      <c r="BE86" s="49"/>
      <c r="BF86" s="49"/>
      <c r="BG86" s="49"/>
      <c r="BH86" s="49"/>
      <c r="BI86" s="49"/>
      <c r="BJ86" s="49"/>
      <c r="BK86" s="49"/>
      <c r="BL86" s="49"/>
      <c r="BM86" s="49"/>
      <c r="BN86" s="49"/>
      <c r="BO86" s="49"/>
      <c r="BP86" s="49"/>
      <c r="BQ86" s="49"/>
      <c r="BR86" s="70"/>
      <c r="BS86" s="70"/>
      <c r="BT86" s="70"/>
      <c r="BU86" s="70"/>
      <c r="BV86" s="70"/>
      <c r="BW86" s="70"/>
    </row>
    <row r="87" spans="2:75" ht="12.6" x14ac:dyDescent="0.25">
      <c r="B87" s="44" t="s">
        <v>129</v>
      </c>
      <c r="C87" s="44"/>
      <c r="D87" s="44"/>
      <c r="E87" s="44"/>
      <c r="F87" s="44"/>
      <c r="G87" s="44"/>
      <c r="H87" s="44"/>
      <c r="I87" s="44"/>
      <c r="J87" s="44"/>
      <c r="K87" s="44"/>
      <c r="L87" s="44"/>
      <c r="M87" s="44"/>
      <c r="N87" s="44"/>
      <c r="O87" s="44"/>
      <c r="P87" s="44"/>
      <c r="Q87" s="44"/>
      <c r="R87" s="44"/>
      <c r="S87" s="44"/>
      <c r="T87" s="44"/>
      <c r="U87" s="44"/>
      <c r="V87" s="44"/>
      <c r="W87" s="44"/>
      <c r="X87" s="44"/>
      <c r="Y87" s="44"/>
      <c r="Z87" s="44"/>
      <c r="AA87" s="44"/>
      <c r="AB87" s="44"/>
      <c r="AC87" s="44"/>
      <c r="AD87" s="44"/>
      <c r="AE87" s="44"/>
      <c r="AF87" s="44"/>
      <c r="AG87" s="44"/>
      <c r="AH87" s="44"/>
      <c r="AI87" s="44"/>
      <c r="AJ87" s="44"/>
      <c r="AK87" s="44"/>
      <c r="AL87" s="44"/>
      <c r="AM87" s="44"/>
      <c r="AN87" s="44"/>
      <c r="AO87" s="44"/>
      <c r="AP87" s="44"/>
      <c r="AQ87" s="44"/>
      <c r="AR87" s="44"/>
      <c r="AS87" s="44"/>
      <c r="AT87" s="44"/>
      <c r="AU87" s="44"/>
      <c r="AV87" s="44"/>
      <c r="AW87" s="44"/>
      <c r="AX87" s="44"/>
      <c r="AY87" s="44"/>
      <c r="AZ87" s="44"/>
      <c r="BA87" s="44"/>
      <c r="BB87" s="44"/>
      <c r="BC87" s="44"/>
      <c r="BD87" s="44"/>
      <c r="BE87" s="44"/>
      <c r="BF87" s="44"/>
      <c r="BG87" s="44"/>
      <c r="BH87" s="44"/>
      <c r="BI87" s="44"/>
      <c r="BJ87" s="44"/>
      <c r="BK87" s="44"/>
      <c r="BL87" s="44"/>
      <c r="BM87" s="44"/>
      <c r="BN87" s="44"/>
      <c r="BO87" s="44"/>
      <c r="BP87" s="44"/>
      <c r="BQ87" s="44"/>
      <c r="BR87" s="44"/>
      <c r="BS87" s="44"/>
      <c r="BT87" s="44"/>
      <c r="BU87" s="44"/>
      <c r="BV87" s="44"/>
      <c r="BW87" s="44"/>
    </row>
    <row r="88" spans="2:75" ht="12.6" x14ac:dyDescent="0.25">
      <c r="B88" s="71" t="s">
        <v>32</v>
      </c>
      <c r="C88" s="71"/>
      <c r="D88" s="71"/>
      <c r="E88" s="71"/>
      <c r="F88" s="71"/>
      <c r="G88" s="71"/>
      <c r="H88" s="71"/>
      <c r="I88" s="71"/>
      <c r="J88" s="71"/>
      <c r="L88" s="62" t="s">
        <v>74</v>
      </c>
      <c r="M88" s="62"/>
      <c r="N88" s="62"/>
      <c r="O88" s="62"/>
      <c r="P88" s="62"/>
      <c r="Q88" s="62"/>
      <c r="R88" s="62"/>
      <c r="S88" s="62"/>
      <c r="T88" s="62"/>
      <c r="U88" s="62"/>
      <c r="V88" s="62"/>
      <c r="W88" s="62"/>
      <c r="X88" s="62"/>
      <c r="Y88" s="62"/>
      <c r="Z88" s="62"/>
      <c r="AB88" s="63" t="s">
        <v>96</v>
      </c>
      <c r="AC88" s="63"/>
      <c r="AD88" s="63"/>
      <c r="AE88" s="63"/>
      <c r="AF88" s="63"/>
      <c r="AG88" s="63"/>
      <c r="AH88" s="63"/>
      <c r="AI88" s="63"/>
      <c r="AJ88" s="63"/>
      <c r="AK88" s="63"/>
      <c r="AL88" s="63"/>
      <c r="AM88" s="63"/>
      <c r="AN88" s="63"/>
      <c r="AO88" s="63"/>
      <c r="AP88" s="63"/>
      <c r="AR88" s="64" t="s">
        <v>97</v>
      </c>
      <c r="AS88" s="64"/>
      <c r="AT88" s="64"/>
      <c r="AU88" s="64"/>
      <c r="AV88" s="64"/>
      <c r="AW88" s="64"/>
      <c r="AX88" s="64"/>
      <c r="AY88" s="64"/>
      <c r="AZ88" s="64"/>
      <c r="BA88" s="64"/>
      <c r="BB88" s="64"/>
      <c r="BC88" s="64"/>
      <c r="BD88" s="64"/>
      <c r="BE88" s="64"/>
      <c r="BF88" s="64"/>
      <c r="BH88" s="65" t="s">
        <v>98</v>
      </c>
      <c r="BI88" s="65"/>
      <c r="BJ88" s="65"/>
      <c r="BK88" s="65"/>
      <c r="BL88" s="65"/>
      <c r="BM88" s="65"/>
      <c r="BN88" s="65"/>
      <c r="BO88" s="65"/>
      <c r="BP88" s="65"/>
      <c r="BQ88" s="65"/>
      <c r="BR88" s="65"/>
      <c r="BS88" s="65"/>
      <c r="BT88" s="65"/>
      <c r="BU88" s="65"/>
      <c r="BV88" s="65"/>
    </row>
    <row r="89" spans="2:75" ht="12.6" x14ac:dyDescent="0.25">
      <c r="L89" s="45" t="s">
        <v>130</v>
      </c>
      <c r="M89" s="45"/>
      <c r="N89" s="45"/>
      <c r="O89" s="45"/>
      <c r="P89" s="45"/>
      <c r="Q89" s="45"/>
      <c r="R89" s="45"/>
      <c r="S89" s="45"/>
      <c r="T89" s="45"/>
      <c r="U89" s="45"/>
      <c r="V89" s="45"/>
      <c r="W89" s="45"/>
      <c r="X89" s="45"/>
      <c r="Y89" s="45"/>
      <c r="Z89" s="45"/>
      <c r="AA89" s="45"/>
      <c r="AB89" s="45"/>
      <c r="AC89" s="45"/>
      <c r="AD89" s="45"/>
      <c r="AE89" s="45"/>
      <c r="AF89" s="45"/>
      <c r="AG89" s="45"/>
      <c r="AH89" s="45"/>
      <c r="AI89" s="45"/>
      <c r="AJ89" s="45"/>
      <c r="AK89" s="45"/>
      <c r="AL89" s="45"/>
      <c r="AM89" s="45"/>
      <c r="AN89" s="45"/>
      <c r="AO89" s="45"/>
      <c r="AP89" s="45"/>
      <c r="AQ89" s="45"/>
      <c r="AR89" s="45"/>
      <c r="AS89" s="45"/>
      <c r="AT89" s="45"/>
      <c r="AU89" s="45"/>
      <c r="AV89" s="45"/>
      <c r="AW89" s="45"/>
      <c r="AX89" s="45"/>
      <c r="AY89" s="45"/>
      <c r="AZ89" s="45"/>
      <c r="BA89" s="45"/>
      <c r="BB89" s="45"/>
      <c r="BC89" s="45"/>
      <c r="BD89" s="45"/>
      <c r="BE89" s="45"/>
      <c r="BF89" s="45"/>
      <c r="BG89" s="45"/>
      <c r="BH89" s="45"/>
      <c r="BI89" s="45"/>
      <c r="BJ89" s="45"/>
      <c r="BK89" s="45"/>
      <c r="BL89" s="45"/>
      <c r="BM89" s="45"/>
      <c r="BN89" s="45"/>
      <c r="BO89" s="45"/>
      <c r="BP89" s="45"/>
      <c r="BQ89" s="45"/>
      <c r="BR89" s="45"/>
      <c r="BS89" s="45"/>
      <c r="BT89" s="45"/>
      <c r="BU89" s="45"/>
      <c r="BV89" s="45"/>
      <c r="BW89" s="45"/>
    </row>
    <row r="90" spans="2:75" ht="12.6" x14ac:dyDescent="0.25">
      <c r="B90" s="72" t="s">
        <v>131</v>
      </c>
      <c r="C90" s="72"/>
      <c r="D90" s="72"/>
      <c r="E90" s="72"/>
      <c r="F90" s="72"/>
      <c r="G90" s="72"/>
      <c r="H90" s="72"/>
      <c r="I90" s="72"/>
      <c r="J90" s="72"/>
    </row>
    <row r="91" spans="2:75" ht="12.6" x14ac:dyDescent="0.25">
      <c r="B91" s="73" t="s">
        <v>132</v>
      </c>
      <c r="C91" s="73"/>
      <c r="D91" s="73"/>
      <c r="E91" s="73"/>
      <c r="F91" s="73"/>
      <c r="G91" s="73"/>
      <c r="H91" s="73"/>
      <c r="I91" s="73"/>
      <c r="J91" s="73"/>
    </row>
    <row r="93" spans="2:75" ht="12.6" x14ac:dyDescent="0.25">
      <c r="B93" s="72" t="s">
        <v>133</v>
      </c>
      <c r="C93" s="72"/>
      <c r="D93" s="72"/>
      <c r="E93" s="72"/>
      <c r="F93" s="72"/>
      <c r="G93" s="72"/>
      <c r="H93" s="72"/>
      <c r="I93" s="72"/>
      <c r="J93" s="72"/>
    </row>
    <row r="94" spans="2:75" ht="12.6" x14ac:dyDescent="0.25">
      <c r="B94" s="73" t="s">
        <v>134</v>
      </c>
      <c r="C94" s="73"/>
      <c r="D94" s="73"/>
      <c r="E94" s="73"/>
      <c r="F94" s="73"/>
      <c r="G94" s="73"/>
      <c r="H94" s="73"/>
      <c r="I94" s="73"/>
      <c r="J94" s="73"/>
    </row>
    <row r="96" spans="2:75" ht="12.6" x14ac:dyDescent="0.25">
      <c r="B96" s="72" t="s">
        <v>135</v>
      </c>
      <c r="C96" s="72"/>
      <c r="D96" s="72"/>
      <c r="E96" s="72"/>
      <c r="F96" s="72"/>
      <c r="G96" s="72"/>
      <c r="H96" s="72"/>
      <c r="I96" s="72"/>
      <c r="J96" s="72"/>
    </row>
    <row r="97" spans="2:10" ht="12.6" x14ac:dyDescent="0.25">
      <c r="B97" s="73" t="s">
        <v>136</v>
      </c>
      <c r="C97" s="73"/>
      <c r="D97" s="73"/>
      <c r="E97" s="73"/>
      <c r="F97" s="73"/>
      <c r="G97" s="73"/>
      <c r="H97" s="73"/>
      <c r="I97" s="73"/>
      <c r="J97" s="73"/>
    </row>
    <row r="99" spans="2:10" ht="12.6" x14ac:dyDescent="0.25">
      <c r="B99" s="72" t="s">
        <v>137</v>
      </c>
      <c r="C99" s="72"/>
      <c r="D99" s="72"/>
      <c r="E99" s="72"/>
      <c r="F99" s="72"/>
      <c r="G99" s="72"/>
      <c r="H99" s="72"/>
      <c r="I99" s="72"/>
      <c r="J99" s="72"/>
    </row>
    <row r="100" spans="2:10" ht="12.6" x14ac:dyDescent="0.25">
      <c r="B100" s="73" t="s">
        <v>138</v>
      </c>
      <c r="C100" s="73"/>
      <c r="D100" s="73"/>
      <c r="E100" s="73"/>
      <c r="F100" s="73"/>
      <c r="G100" s="73"/>
      <c r="H100" s="73"/>
      <c r="I100" s="73"/>
      <c r="J100" s="73"/>
    </row>
    <row r="102" spans="2:10" ht="12.6" x14ac:dyDescent="0.25">
      <c r="B102" s="72" t="s">
        <v>139</v>
      </c>
      <c r="C102" s="72"/>
      <c r="D102" s="72"/>
      <c r="E102" s="72"/>
      <c r="F102" s="72"/>
      <c r="G102" s="72"/>
      <c r="H102" s="72"/>
      <c r="I102" s="72"/>
      <c r="J102" s="72"/>
    </row>
    <row r="103" spans="2:10" ht="12.6" x14ac:dyDescent="0.25">
      <c r="B103" s="73" t="s">
        <v>140</v>
      </c>
      <c r="C103" s="73"/>
      <c r="D103" s="73"/>
      <c r="E103" s="73"/>
      <c r="F103" s="73"/>
      <c r="G103" s="73"/>
      <c r="H103" s="73"/>
      <c r="I103" s="73"/>
      <c r="J103" s="73"/>
    </row>
    <row r="105" spans="2:10" ht="12.6" x14ac:dyDescent="0.25">
      <c r="B105" s="72" t="s">
        <v>141</v>
      </c>
      <c r="C105" s="72"/>
      <c r="D105" s="72"/>
      <c r="E105" s="72"/>
      <c r="F105" s="72"/>
      <c r="G105" s="72"/>
      <c r="H105" s="72"/>
      <c r="I105" s="72"/>
      <c r="J105" s="72"/>
    </row>
    <row r="106" spans="2:10" ht="12.6" x14ac:dyDescent="0.25">
      <c r="B106" s="73" t="s">
        <v>142</v>
      </c>
      <c r="C106" s="73"/>
      <c r="D106" s="73"/>
      <c r="E106" s="73"/>
      <c r="F106" s="73"/>
      <c r="G106" s="73"/>
      <c r="H106" s="73"/>
      <c r="I106" s="73"/>
      <c r="J106" s="73"/>
    </row>
    <row r="108" spans="2:10" ht="12.6" x14ac:dyDescent="0.25">
      <c r="B108" s="72" t="s">
        <v>143</v>
      </c>
      <c r="C108" s="72"/>
      <c r="D108" s="72"/>
      <c r="E108" s="72"/>
      <c r="F108" s="72"/>
      <c r="G108" s="72"/>
      <c r="H108" s="72"/>
      <c r="I108" s="72"/>
      <c r="J108" s="72"/>
    </row>
    <row r="109" spans="2:10" ht="12.6" x14ac:dyDescent="0.25">
      <c r="B109" s="73" t="s">
        <v>144</v>
      </c>
      <c r="C109" s="73"/>
      <c r="D109" s="73"/>
      <c r="E109" s="73"/>
      <c r="F109" s="73"/>
      <c r="G109" s="73"/>
      <c r="H109" s="73"/>
      <c r="I109" s="73"/>
      <c r="J109" s="73"/>
    </row>
    <row r="111" spans="2:10" ht="12.6" x14ac:dyDescent="0.25">
      <c r="B111" s="72" t="s">
        <v>145</v>
      </c>
      <c r="C111" s="72"/>
      <c r="D111" s="72"/>
      <c r="E111" s="72"/>
      <c r="F111" s="72"/>
      <c r="G111" s="72"/>
      <c r="H111" s="72"/>
      <c r="I111" s="72"/>
      <c r="J111" s="72"/>
    </row>
    <row r="112" spans="2:10" ht="12.6" x14ac:dyDescent="0.25">
      <c r="B112" s="73" t="s">
        <v>146</v>
      </c>
      <c r="C112" s="73"/>
      <c r="D112" s="73"/>
      <c r="E112" s="73"/>
      <c r="F112" s="73"/>
      <c r="G112" s="73"/>
      <c r="H112" s="73"/>
      <c r="I112" s="73"/>
      <c r="J112" s="73"/>
    </row>
    <row r="114" spans="2:75" ht="12.6" x14ac:dyDescent="0.25">
      <c r="B114" s="72" t="s">
        <v>147</v>
      </c>
      <c r="C114" s="72"/>
      <c r="D114" s="72"/>
      <c r="E114" s="72"/>
      <c r="F114" s="72"/>
      <c r="G114" s="72"/>
      <c r="H114" s="72"/>
      <c r="I114" s="72"/>
      <c r="J114" s="72"/>
    </row>
    <row r="115" spans="2:75" ht="12.6" x14ac:dyDescent="0.25">
      <c r="B115" s="73" t="s">
        <v>148</v>
      </c>
      <c r="C115" s="73"/>
      <c r="D115" s="73"/>
      <c r="E115" s="73"/>
      <c r="F115" s="73"/>
      <c r="G115" s="73"/>
      <c r="H115" s="73"/>
      <c r="I115" s="73"/>
      <c r="J115" s="73"/>
    </row>
    <row r="118" spans="2:75" ht="12.6" x14ac:dyDescent="0.25">
      <c r="B118" s="72" t="s">
        <v>149</v>
      </c>
      <c r="C118" s="72"/>
      <c r="D118" s="72"/>
      <c r="E118" s="72"/>
      <c r="F118" s="72"/>
      <c r="G118" s="72"/>
      <c r="H118" s="72"/>
      <c r="I118" s="72"/>
      <c r="J118" s="72"/>
    </row>
    <row r="119" spans="2:75" ht="12.6" x14ac:dyDescent="0.25">
      <c r="B119" s="73" t="s">
        <v>150</v>
      </c>
      <c r="C119" s="73"/>
      <c r="D119" s="73"/>
      <c r="E119" s="73"/>
      <c r="F119" s="73"/>
      <c r="G119" s="73"/>
      <c r="H119" s="73"/>
      <c r="I119" s="73"/>
      <c r="J119" s="73"/>
    </row>
    <row r="120" spans="2:75" ht="12.6" x14ac:dyDescent="0.25">
      <c r="B120" s="73" t="s">
        <v>151</v>
      </c>
      <c r="C120" s="73"/>
      <c r="D120" s="73"/>
      <c r="E120" s="73"/>
      <c r="F120" s="73"/>
      <c r="G120" s="73"/>
      <c r="H120" s="73"/>
      <c r="I120" s="73"/>
      <c r="J120" s="73"/>
    </row>
    <row r="121" spans="2:75" ht="12.6" x14ac:dyDescent="0.25">
      <c r="B121" s="73" t="s">
        <v>152</v>
      </c>
      <c r="C121" s="73"/>
      <c r="D121" s="73"/>
      <c r="E121" s="73"/>
      <c r="F121" s="73"/>
      <c r="G121" s="73"/>
      <c r="H121" s="73"/>
      <c r="I121" s="73"/>
      <c r="J121" s="73"/>
    </row>
    <row r="127" spans="2:75" ht="12.6" x14ac:dyDescent="0.25">
      <c r="B127" s="49" t="s">
        <v>153</v>
      </c>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c r="AA127" s="49"/>
      <c r="AB127" s="49"/>
      <c r="AC127" s="49"/>
      <c r="AD127" s="49"/>
      <c r="AE127" s="49"/>
      <c r="AF127" s="49"/>
      <c r="AG127" s="49"/>
      <c r="AH127" s="49"/>
      <c r="AI127" s="49"/>
      <c r="AJ127" s="49"/>
      <c r="AK127" s="49"/>
      <c r="AL127" s="49"/>
      <c r="AM127" s="49"/>
      <c r="AN127" s="49"/>
      <c r="AO127" s="49"/>
      <c r="AP127" s="49"/>
      <c r="AQ127" s="49"/>
      <c r="AR127" s="49"/>
      <c r="AS127" s="49"/>
      <c r="AT127" s="49"/>
      <c r="AU127" s="49"/>
      <c r="AV127" s="49"/>
      <c r="AW127" s="49"/>
      <c r="AX127" s="49"/>
      <c r="AY127" s="49"/>
      <c r="AZ127" s="49"/>
      <c r="BA127" s="49"/>
      <c r="BB127" s="49"/>
      <c r="BC127" s="49"/>
      <c r="BD127" s="49"/>
      <c r="BE127" s="49"/>
      <c r="BF127" s="49"/>
      <c r="BG127" s="49"/>
      <c r="BH127" s="49"/>
      <c r="BI127" s="49"/>
      <c r="BJ127" s="49"/>
      <c r="BK127" s="49"/>
      <c r="BL127" s="49"/>
      <c r="BM127" s="49"/>
      <c r="BN127" s="49"/>
      <c r="BO127" s="49"/>
      <c r="BP127" s="49"/>
      <c r="BQ127" s="49"/>
      <c r="BR127" s="70" t="s">
        <v>94</v>
      </c>
      <c r="BS127" s="70"/>
      <c r="BT127" s="70"/>
      <c r="BU127" s="70"/>
      <c r="BV127" s="70"/>
      <c r="BW127" s="70"/>
    </row>
    <row r="128" spans="2:75" ht="12.6" x14ac:dyDescent="0.25">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c r="AA128" s="49"/>
      <c r="AB128" s="49"/>
      <c r="AC128" s="49"/>
      <c r="AD128" s="49"/>
      <c r="AE128" s="49"/>
      <c r="AF128" s="49"/>
      <c r="AG128" s="49"/>
      <c r="AH128" s="49"/>
      <c r="AI128" s="49"/>
      <c r="AJ128" s="49"/>
      <c r="AK128" s="49"/>
      <c r="AL128" s="49"/>
      <c r="AM128" s="49"/>
      <c r="AN128" s="49"/>
      <c r="AO128" s="49"/>
      <c r="AP128" s="49"/>
      <c r="AQ128" s="49"/>
      <c r="AR128" s="49"/>
      <c r="AS128" s="49"/>
      <c r="AT128" s="49"/>
      <c r="AU128" s="49"/>
      <c r="AV128" s="49"/>
      <c r="AW128" s="49"/>
      <c r="AX128" s="49"/>
      <c r="AY128" s="49"/>
      <c r="AZ128" s="49"/>
      <c r="BA128" s="49"/>
      <c r="BB128" s="49"/>
      <c r="BC128" s="49"/>
      <c r="BD128" s="49"/>
      <c r="BE128" s="49"/>
      <c r="BF128" s="49"/>
      <c r="BG128" s="49"/>
      <c r="BH128" s="49"/>
      <c r="BI128" s="49"/>
      <c r="BJ128" s="49"/>
      <c r="BK128" s="49"/>
      <c r="BL128" s="49"/>
      <c r="BM128" s="49"/>
      <c r="BN128" s="49"/>
      <c r="BO128" s="49"/>
      <c r="BP128" s="49"/>
      <c r="BQ128" s="49"/>
      <c r="BR128" s="70"/>
      <c r="BS128" s="70"/>
      <c r="BT128" s="70"/>
      <c r="BU128" s="70"/>
      <c r="BV128" s="70"/>
      <c r="BW128" s="70"/>
    </row>
    <row r="129" spans="2:75" ht="12.6" x14ac:dyDescent="0.25">
      <c r="B129" s="44" t="s">
        <v>154</v>
      </c>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A129" s="44"/>
      <c r="AB129" s="44"/>
      <c r="AC129" s="44"/>
      <c r="AD129" s="44"/>
      <c r="AE129" s="44"/>
      <c r="AF129" s="44"/>
      <c r="AG129" s="44"/>
      <c r="AH129" s="44"/>
      <c r="AI129" s="44"/>
      <c r="AJ129" s="44"/>
      <c r="AK129" s="44"/>
      <c r="AL129" s="44"/>
      <c r="AM129" s="44"/>
      <c r="AN129" s="44"/>
      <c r="AO129" s="44"/>
      <c r="AP129" s="44"/>
      <c r="AQ129" s="44"/>
      <c r="AR129" s="44"/>
      <c r="AS129" s="44"/>
      <c r="AT129" s="44"/>
      <c r="AU129" s="44"/>
      <c r="AV129" s="44"/>
      <c r="AW129" s="44"/>
      <c r="AX129" s="44"/>
      <c r="AY129" s="44"/>
      <c r="AZ129" s="44"/>
      <c r="BA129" s="44"/>
      <c r="BB129" s="44"/>
      <c r="BC129" s="44"/>
      <c r="BD129" s="44"/>
      <c r="BE129" s="44"/>
      <c r="BF129" s="44"/>
      <c r="BG129" s="44"/>
      <c r="BH129" s="44"/>
      <c r="BI129" s="44"/>
      <c r="BJ129" s="44"/>
      <c r="BK129" s="44"/>
      <c r="BL129" s="44"/>
      <c r="BM129" s="44"/>
      <c r="BN129" s="44"/>
      <c r="BO129" s="44"/>
      <c r="BP129" s="44"/>
      <c r="BQ129" s="44"/>
      <c r="BR129" s="44"/>
      <c r="BS129" s="44"/>
      <c r="BT129" s="44"/>
      <c r="BU129" s="44"/>
      <c r="BV129" s="44"/>
      <c r="BW129" s="44"/>
    </row>
    <row r="130" spans="2:75" ht="12.6" x14ac:dyDescent="0.25">
      <c r="B130" s="71" t="s">
        <v>32</v>
      </c>
      <c r="C130" s="71"/>
      <c r="D130" s="71"/>
      <c r="E130" s="71"/>
      <c r="F130" s="71"/>
      <c r="G130" s="71"/>
      <c r="H130" s="71"/>
      <c r="I130" s="71"/>
      <c r="J130" s="71"/>
      <c r="L130" s="62" t="s">
        <v>74</v>
      </c>
      <c r="M130" s="62"/>
      <c r="N130" s="62"/>
      <c r="O130" s="62"/>
      <c r="P130" s="62"/>
      <c r="Q130" s="62"/>
      <c r="R130" s="62"/>
      <c r="S130" s="62"/>
      <c r="T130" s="62"/>
      <c r="U130" s="62"/>
      <c r="V130" s="62"/>
      <c r="W130" s="62"/>
      <c r="X130" s="62"/>
      <c r="Y130" s="62"/>
      <c r="Z130" s="62"/>
      <c r="AB130" s="63" t="s">
        <v>96</v>
      </c>
      <c r="AC130" s="63"/>
      <c r="AD130" s="63"/>
      <c r="AE130" s="63"/>
      <c r="AF130" s="63"/>
      <c r="AG130" s="63"/>
      <c r="AH130" s="63"/>
      <c r="AI130" s="63"/>
      <c r="AJ130" s="63"/>
      <c r="AK130" s="63"/>
      <c r="AL130" s="63"/>
      <c r="AM130" s="63"/>
      <c r="AN130" s="63"/>
      <c r="AO130" s="63"/>
      <c r="AP130" s="63"/>
      <c r="AR130" s="64" t="s">
        <v>97</v>
      </c>
      <c r="AS130" s="64"/>
      <c r="AT130" s="64"/>
      <c r="AU130" s="64"/>
      <c r="AV130" s="64"/>
      <c r="AW130" s="64"/>
      <c r="AX130" s="64"/>
      <c r="AY130" s="64"/>
      <c r="AZ130" s="64"/>
      <c r="BA130" s="64"/>
      <c r="BB130" s="64"/>
      <c r="BC130" s="64"/>
      <c r="BD130" s="64"/>
      <c r="BE130" s="64"/>
      <c r="BF130" s="64"/>
      <c r="BH130" s="65" t="s">
        <v>98</v>
      </c>
      <c r="BI130" s="65"/>
      <c r="BJ130" s="65"/>
      <c r="BK130" s="65"/>
      <c r="BL130" s="65"/>
      <c r="BM130" s="65"/>
      <c r="BN130" s="65"/>
      <c r="BO130" s="65"/>
      <c r="BP130" s="65"/>
      <c r="BQ130" s="65"/>
      <c r="BR130" s="65"/>
      <c r="BS130" s="65"/>
      <c r="BT130" s="65"/>
      <c r="BU130" s="65"/>
      <c r="BV130" s="65"/>
    </row>
    <row r="132" spans="2:75" ht="12.6" x14ac:dyDescent="0.25">
      <c r="B132" s="72" t="s">
        <v>155</v>
      </c>
      <c r="C132" s="72"/>
      <c r="D132" s="72"/>
      <c r="E132" s="72"/>
      <c r="F132" s="72"/>
      <c r="G132" s="72"/>
      <c r="H132" s="72"/>
      <c r="I132" s="72"/>
      <c r="J132" s="72"/>
    </row>
    <row r="133" spans="2:75" ht="12.6" x14ac:dyDescent="0.25">
      <c r="B133" s="73" t="s">
        <v>156</v>
      </c>
      <c r="C133" s="73"/>
      <c r="D133" s="73"/>
      <c r="E133" s="73"/>
      <c r="F133" s="73"/>
      <c r="G133" s="73"/>
      <c r="H133" s="73"/>
      <c r="I133" s="73"/>
      <c r="J133" s="73"/>
    </row>
    <row r="134" spans="2:75" ht="12.6" x14ac:dyDescent="0.25">
      <c r="B134" s="73" t="s">
        <v>157</v>
      </c>
      <c r="C134" s="73"/>
      <c r="D134" s="73"/>
      <c r="E134" s="73"/>
      <c r="F134" s="73"/>
      <c r="G134" s="73"/>
      <c r="H134" s="73"/>
      <c r="I134" s="73"/>
      <c r="J134" s="73"/>
    </row>
    <row r="137" spans="2:75" ht="12.6" x14ac:dyDescent="0.25">
      <c r="B137" s="72" t="s">
        <v>158</v>
      </c>
      <c r="C137" s="72"/>
      <c r="D137" s="72"/>
      <c r="E137" s="72"/>
      <c r="F137" s="72"/>
      <c r="G137" s="72"/>
      <c r="H137" s="72"/>
      <c r="I137" s="72"/>
      <c r="J137" s="72"/>
    </row>
    <row r="138" spans="2:75" ht="12.6" x14ac:dyDescent="0.25">
      <c r="B138" s="73" t="s">
        <v>159</v>
      </c>
      <c r="C138" s="73"/>
      <c r="D138" s="73"/>
      <c r="E138" s="73"/>
      <c r="F138" s="73"/>
      <c r="G138" s="73"/>
      <c r="H138" s="73"/>
      <c r="I138" s="73"/>
      <c r="J138" s="73"/>
    </row>
    <row r="139" spans="2:75" ht="12.6" x14ac:dyDescent="0.25">
      <c r="B139" s="73" t="s">
        <v>160</v>
      </c>
      <c r="C139" s="73"/>
      <c r="D139" s="73"/>
      <c r="E139" s="73"/>
      <c r="F139" s="73"/>
      <c r="G139" s="73"/>
      <c r="H139" s="73"/>
      <c r="I139" s="73"/>
      <c r="J139" s="73"/>
    </row>
    <row r="141" spans="2:75" ht="12.6" x14ac:dyDescent="0.25">
      <c r="B141" s="72" t="s">
        <v>161</v>
      </c>
      <c r="C141" s="72"/>
      <c r="D141" s="72"/>
      <c r="E141" s="72"/>
      <c r="F141" s="72"/>
      <c r="G141" s="72"/>
      <c r="H141" s="72"/>
      <c r="I141" s="72"/>
      <c r="J141" s="72"/>
    </row>
    <row r="142" spans="2:75" ht="12.6" x14ac:dyDescent="0.25">
      <c r="B142" s="73" t="s">
        <v>162</v>
      </c>
      <c r="C142" s="73"/>
      <c r="D142" s="73"/>
      <c r="E142" s="73"/>
      <c r="F142" s="73"/>
      <c r="G142" s="73"/>
      <c r="H142" s="73"/>
      <c r="I142" s="73"/>
      <c r="J142" s="73"/>
    </row>
    <row r="143" spans="2:75" ht="12.6" x14ac:dyDescent="0.25">
      <c r="B143" s="73" t="s">
        <v>163</v>
      </c>
      <c r="C143" s="73"/>
      <c r="D143" s="73"/>
      <c r="E143" s="73"/>
      <c r="F143" s="73"/>
      <c r="G143" s="73"/>
      <c r="H143" s="73"/>
      <c r="I143" s="73"/>
      <c r="J143" s="73"/>
    </row>
    <row r="147" spans="2:75" ht="12.6" x14ac:dyDescent="0.25">
      <c r="B147" s="72" t="s">
        <v>164</v>
      </c>
      <c r="C147" s="72"/>
      <c r="D147" s="72"/>
      <c r="E147" s="72"/>
      <c r="F147" s="72"/>
      <c r="G147" s="72"/>
      <c r="H147" s="72"/>
      <c r="I147" s="72"/>
      <c r="J147" s="72"/>
    </row>
    <row r="148" spans="2:75" ht="12.6" x14ac:dyDescent="0.25">
      <c r="B148" s="73" t="s">
        <v>165</v>
      </c>
      <c r="C148" s="73"/>
      <c r="D148" s="73"/>
      <c r="E148" s="73"/>
      <c r="F148" s="73"/>
      <c r="G148" s="73"/>
      <c r="H148" s="73"/>
      <c r="I148" s="73"/>
      <c r="J148" s="73"/>
    </row>
    <row r="149" spans="2:75" ht="12.6" x14ac:dyDescent="0.25">
      <c r="B149" s="73" t="s">
        <v>166</v>
      </c>
      <c r="C149" s="73"/>
      <c r="D149" s="73"/>
      <c r="E149" s="73"/>
      <c r="F149" s="73"/>
      <c r="G149" s="73"/>
      <c r="H149" s="73"/>
      <c r="I149" s="73"/>
      <c r="J149" s="73"/>
    </row>
    <row r="153" spans="2:75" ht="12.6" x14ac:dyDescent="0.25">
      <c r="B153" s="49" t="s">
        <v>167</v>
      </c>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c r="AA153" s="49"/>
      <c r="AB153" s="49"/>
      <c r="AC153" s="49"/>
      <c r="AD153" s="49"/>
      <c r="AE153" s="49"/>
      <c r="AF153" s="49"/>
      <c r="AG153" s="49"/>
      <c r="AH153" s="49"/>
      <c r="AI153" s="49"/>
      <c r="AJ153" s="49"/>
      <c r="AK153" s="49"/>
      <c r="AL153" s="49"/>
      <c r="AM153" s="49"/>
      <c r="AN153" s="49"/>
      <c r="AO153" s="49"/>
      <c r="AP153" s="49"/>
      <c r="AQ153" s="49"/>
      <c r="AR153" s="49"/>
      <c r="AS153" s="49"/>
      <c r="AT153" s="49"/>
      <c r="AU153" s="49"/>
      <c r="AV153" s="49"/>
      <c r="AW153" s="49"/>
      <c r="AX153" s="49"/>
      <c r="AY153" s="49"/>
      <c r="AZ153" s="49"/>
      <c r="BA153" s="49"/>
      <c r="BB153" s="49"/>
      <c r="BC153" s="49"/>
      <c r="BD153" s="49"/>
      <c r="BE153" s="49"/>
      <c r="BF153" s="49"/>
      <c r="BG153" s="49"/>
      <c r="BH153" s="49"/>
      <c r="BI153" s="49"/>
      <c r="BJ153" s="49"/>
      <c r="BK153" s="49"/>
      <c r="BL153" s="49"/>
      <c r="BM153" s="49"/>
      <c r="BN153" s="49"/>
      <c r="BO153" s="49"/>
      <c r="BP153" s="49"/>
      <c r="BQ153" s="49"/>
      <c r="BR153" s="70" t="s">
        <v>94</v>
      </c>
      <c r="BS153" s="70"/>
      <c r="BT153" s="70"/>
      <c r="BU153" s="70"/>
      <c r="BV153" s="70"/>
      <c r="BW153" s="70"/>
    </row>
    <row r="154" spans="2:75" ht="12.6" x14ac:dyDescent="0.25">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c r="AA154" s="49"/>
      <c r="AB154" s="49"/>
      <c r="AC154" s="49"/>
      <c r="AD154" s="49"/>
      <c r="AE154" s="49"/>
      <c r="AF154" s="49"/>
      <c r="AG154" s="49"/>
      <c r="AH154" s="49"/>
      <c r="AI154" s="49"/>
      <c r="AJ154" s="49"/>
      <c r="AK154" s="49"/>
      <c r="AL154" s="49"/>
      <c r="AM154" s="49"/>
      <c r="AN154" s="49"/>
      <c r="AO154" s="49"/>
      <c r="AP154" s="49"/>
      <c r="AQ154" s="49"/>
      <c r="AR154" s="49"/>
      <c r="AS154" s="49"/>
      <c r="AT154" s="49"/>
      <c r="AU154" s="49"/>
      <c r="AV154" s="49"/>
      <c r="AW154" s="49"/>
      <c r="AX154" s="49"/>
      <c r="AY154" s="49"/>
      <c r="AZ154" s="49"/>
      <c r="BA154" s="49"/>
      <c r="BB154" s="49"/>
      <c r="BC154" s="49"/>
      <c r="BD154" s="49"/>
      <c r="BE154" s="49"/>
      <c r="BF154" s="49"/>
      <c r="BG154" s="49"/>
      <c r="BH154" s="49"/>
      <c r="BI154" s="49"/>
      <c r="BJ154" s="49"/>
      <c r="BK154" s="49"/>
      <c r="BL154" s="49"/>
      <c r="BM154" s="49"/>
      <c r="BN154" s="49"/>
      <c r="BO154" s="49"/>
      <c r="BP154" s="49"/>
      <c r="BQ154" s="49"/>
      <c r="BR154" s="70"/>
      <c r="BS154" s="70"/>
      <c r="BT154" s="70"/>
      <c r="BU154" s="70"/>
      <c r="BV154" s="70"/>
      <c r="BW154" s="70"/>
    </row>
    <row r="155" spans="2:75" ht="12.6" x14ac:dyDescent="0.25">
      <c r="B155" s="44" t="s">
        <v>168</v>
      </c>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c r="AC155" s="44"/>
      <c r="AD155" s="44"/>
      <c r="AE155" s="44"/>
      <c r="AF155" s="44"/>
      <c r="AG155" s="44"/>
      <c r="AH155" s="44"/>
      <c r="AI155" s="44"/>
      <c r="AJ155" s="44"/>
      <c r="AK155" s="44"/>
      <c r="AL155" s="44"/>
      <c r="AM155" s="44"/>
      <c r="AN155" s="44"/>
      <c r="AO155" s="44"/>
      <c r="AP155" s="44"/>
      <c r="AQ155" s="44"/>
      <c r="AR155" s="44"/>
      <c r="AS155" s="44"/>
      <c r="AT155" s="44"/>
      <c r="AU155" s="44"/>
      <c r="AV155" s="44"/>
      <c r="AW155" s="44"/>
      <c r="AX155" s="44"/>
      <c r="AY155" s="44"/>
      <c r="AZ155" s="44"/>
      <c r="BA155" s="44"/>
      <c r="BB155" s="44"/>
      <c r="BC155" s="44"/>
      <c r="BD155" s="44"/>
      <c r="BE155" s="44"/>
      <c r="BF155" s="44"/>
      <c r="BG155" s="44"/>
      <c r="BH155" s="44"/>
      <c r="BI155" s="44"/>
      <c r="BJ155" s="44"/>
      <c r="BK155" s="44"/>
      <c r="BL155" s="44"/>
      <c r="BM155" s="44"/>
      <c r="BN155" s="44"/>
      <c r="BO155" s="44"/>
      <c r="BP155" s="44"/>
      <c r="BQ155" s="44"/>
      <c r="BR155" s="44"/>
      <c r="BS155" s="44"/>
      <c r="BT155" s="44"/>
      <c r="BU155" s="44"/>
      <c r="BV155" s="44"/>
      <c r="BW155" s="44"/>
    </row>
    <row r="156" spans="2:75" ht="12.6" x14ac:dyDescent="0.25">
      <c r="B156" s="71" t="s">
        <v>32</v>
      </c>
      <c r="C156" s="71"/>
      <c r="D156" s="71"/>
      <c r="E156" s="71"/>
      <c r="F156" s="71"/>
      <c r="G156" s="71"/>
      <c r="H156" s="71"/>
      <c r="I156" s="71"/>
      <c r="J156" s="71"/>
      <c r="L156" s="62" t="s">
        <v>74</v>
      </c>
      <c r="M156" s="62"/>
      <c r="N156" s="62"/>
      <c r="O156" s="62"/>
      <c r="P156" s="62"/>
      <c r="Q156" s="62"/>
      <c r="R156" s="62"/>
      <c r="S156" s="62"/>
      <c r="T156" s="62"/>
      <c r="U156" s="62"/>
      <c r="V156" s="62"/>
      <c r="W156" s="62"/>
      <c r="X156" s="62"/>
      <c r="Y156" s="62"/>
      <c r="Z156" s="62"/>
      <c r="AB156" s="63" t="s">
        <v>96</v>
      </c>
      <c r="AC156" s="63"/>
      <c r="AD156" s="63"/>
      <c r="AE156" s="63"/>
      <c r="AF156" s="63"/>
      <c r="AG156" s="63"/>
      <c r="AH156" s="63"/>
      <c r="AI156" s="63"/>
      <c r="AJ156" s="63"/>
      <c r="AK156" s="63"/>
      <c r="AL156" s="63"/>
      <c r="AM156" s="63"/>
      <c r="AN156" s="63"/>
      <c r="AO156" s="63"/>
      <c r="AP156" s="63"/>
      <c r="AR156" s="64" t="s">
        <v>97</v>
      </c>
      <c r="AS156" s="64"/>
      <c r="AT156" s="64"/>
      <c r="AU156" s="64"/>
      <c r="AV156" s="64"/>
      <c r="AW156" s="64"/>
      <c r="AX156" s="64"/>
      <c r="AY156" s="64"/>
      <c r="AZ156" s="64"/>
      <c r="BA156" s="64"/>
      <c r="BB156" s="64"/>
      <c r="BC156" s="64"/>
      <c r="BD156" s="64"/>
      <c r="BE156" s="64"/>
      <c r="BF156" s="64"/>
      <c r="BH156" s="65" t="s">
        <v>98</v>
      </c>
      <c r="BI156" s="65"/>
      <c r="BJ156" s="65"/>
      <c r="BK156" s="65"/>
      <c r="BL156" s="65"/>
      <c r="BM156" s="65"/>
      <c r="BN156" s="65"/>
      <c r="BO156" s="65"/>
      <c r="BP156" s="65"/>
      <c r="BQ156" s="65"/>
      <c r="BR156" s="65"/>
      <c r="BS156" s="65"/>
      <c r="BT156" s="65"/>
      <c r="BU156" s="65"/>
      <c r="BV156" s="65"/>
    </row>
    <row r="158" spans="2:75" ht="12.6" x14ac:dyDescent="0.25">
      <c r="B158" s="72" t="s">
        <v>169</v>
      </c>
      <c r="C158" s="72"/>
      <c r="D158" s="72"/>
      <c r="E158" s="72"/>
      <c r="F158" s="72"/>
      <c r="G158" s="72"/>
      <c r="H158" s="72"/>
      <c r="I158" s="72"/>
      <c r="J158" s="72"/>
    </row>
    <row r="159" spans="2:75" ht="12.6" x14ac:dyDescent="0.25">
      <c r="B159" s="73" t="s">
        <v>170</v>
      </c>
      <c r="C159" s="73"/>
      <c r="D159" s="73"/>
      <c r="E159" s="73"/>
      <c r="F159" s="73"/>
      <c r="G159" s="73"/>
      <c r="H159" s="73"/>
      <c r="I159" s="73"/>
      <c r="J159" s="73"/>
    </row>
    <row r="161" spans="2:75" ht="12.6" x14ac:dyDescent="0.25">
      <c r="B161" s="72" t="s">
        <v>171</v>
      </c>
      <c r="C161" s="72"/>
      <c r="D161" s="72"/>
      <c r="E161" s="72"/>
      <c r="F161" s="72"/>
      <c r="G161" s="72"/>
      <c r="H161" s="72"/>
      <c r="I161" s="72"/>
      <c r="J161" s="72"/>
    </row>
    <row r="162" spans="2:75" ht="12.6" x14ac:dyDescent="0.25">
      <c r="B162" s="73" t="s">
        <v>172</v>
      </c>
      <c r="C162" s="73"/>
      <c r="D162" s="73"/>
      <c r="E162" s="73"/>
      <c r="F162" s="73"/>
      <c r="G162" s="73"/>
      <c r="H162" s="73"/>
      <c r="I162" s="73"/>
      <c r="J162" s="73"/>
    </row>
    <row r="164" spans="2:75" ht="12.6" x14ac:dyDescent="0.25">
      <c r="B164" s="72" t="s">
        <v>173</v>
      </c>
      <c r="C164" s="72"/>
      <c r="D164" s="72"/>
      <c r="E164" s="72"/>
      <c r="F164" s="72"/>
      <c r="G164" s="72"/>
      <c r="H164" s="72"/>
      <c r="I164" s="72"/>
      <c r="J164" s="72"/>
    </row>
    <row r="165" spans="2:75" ht="12.6" x14ac:dyDescent="0.25">
      <c r="B165" s="73" t="s">
        <v>174</v>
      </c>
      <c r="C165" s="73"/>
      <c r="D165" s="73"/>
      <c r="E165" s="73"/>
      <c r="F165" s="73"/>
      <c r="G165" s="73"/>
      <c r="H165" s="73"/>
      <c r="I165" s="73"/>
      <c r="J165" s="73"/>
    </row>
    <row r="167" spans="2:75" ht="12.6" x14ac:dyDescent="0.25">
      <c r="B167" s="72" t="s">
        <v>175</v>
      </c>
      <c r="C167" s="72"/>
      <c r="D167" s="72"/>
      <c r="E167" s="72"/>
      <c r="F167" s="72"/>
      <c r="G167" s="72"/>
      <c r="H167" s="72"/>
      <c r="I167" s="72"/>
      <c r="J167" s="72"/>
    </row>
    <row r="168" spans="2:75" ht="12.6" x14ac:dyDescent="0.25">
      <c r="B168" s="73" t="s">
        <v>176</v>
      </c>
      <c r="C168" s="73"/>
      <c r="D168" s="73"/>
      <c r="E168" s="73"/>
      <c r="F168" s="73"/>
      <c r="G168" s="73"/>
      <c r="H168" s="73"/>
      <c r="I168" s="73"/>
      <c r="J168" s="73"/>
    </row>
    <row r="170" spans="2:75" ht="12.6" x14ac:dyDescent="0.25">
      <c r="B170" s="49" t="s">
        <v>177</v>
      </c>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c r="AA170" s="49"/>
      <c r="AB170" s="49"/>
      <c r="AC170" s="49"/>
      <c r="AD170" s="49"/>
      <c r="AE170" s="49"/>
      <c r="AF170" s="49"/>
      <c r="AG170" s="49"/>
      <c r="AH170" s="49"/>
      <c r="AI170" s="49"/>
      <c r="AJ170" s="49"/>
      <c r="AK170" s="49"/>
      <c r="AL170" s="49"/>
      <c r="AM170" s="49"/>
      <c r="AN170" s="49"/>
      <c r="AO170" s="49"/>
      <c r="AP170" s="49"/>
      <c r="AQ170" s="49"/>
      <c r="AR170" s="49"/>
      <c r="AS170" s="49"/>
      <c r="AT170" s="49"/>
      <c r="AU170" s="49"/>
      <c r="AV170" s="49"/>
      <c r="AW170" s="49"/>
      <c r="AX170" s="49"/>
      <c r="AY170" s="49"/>
      <c r="AZ170" s="49"/>
      <c r="BA170" s="49"/>
      <c r="BB170" s="49"/>
      <c r="BC170" s="49"/>
      <c r="BD170" s="49"/>
      <c r="BE170" s="49"/>
      <c r="BF170" s="49"/>
      <c r="BG170" s="49"/>
      <c r="BH170" s="49"/>
      <c r="BI170" s="49"/>
      <c r="BJ170" s="49"/>
      <c r="BK170" s="49"/>
      <c r="BL170" s="49"/>
      <c r="BM170" s="49"/>
      <c r="BN170" s="49"/>
      <c r="BO170" s="49"/>
      <c r="BP170" s="49"/>
      <c r="BQ170" s="49"/>
      <c r="BR170" s="70" t="s">
        <v>94</v>
      </c>
      <c r="BS170" s="70"/>
      <c r="BT170" s="70"/>
      <c r="BU170" s="70"/>
      <c r="BV170" s="70"/>
      <c r="BW170" s="70"/>
    </row>
    <row r="171" spans="2:75" ht="12.6" x14ac:dyDescent="0.25">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c r="AA171" s="49"/>
      <c r="AB171" s="49"/>
      <c r="AC171" s="49"/>
      <c r="AD171" s="49"/>
      <c r="AE171" s="49"/>
      <c r="AF171" s="49"/>
      <c r="AG171" s="49"/>
      <c r="AH171" s="49"/>
      <c r="AI171" s="49"/>
      <c r="AJ171" s="49"/>
      <c r="AK171" s="49"/>
      <c r="AL171" s="49"/>
      <c r="AM171" s="49"/>
      <c r="AN171" s="49"/>
      <c r="AO171" s="49"/>
      <c r="AP171" s="49"/>
      <c r="AQ171" s="49"/>
      <c r="AR171" s="49"/>
      <c r="AS171" s="49"/>
      <c r="AT171" s="49"/>
      <c r="AU171" s="49"/>
      <c r="AV171" s="49"/>
      <c r="AW171" s="49"/>
      <c r="AX171" s="49"/>
      <c r="AY171" s="49"/>
      <c r="AZ171" s="49"/>
      <c r="BA171" s="49"/>
      <c r="BB171" s="49"/>
      <c r="BC171" s="49"/>
      <c r="BD171" s="49"/>
      <c r="BE171" s="49"/>
      <c r="BF171" s="49"/>
      <c r="BG171" s="49"/>
      <c r="BH171" s="49"/>
      <c r="BI171" s="49"/>
      <c r="BJ171" s="49"/>
      <c r="BK171" s="49"/>
      <c r="BL171" s="49"/>
      <c r="BM171" s="49"/>
      <c r="BN171" s="49"/>
      <c r="BO171" s="49"/>
      <c r="BP171" s="49"/>
      <c r="BQ171" s="49"/>
      <c r="BR171" s="70"/>
      <c r="BS171" s="70"/>
      <c r="BT171" s="70"/>
      <c r="BU171" s="70"/>
      <c r="BV171" s="70"/>
      <c r="BW171" s="70"/>
    </row>
    <row r="172" spans="2:75" ht="12.6" x14ac:dyDescent="0.25">
      <c r="B172" s="44" t="s">
        <v>178</v>
      </c>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c r="AA172" s="44"/>
      <c r="AB172" s="44"/>
      <c r="AC172" s="44"/>
      <c r="AD172" s="44"/>
      <c r="AE172" s="44"/>
      <c r="AF172" s="44"/>
      <c r="AG172" s="44"/>
      <c r="AH172" s="44"/>
      <c r="AI172" s="44"/>
      <c r="AJ172" s="44"/>
      <c r="AK172" s="44"/>
      <c r="AL172" s="44"/>
      <c r="AM172" s="44"/>
      <c r="AN172" s="44"/>
      <c r="AO172" s="44"/>
      <c r="AP172" s="44"/>
      <c r="AQ172" s="44"/>
      <c r="AR172" s="44"/>
      <c r="AS172" s="44"/>
      <c r="AT172" s="44"/>
      <c r="AU172" s="44"/>
      <c r="AV172" s="44"/>
      <c r="AW172" s="44"/>
      <c r="AX172" s="44"/>
      <c r="AY172" s="44"/>
      <c r="AZ172" s="44"/>
      <c r="BA172" s="44"/>
      <c r="BB172" s="44"/>
      <c r="BC172" s="44"/>
      <c r="BD172" s="44"/>
      <c r="BE172" s="44"/>
      <c r="BF172" s="44"/>
      <c r="BG172" s="44"/>
      <c r="BH172" s="44"/>
      <c r="BI172" s="44"/>
      <c r="BJ172" s="44"/>
      <c r="BK172" s="44"/>
      <c r="BL172" s="44"/>
      <c r="BM172" s="44"/>
      <c r="BN172" s="44"/>
      <c r="BO172" s="44"/>
      <c r="BP172" s="44"/>
      <c r="BQ172" s="44"/>
      <c r="BR172" s="44"/>
      <c r="BS172" s="44"/>
      <c r="BT172" s="44"/>
      <c r="BU172" s="44"/>
      <c r="BV172" s="44"/>
      <c r="BW172" s="44"/>
    </row>
    <row r="173" spans="2:75" ht="12.6" x14ac:dyDescent="0.25">
      <c r="B173" s="71" t="s">
        <v>32</v>
      </c>
      <c r="C173" s="71"/>
      <c r="D173" s="71"/>
      <c r="E173" s="71"/>
      <c r="F173" s="71"/>
      <c r="G173" s="71"/>
      <c r="H173" s="71"/>
      <c r="I173" s="71"/>
      <c r="J173" s="71"/>
      <c r="L173" s="62" t="s">
        <v>74</v>
      </c>
      <c r="M173" s="62"/>
      <c r="N173" s="62"/>
      <c r="O173" s="62"/>
      <c r="P173" s="62"/>
      <c r="Q173" s="62"/>
      <c r="R173" s="62"/>
      <c r="S173" s="62"/>
      <c r="T173" s="62"/>
      <c r="U173" s="62"/>
      <c r="V173" s="62"/>
      <c r="W173" s="62"/>
      <c r="X173" s="62"/>
      <c r="Y173" s="62"/>
      <c r="Z173" s="62"/>
      <c r="AB173" s="63" t="s">
        <v>96</v>
      </c>
      <c r="AC173" s="63"/>
      <c r="AD173" s="63"/>
      <c r="AE173" s="63"/>
      <c r="AF173" s="63"/>
      <c r="AG173" s="63"/>
      <c r="AH173" s="63"/>
      <c r="AI173" s="63"/>
      <c r="AJ173" s="63"/>
      <c r="AK173" s="63"/>
      <c r="AL173" s="63"/>
      <c r="AM173" s="63"/>
      <c r="AN173" s="63"/>
      <c r="AO173" s="63"/>
      <c r="AP173" s="63"/>
      <c r="AR173" s="64" t="s">
        <v>97</v>
      </c>
      <c r="AS173" s="64"/>
      <c r="AT173" s="64"/>
      <c r="AU173" s="64"/>
      <c r="AV173" s="64"/>
      <c r="AW173" s="64"/>
      <c r="AX173" s="64"/>
      <c r="AY173" s="64"/>
      <c r="AZ173" s="64"/>
      <c r="BA173" s="64"/>
      <c r="BB173" s="64"/>
      <c r="BC173" s="64"/>
      <c r="BD173" s="64"/>
      <c r="BE173" s="64"/>
      <c r="BF173" s="64"/>
      <c r="BH173" s="65" t="s">
        <v>98</v>
      </c>
      <c r="BI173" s="65"/>
      <c r="BJ173" s="65"/>
      <c r="BK173" s="65"/>
      <c r="BL173" s="65"/>
      <c r="BM173" s="65"/>
      <c r="BN173" s="65"/>
      <c r="BO173" s="65"/>
      <c r="BP173" s="65"/>
      <c r="BQ173" s="65"/>
      <c r="BR173" s="65"/>
      <c r="BS173" s="65"/>
      <c r="BT173" s="65"/>
      <c r="BU173" s="65"/>
      <c r="BV173" s="65"/>
    </row>
    <row r="175" spans="2:75" ht="12.6" x14ac:dyDescent="0.25">
      <c r="B175" s="72" t="s">
        <v>179</v>
      </c>
      <c r="C175" s="72"/>
      <c r="D175" s="72"/>
      <c r="E175" s="72"/>
      <c r="F175" s="72"/>
      <c r="G175" s="72"/>
      <c r="H175" s="72"/>
      <c r="I175" s="72"/>
      <c r="J175" s="72"/>
    </row>
    <row r="176" spans="2:75" ht="12.6" x14ac:dyDescent="0.25">
      <c r="B176" s="73" t="s">
        <v>180</v>
      </c>
      <c r="C176" s="73"/>
      <c r="D176" s="73"/>
      <c r="E176" s="73"/>
      <c r="F176" s="73"/>
      <c r="G176" s="73"/>
      <c r="H176" s="73"/>
      <c r="I176" s="73"/>
      <c r="J176" s="73"/>
    </row>
    <row r="177" spans="2:10" ht="12.6" x14ac:dyDescent="0.25">
      <c r="B177" s="73" t="s">
        <v>181</v>
      </c>
      <c r="C177" s="73"/>
      <c r="D177" s="73"/>
      <c r="E177" s="73"/>
      <c r="F177" s="73"/>
      <c r="G177" s="73"/>
      <c r="H177" s="73"/>
      <c r="I177" s="73"/>
      <c r="J177" s="73"/>
    </row>
    <row r="182" spans="2:10" ht="12.6" x14ac:dyDescent="0.25">
      <c r="B182" s="72" t="s">
        <v>182</v>
      </c>
      <c r="C182" s="72"/>
      <c r="D182" s="72"/>
      <c r="E182" s="72"/>
      <c r="F182" s="72"/>
      <c r="G182" s="72"/>
      <c r="H182" s="72"/>
      <c r="I182" s="72"/>
      <c r="J182" s="72"/>
    </row>
    <row r="183" spans="2:10" ht="12.6" x14ac:dyDescent="0.25">
      <c r="B183" s="73" t="s">
        <v>183</v>
      </c>
      <c r="C183" s="73"/>
      <c r="D183" s="73"/>
      <c r="E183" s="73"/>
      <c r="F183" s="73"/>
      <c r="G183" s="73"/>
      <c r="H183" s="73"/>
      <c r="I183" s="73"/>
      <c r="J183" s="73"/>
    </row>
    <row r="184" spans="2:10" ht="12.6" x14ac:dyDescent="0.25">
      <c r="B184" s="73" t="s">
        <v>184</v>
      </c>
      <c r="C184" s="73"/>
      <c r="D184" s="73"/>
      <c r="E184" s="73"/>
      <c r="F184" s="73"/>
      <c r="G184" s="73"/>
      <c r="H184" s="73"/>
      <c r="I184" s="73"/>
      <c r="J184" s="73"/>
    </row>
    <row r="189" spans="2:10" ht="12.6" x14ac:dyDescent="0.25">
      <c r="B189" s="72" t="s">
        <v>185</v>
      </c>
      <c r="C189" s="72"/>
      <c r="D189" s="72"/>
      <c r="E189" s="72"/>
      <c r="F189" s="72"/>
      <c r="G189" s="72"/>
      <c r="H189" s="72"/>
      <c r="I189" s="72"/>
      <c r="J189" s="72"/>
    </row>
    <row r="190" spans="2:10" ht="12.6" x14ac:dyDescent="0.25">
      <c r="B190" s="73" t="s">
        <v>186</v>
      </c>
      <c r="C190" s="73"/>
      <c r="D190" s="73"/>
      <c r="E190" s="73"/>
      <c r="F190" s="73"/>
      <c r="G190" s="73"/>
      <c r="H190" s="73"/>
      <c r="I190" s="73"/>
      <c r="J190" s="73"/>
    </row>
    <row r="191" spans="2:10" ht="12.6" x14ac:dyDescent="0.25">
      <c r="B191" s="73" t="s">
        <v>187</v>
      </c>
      <c r="C191" s="73"/>
      <c r="D191" s="73"/>
      <c r="E191" s="73"/>
      <c r="F191" s="73"/>
      <c r="G191" s="73"/>
      <c r="H191" s="73"/>
      <c r="I191" s="73"/>
      <c r="J191" s="73"/>
    </row>
    <row r="196" spans="2:75" ht="12.6" x14ac:dyDescent="0.25">
      <c r="B196" s="49" t="s">
        <v>188</v>
      </c>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c r="AA196" s="49"/>
      <c r="AB196" s="49"/>
      <c r="AC196" s="49"/>
      <c r="AD196" s="49"/>
      <c r="AE196" s="49"/>
      <c r="AF196" s="49"/>
      <c r="AG196" s="49"/>
      <c r="AH196" s="49"/>
      <c r="AI196" s="49"/>
      <c r="AJ196" s="49"/>
      <c r="AK196" s="49"/>
      <c r="AL196" s="49"/>
      <c r="AM196" s="49"/>
      <c r="AN196" s="49"/>
      <c r="AO196" s="49"/>
      <c r="AP196" s="49"/>
      <c r="AQ196" s="49"/>
      <c r="AR196" s="49"/>
      <c r="AS196" s="49"/>
      <c r="AT196" s="49"/>
      <c r="AU196" s="49"/>
      <c r="AV196" s="49"/>
      <c r="AW196" s="49"/>
      <c r="AX196" s="49"/>
      <c r="AY196" s="49"/>
      <c r="AZ196" s="49"/>
      <c r="BA196" s="49"/>
      <c r="BB196" s="49"/>
      <c r="BC196" s="49"/>
      <c r="BD196" s="49"/>
      <c r="BE196" s="49"/>
      <c r="BF196" s="49"/>
      <c r="BG196" s="49"/>
      <c r="BH196" s="49"/>
      <c r="BI196" s="49"/>
      <c r="BJ196" s="49"/>
      <c r="BK196" s="49"/>
      <c r="BL196" s="49"/>
      <c r="BM196" s="49"/>
      <c r="BN196" s="49"/>
      <c r="BO196" s="49"/>
      <c r="BP196" s="49"/>
      <c r="BQ196" s="49"/>
      <c r="BR196" s="70" t="s">
        <v>94</v>
      </c>
      <c r="BS196" s="70"/>
      <c r="BT196" s="70"/>
      <c r="BU196" s="70"/>
      <c r="BV196" s="70"/>
      <c r="BW196" s="70"/>
    </row>
    <row r="197" spans="2:75" ht="12.6" x14ac:dyDescent="0.25">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c r="AA197" s="49"/>
      <c r="AB197" s="49"/>
      <c r="AC197" s="49"/>
      <c r="AD197" s="49"/>
      <c r="AE197" s="49"/>
      <c r="AF197" s="49"/>
      <c r="AG197" s="49"/>
      <c r="AH197" s="49"/>
      <c r="AI197" s="49"/>
      <c r="AJ197" s="49"/>
      <c r="AK197" s="49"/>
      <c r="AL197" s="49"/>
      <c r="AM197" s="49"/>
      <c r="AN197" s="49"/>
      <c r="AO197" s="49"/>
      <c r="AP197" s="49"/>
      <c r="AQ197" s="49"/>
      <c r="AR197" s="49"/>
      <c r="AS197" s="49"/>
      <c r="AT197" s="49"/>
      <c r="AU197" s="49"/>
      <c r="AV197" s="49"/>
      <c r="AW197" s="49"/>
      <c r="AX197" s="49"/>
      <c r="AY197" s="49"/>
      <c r="AZ197" s="49"/>
      <c r="BA197" s="49"/>
      <c r="BB197" s="49"/>
      <c r="BC197" s="49"/>
      <c r="BD197" s="49"/>
      <c r="BE197" s="49"/>
      <c r="BF197" s="49"/>
      <c r="BG197" s="49"/>
      <c r="BH197" s="49"/>
      <c r="BI197" s="49"/>
      <c r="BJ197" s="49"/>
      <c r="BK197" s="49"/>
      <c r="BL197" s="49"/>
      <c r="BM197" s="49"/>
      <c r="BN197" s="49"/>
      <c r="BO197" s="49"/>
      <c r="BP197" s="49"/>
      <c r="BQ197" s="49"/>
      <c r="BR197" s="70"/>
      <c r="BS197" s="70"/>
      <c r="BT197" s="70"/>
      <c r="BU197" s="70"/>
      <c r="BV197" s="70"/>
      <c r="BW197" s="70"/>
    </row>
    <row r="198" spans="2:75" ht="12.6" x14ac:dyDescent="0.25">
      <c r="B198" s="44" t="s">
        <v>189</v>
      </c>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44"/>
      <c r="AH198" s="44"/>
      <c r="AI198" s="44"/>
      <c r="AJ198" s="44"/>
      <c r="AK198" s="44"/>
      <c r="AL198" s="44"/>
      <c r="AM198" s="44"/>
      <c r="AN198" s="44"/>
      <c r="AO198" s="44"/>
      <c r="AP198" s="44"/>
      <c r="AQ198" s="44"/>
      <c r="AR198" s="44"/>
      <c r="AS198" s="44"/>
      <c r="AT198" s="44"/>
      <c r="AU198" s="44"/>
      <c r="AV198" s="44"/>
      <c r="AW198" s="44"/>
      <c r="AX198" s="44"/>
      <c r="AY198" s="44"/>
      <c r="AZ198" s="44"/>
      <c r="BA198" s="44"/>
      <c r="BB198" s="44"/>
      <c r="BC198" s="44"/>
      <c r="BD198" s="44"/>
      <c r="BE198" s="44"/>
      <c r="BF198" s="44"/>
      <c r="BG198" s="44"/>
      <c r="BH198" s="44"/>
      <c r="BI198" s="44"/>
      <c r="BJ198" s="44"/>
      <c r="BK198" s="44"/>
      <c r="BL198" s="44"/>
      <c r="BM198" s="44"/>
      <c r="BN198" s="44"/>
      <c r="BO198" s="44"/>
      <c r="BP198" s="44"/>
      <c r="BQ198" s="44"/>
      <c r="BR198" s="44"/>
      <c r="BS198" s="44"/>
      <c r="BT198" s="44"/>
      <c r="BU198" s="44"/>
      <c r="BV198" s="44"/>
      <c r="BW198" s="44"/>
    </row>
  </sheetData>
  <mergeCells count="139">
    <mergeCell ref="B198:BW198"/>
    <mergeCell ref="B14:M14"/>
    <mergeCell ref="N14:Y14"/>
    <mergeCell ref="Z14:AK14"/>
    <mergeCell ref="AL14:AW14"/>
    <mergeCell ref="AX14:BI14"/>
    <mergeCell ref="BJ14:BU14"/>
    <mergeCell ref="B177:J177"/>
    <mergeCell ref="B182:J182"/>
    <mergeCell ref="B183:J183"/>
    <mergeCell ref="B184:J184"/>
    <mergeCell ref="B189:J189"/>
    <mergeCell ref="B190:J190"/>
    <mergeCell ref="B191:J191"/>
    <mergeCell ref="B196:BQ197"/>
    <mergeCell ref="BR196:BW197"/>
    <mergeCell ref="BR170:BW171"/>
    <mergeCell ref="B172:BW172"/>
    <mergeCell ref="B173:J173"/>
    <mergeCell ref="L173:Z173"/>
    <mergeCell ref="AB173:AP173"/>
    <mergeCell ref="AR173:BF173"/>
    <mergeCell ref="BH173:BV173"/>
    <mergeCell ref="B175:J175"/>
    <mergeCell ref="B176:J176"/>
    <mergeCell ref="B158:J158"/>
    <mergeCell ref="B159:J159"/>
    <mergeCell ref="B161:J161"/>
    <mergeCell ref="B162:J162"/>
    <mergeCell ref="B164:J164"/>
    <mergeCell ref="B165:J165"/>
    <mergeCell ref="B167:J167"/>
    <mergeCell ref="B168:J168"/>
    <mergeCell ref="B170:BQ171"/>
    <mergeCell ref="B147:J147"/>
    <mergeCell ref="B148:J148"/>
    <mergeCell ref="B149:J149"/>
    <mergeCell ref="B153:BQ154"/>
    <mergeCell ref="BR153:BW154"/>
    <mergeCell ref="B155:BW155"/>
    <mergeCell ref="B156:J156"/>
    <mergeCell ref="L156:Z156"/>
    <mergeCell ref="AB156:AP156"/>
    <mergeCell ref="AR156:BF156"/>
    <mergeCell ref="BH156:BV156"/>
    <mergeCell ref="B132:J132"/>
    <mergeCell ref="B133:J133"/>
    <mergeCell ref="B134:J134"/>
    <mergeCell ref="B137:J137"/>
    <mergeCell ref="B138:J138"/>
    <mergeCell ref="B139:J139"/>
    <mergeCell ref="B141:J141"/>
    <mergeCell ref="B142:J142"/>
    <mergeCell ref="B143:J143"/>
    <mergeCell ref="B118:J118"/>
    <mergeCell ref="B119:J119"/>
    <mergeCell ref="B120:J120"/>
    <mergeCell ref="B121:J121"/>
    <mergeCell ref="B127:BQ128"/>
    <mergeCell ref="BR127:BW128"/>
    <mergeCell ref="B129:BW129"/>
    <mergeCell ref="B130:J130"/>
    <mergeCell ref="L130:Z130"/>
    <mergeCell ref="AB130:AP130"/>
    <mergeCell ref="AR130:BF130"/>
    <mergeCell ref="BH130:BV130"/>
    <mergeCell ref="B103:J103"/>
    <mergeCell ref="B105:J105"/>
    <mergeCell ref="B106:J106"/>
    <mergeCell ref="B108:J108"/>
    <mergeCell ref="B109:J109"/>
    <mergeCell ref="B111:J111"/>
    <mergeCell ref="B112:J112"/>
    <mergeCell ref="B114:J114"/>
    <mergeCell ref="B115:J115"/>
    <mergeCell ref="B90:J90"/>
    <mergeCell ref="B91:J91"/>
    <mergeCell ref="B93:J93"/>
    <mergeCell ref="B94:J94"/>
    <mergeCell ref="B96:J96"/>
    <mergeCell ref="B97:J97"/>
    <mergeCell ref="B99:J99"/>
    <mergeCell ref="B100:J100"/>
    <mergeCell ref="B102:J102"/>
    <mergeCell ref="B85:BQ86"/>
    <mergeCell ref="BR85:BW86"/>
    <mergeCell ref="B87:BW87"/>
    <mergeCell ref="B88:J88"/>
    <mergeCell ref="L88:Z88"/>
    <mergeCell ref="AB88:AP88"/>
    <mergeCell ref="AR88:BF88"/>
    <mergeCell ref="BH88:BV88"/>
    <mergeCell ref="L89:BW89"/>
    <mergeCell ref="B63:J63"/>
    <mergeCell ref="B64:J64"/>
    <mergeCell ref="B65:J65"/>
    <mergeCell ref="B73:J73"/>
    <mergeCell ref="B74:J74"/>
    <mergeCell ref="B75:J75"/>
    <mergeCell ref="B79:J79"/>
    <mergeCell ref="B80:J80"/>
    <mergeCell ref="B81:J81"/>
    <mergeCell ref="B45:J45"/>
    <mergeCell ref="B46:J46"/>
    <mergeCell ref="B47:J47"/>
    <mergeCell ref="B51:J51"/>
    <mergeCell ref="B52:J52"/>
    <mergeCell ref="B53:J53"/>
    <mergeCell ref="B57:J57"/>
    <mergeCell ref="B58:J58"/>
    <mergeCell ref="B59:J59"/>
    <mergeCell ref="B27:J27"/>
    <mergeCell ref="B28:J28"/>
    <mergeCell ref="B29:J29"/>
    <mergeCell ref="B33:J33"/>
    <mergeCell ref="B34:J34"/>
    <mergeCell ref="B35:J35"/>
    <mergeCell ref="B39:J39"/>
    <mergeCell ref="B40:J40"/>
    <mergeCell ref="B41:J41"/>
    <mergeCell ref="B18:BW18"/>
    <mergeCell ref="B19:J19"/>
    <mergeCell ref="L19:Z19"/>
    <mergeCell ref="AB19:AP19"/>
    <mergeCell ref="AR19:BF19"/>
    <mergeCell ref="BH19:BV19"/>
    <mergeCell ref="B21:J21"/>
    <mergeCell ref="B22:J22"/>
    <mergeCell ref="B23:J23"/>
    <mergeCell ref="B1:BW2"/>
    <mergeCell ref="B3:BW3"/>
    <mergeCell ref="B5:AO5"/>
    <mergeCell ref="R7:BW7"/>
    <mergeCell ref="R8:BW8"/>
    <mergeCell ref="R9:BW9"/>
    <mergeCell ref="R10:BW10"/>
    <mergeCell ref="R11:BW11"/>
    <mergeCell ref="B16:BQ17"/>
    <mergeCell ref="BR16:BW17"/>
  </mergeCells>
  <phoneticPr fontId="35"/>
  <hyperlinks>
    <hyperlink ref="B14" location="'部品'!A16" display="▶ A　ノード（12点接続）" xr:uid="{00000000-0004-0000-0400-000000000000}"/>
    <hyperlink ref="N14" location="'部品'!A85" display="▶ B　線（コネクタ）" xr:uid="{00000000-0004-0000-0400-000001000000}"/>
    <hyperlink ref="Z14" location="'部品'!A127" display="▶ C　コメント（ポイント・付記）" xr:uid="{00000000-0004-0000-0400-000002000000}"/>
    <hyperlink ref="AL14" location="'部品'!A153" display="▶ D　番号・ラベル" xr:uid="{00000000-0004-0000-0400-000003000000}"/>
    <hyperlink ref="AX14" location="'部品'!A170" display="▶ E　枠・ゾーン" xr:uid="{00000000-0004-0000-0400-000004000000}"/>
    <hyperlink ref="BJ14" location="'部品'!A196" display="▶ F　凡例" xr:uid="{00000000-0004-0000-0400-000005000000}"/>
    <hyperlink ref="BR16" location="'部品'!A1" display="▲ 先頭へ" xr:uid="{00000000-0004-0000-0400-000006000000}"/>
    <hyperlink ref="BR85" location="'部品'!A1" display="▲ 先頭へ" xr:uid="{00000000-0004-0000-0400-000007000000}"/>
    <hyperlink ref="BR127" location="'部品'!A1" display="▲ 先頭へ" xr:uid="{00000000-0004-0000-0400-000008000000}"/>
    <hyperlink ref="BR153" location="'部品'!A1" display="▲ 先頭へ" xr:uid="{00000000-0004-0000-0400-000009000000}"/>
    <hyperlink ref="BR170" location="'部品'!A1" display="▲ 先頭へ" xr:uid="{00000000-0004-0000-0400-00000A000000}"/>
    <hyperlink ref="BR196" location="'部品'!A1" display="▲ 先頭へ" xr:uid="{00000000-0004-0000-0400-00000B000000}"/>
  </hyperlinks>
  <printOptions horizontalCentered="1"/>
  <pageMargins left="0.4" right="0.4" top="0.4" bottom="0.4" header="0.3" footer="0.3"/>
  <pageSetup paperSize="8" fitToHeight="0" orientation="landscape"/>
  <rowBreaks count="4" manualBreakCount="4">
    <brk id="50" max="16383" man="1"/>
    <brk id="84" max="16383" man="1"/>
    <brk id="126" max="16383" man="1"/>
    <brk id="169" max="16383" man="1"/>
  </row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F7F7F"/>
    <pageSetUpPr fitToPage="1"/>
  </sheetPr>
  <dimension ref="B1:L65"/>
  <sheetViews>
    <sheetView showGridLines="0" zoomScale="90" zoomScaleNormal="90" workbookViewId="0">
      <pane xSplit="3" ySplit="5" topLeftCell="D6" activePane="bottomRight" state="frozen"/>
      <selection pane="topRight" activeCell="D1" sqref="D1"/>
      <selection pane="bottomLeft" activeCell="A6" sqref="A6"/>
      <selection pane="bottomRight"/>
    </sheetView>
  </sheetViews>
  <sheetFormatPr defaultRowHeight="15" customHeight="1" x14ac:dyDescent="0.25"/>
  <cols>
    <col min="1" max="1" width="2.33203125" customWidth="1"/>
    <col min="2" max="2" width="6.6640625" customWidth="1"/>
    <col min="3" max="3" width="7.6640625" customWidth="1"/>
    <col min="4" max="4" width="18.6640625" customWidth="1"/>
    <col min="5" max="5" width="24.6640625" customWidth="1"/>
    <col min="6" max="6" width="15.6640625" customWidth="1"/>
    <col min="7" max="7" width="18.6640625" customWidth="1"/>
    <col min="8" max="8" width="13.6640625" customWidth="1"/>
    <col min="9" max="9" width="24.6640625" customWidth="1"/>
    <col min="10" max="10" width="18.6640625" customWidth="1"/>
    <col min="11" max="11" width="8.6640625" customWidth="1"/>
    <col min="12" max="12" width="26.6640625" customWidth="1"/>
  </cols>
  <sheetData>
    <row r="1" spans="2:12" ht="24" customHeight="1" x14ac:dyDescent="0.25">
      <c r="B1" s="76" t="s">
        <v>196</v>
      </c>
      <c r="C1" s="76"/>
      <c r="D1" s="76"/>
      <c r="E1" s="76"/>
      <c r="F1" s="76"/>
      <c r="G1" s="76"/>
      <c r="H1" s="76"/>
      <c r="I1" s="76"/>
      <c r="J1" s="76"/>
      <c r="K1" s="76"/>
      <c r="L1" s="76"/>
    </row>
    <row r="2" spans="2:12" ht="12.6" x14ac:dyDescent="0.25">
      <c r="B2" s="44" t="s">
        <v>197</v>
      </c>
      <c r="C2" s="44"/>
      <c r="D2" s="44"/>
      <c r="E2" s="44"/>
      <c r="F2" s="44"/>
      <c r="G2" s="44"/>
      <c r="H2" s="44"/>
      <c r="I2" s="44"/>
      <c r="J2" s="44"/>
      <c r="K2" s="44"/>
      <c r="L2" s="44"/>
    </row>
    <row r="3" spans="2:12" ht="12.6" x14ac:dyDescent="0.25">
      <c r="B3" s="77" t="s">
        <v>198</v>
      </c>
      <c r="C3" s="77"/>
      <c r="D3" s="77"/>
      <c r="E3" s="77"/>
      <c r="F3" s="77"/>
      <c r="G3" s="77"/>
      <c r="H3" s="77"/>
      <c r="I3" s="77"/>
      <c r="J3" s="77"/>
      <c r="K3" s="77"/>
      <c r="L3" s="77"/>
    </row>
    <row r="5" spans="2:12" ht="22.05" customHeight="1" x14ac:dyDescent="0.25">
      <c r="B5" s="15" t="s">
        <v>23</v>
      </c>
      <c r="C5" s="15" t="s">
        <v>199</v>
      </c>
      <c r="D5" s="15" t="s">
        <v>200</v>
      </c>
      <c r="E5" s="15" t="s">
        <v>201</v>
      </c>
      <c r="F5" s="15" t="s">
        <v>202</v>
      </c>
      <c r="G5" s="15" t="s">
        <v>203</v>
      </c>
      <c r="H5" s="15" t="s">
        <v>204</v>
      </c>
      <c r="I5" s="15" t="s">
        <v>205</v>
      </c>
      <c r="J5" s="15" t="s">
        <v>206</v>
      </c>
      <c r="K5" s="15" t="s">
        <v>207</v>
      </c>
      <c r="L5" s="15" t="s">
        <v>208</v>
      </c>
    </row>
    <row r="6" spans="2:12" ht="21" customHeight="1" x14ac:dyDescent="0.25">
      <c r="B6" s="16" t="s">
        <v>209</v>
      </c>
      <c r="C6" s="16" t="s">
        <v>44</v>
      </c>
      <c r="D6" s="16" t="s">
        <v>210</v>
      </c>
      <c r="E6" s="16" t="s">
        <v>211</v>
      </c>
      <c r="F6" s="16" t="s">
        <v>212</v>
      </c>
      <c r="G6" s="16" t="s">
        <v>213</v>
      </c>
      <c r="H6" s="16" t="s">
        <v>214</v>
      </c>
      <c r="I6" s="16" t="s">
        <v>215</v>
      </c>
      <c r="J6" s="16" t="s">
        <v>216</v>
      </c>
      <c r="K6" s="16" t="s">
        <v>217</v>
      </c>
      <c r="L6" s="16" t="s">
        <v>218</v>
      </c>
    </row>
    <row r="7" spans="2:12" ht="21" customHeight="1" x14ac:dyDescent="0.25">
      <c r="B7" s="16" t="s">
        <v>219</v>
      </c>
      <c r="C7" s="16" t="s">
        <v>44</v>
      </c>
      <c r="D7" s="16" t="s">
        <v>210</v>
      </c>
      <c r="E7" s="16" t="s">
        <v>220</v>
      </c>
      <c r="F7" s="16" t="s">
        <v>221</v>
      </c>
      <c r="G7" s="16" t="s">
        <v>222</v>
      </c>
      <c r="H7" s="16" t="s">
        <v>223</v>
      </c>
      <c r="I7" s="16" t="s">
        <v>215</v>
      </c>
      <c r="J7" s="16" t="s">
        <v>224</v>
      </c>
      <c r="K7" s="16" t="s">
        <v>217</v>
      </c>
      <c r="L7" s="16" t="s">
        <v>225</v>
      </c>
    </row>
    <row r="8" spans="2:12" ht="21" customHeight="1" x14ac:dyDescent="0.25">
      <c r="B8" s="16" t="s">
        <v>226</v>
      </c>
      <c r="C8" s="16" t="s">
        <v>44</v>
      </c>
      <c r="D8" s="16" t="s">
        <v>227</v>
      </c>
      <c r="E8" s="16" t="s">
        <v>228</v>
      </c>
      <c r="F8" s="16" t="s">
        <v>229</v>
      </c>
      <c r="G8" s="16" t="s">
        <v>230</v>
      </c>
      <c r="H8" s="16" t="s">
        <v>231</v>
      </c>
      <c r="I8" s="16" t="s">
        <v>232</v>
      </c>
      <c r="J8" s="16" t="s">
        <v>233</v>
      </c>
      <c r="K8" s="16" t="s">
        <v>217</v>
      </c>
      <c r="L8" s="16" t="s">
        <v>225</v>
      </c>
    </row>
    <row r="9" spans="2:12" ht="21" customHeight="1" x14ac:dyDescent="0.25">
      <c r="B9" s="16" t="s">
        <v>234</v>
      </c>
      <c r="C9" s="16" t="s">
        <v>48</v>
      </c>
      <c r="D9" s="16" t="s">
        <v>235</v>
      </c>
      <c r="E9" s="16" t="s">
        <v>236</v>
      </c>
      <c r="F9" s="16" t="s">
        <v>237</v>
      </c>
      <c r="G9" s="16" t="s">
        <v>238</v>
      </c>
      <c r="H9" s="16" t="s">
        <v>239</v>
      </c>
      <c r="I9" s="16" t="s">
        <v>240</v>
      </c>
      <c r="J9" s="16" t="s">
        <v>241</v>
      </c>
      <c r="K9" s="16" t="s">
        <v>133</v>
      </c>
      <c r="L9" s="16" t="s">
        <v>225</v>
      </c>
    </row>
    <row r="10" spans="2:12" ht="21" customHeight="1" x14ac:dyDescent="0.25">
      <c r="B10" s="16" t="s">
        <v>242</v>
      </c>
      <c r="C10" s="16" t="s">
        <v>48</v>
      </c>
      <c r="D10" s="16" t="s">
        <v>243</v>
      </c>
      <c r="E10" s="16" t="s">
        <v>236</v>
      </c>
      <c r="F10" s="16" t="s">
        <v>244</v>
      </c>
      <c r="G10" s="16" t="s">
        <v>245</v>
      </c>
      <c r="H10" s="16" t="s">
        <v>239</v>
      </c>
      <c r="I10" s="16" t="s">
        <v>240</v>
      </c>
      <c r="J10" s="16" t="s">
        <v>246</v>
      </c>
      <c r="K10" s="16" t="s">
        <v>133</v>
      </c>
      <c r="L10" s="16" t="s">
        <v>225</v>
      </c>
    </row>
    <row r="11" spans="2:12" ht="21" customHeight="1" x14ac:dyDescent="0.25">
      <c r="B11" s="16" t="s">
        <v>247</v>
      </c>
      <c r="C11" s="16" t="s">
        <v>52</v>
      </c>
      <c r="D11" s="16" t="s">
        <v>248</v>
      </c>
      <c r="E11" s="16" t="s">
        <v>249</v>
      </c>
      <c r="F11" s="16" t="s">
        <v>250</v>
      </c>
      <c r="G11" s="16" t="s">
        <v>251</v>
      </c>
      <c r="H11" s="16" t="s">
        <v>239</v>
      </c>
      <c r="I11" s="16" t="s">
        <v>252</v>
      </c>
      <c r="J11" s="16" t="s">
        <v>253</v>
      </c>
      <c r="K11" s="16" t="s">
        <v>133</v>
      </c>
      <c r="L11" s="16" t="s">
        <v>225</v>
      </c>
    </row>
    <row r="12" spans="2:12" ht="21" customHeight="1" x14ac:dyDescent="0.25">
      <c r="B12" s="16" t="s">
        <v>254</v>
      </c>
      <c r="C12" s="16" t="s">
        <v>56</v>
      </c>
      <c r="D12" s="16" t="s">
        <v>255</v>
      </c>
      <c r="E12" s="16" t="s">
        <v>228</v>
      </c>
      <c r="F12" s="16" t="s">
        <v>229</v>
      </c>
      <c r="G12" s="16" t="s">
        <v>256</v>
      </c>
      <c r="H12" s="16" t="s">
        <v>239</v>
      </c>
      <c r="I12" s="16" t="s">
        <v>232</v>
      </c>
      <c r="J12" s="16" t="s">
        <v>233</v>
      </c>
      <c r="K12" s="16" t="s">
        <v>133</v>
      </c>
      <c r="L12" s="16" t="s">
        <v>225</v>
      </c>
    </row>
    <row r="13" spans="2:12" ht="21" customHeight="1" x14ac:dyDescent="0.25">
      <c r="B13" s="16" t="s">
        <v>257</v>
      </c>
      <c r="C13" s="16" t="s">
        <v>56</v>
      </c>
      <c r="D13" s="16" t="s">
        <v>258</v>
      </c>
      <c r="E13" s="16" t="s">
        <v>259</v>
      </c>
      <c r="F13" s="16" t="s">
        <v>260</v>
      </c>
      <c r="G13" s="16" t="s">
        <v>261</v>
      </c>
      <c r="H13" s="16" t="s">
        <v>262</v>
      </c>
      <c r="I13" s="16" t="s">
        <v>263</v>
      </c>
      <c r="J13" s="16" t="s">
        <v>264</v>
      </c>
      <c r="K13" s="16" t="s">
        <v>217</v>
      </c>
      <c r="L13" s="16" t="s">
        <v>265</v>
      </c>
    </row>
    <row r="14" spans="2:12" ht="21" customHeight="1" x14ac:dyDescent="0.25">
      <c r="B14" s="16"/>
      <c r="C14" s="16"/>
      <c r="D14" s="16"/>
      <c r="E14" s="16"/>
      <c r="F14" s="16"/>
      <c r="G14" s="16"/>
      <c r="H14" s="16"/>
      <c r="I14" s="16"/>
      <c r="J14" s="16"/>
      <c r="K14" s="16"/>
      <c r="L14" s="16"/>
    </row>
    <row r="15" spans="2:12" ht="21" customHeight="1" x14ac:dyDescent="0.25">
      <c r="B15" s="16"/>
      <c r="C15" s="16"/>
      <c r="D15" s="16"/>
      <c r="E15" s="16"/>
      <c r="F15" s="16"/>
      <c r="G15" s="16"/>
      <c r="H15" s="16"/>
      <c r="I15" s="16"/>
      <c r="J15" s="16"/>
      <c r="K15" s="16"/>
      <c r="L15" s="16"/>
    </row>
    <row r="16" spans="2:12" ht="21" customHeight="1" x14ac:dyDescent="0.25">
      <c r="B16" s="16"/>
      <c r="C16" s="16"/>
      <c r="D16" s="16"/>
      <c r="E16" s="16"/>
      <c r="F16" s="16"/>
      <c r="G16" s="16"/>
      <c r="H16" s="16"/>
      <c r="I16" s="16"/>
      <c r="J16" s="16"/>
      <c r="K16" s="16"/>
      <c r="L16" s="16"/>
    </row>
    <row r="17" spans="2:12" ht="21" customHeight="1" x14ac:dyDescent="0.25">
      <c r="B17" s="16"/>
      <c r="C17" s="16"/>
      <c r="D17" s="16"/>
      <c r="E17" s="16"/>
      <c r="F17" s="16"/>
      <c r="G17" s="16"/>
      <c r="H17" s="16"/>
      <c r="I17" s="16"/>
      <c r="J17" s="16"/>
      <c r="K17" s="16"/>
      <c r="L17" s="16"/>
    </row>
    <row r="18" spans="2:12" ht="21" customHeight="1" x14ac:dyDescent="0.25">
      <c r="B18" s="16"/>
      <c r="C18" s="16"/>
      <c r="D18" s="16"/>
      <c r="E18" s="16"/>
      <c r="F18" s="16"/>
      <c r="G18" s="16"/>
      <c r="H18" s="16"/>
      <c r="I18" s="16"/>
      <c r="J18" s="16"/>
      <c r="K18" s="16"/>
      <c r="L18" s="16"/>
    </row>
    <row r="19" spans="2:12" ht="21" customHeight="1" x14ac:dyDescent="0.25">
      <c r="B19" s="16"/>
      <c r="C19" s="16"/>
      <c r="D19" s="16"/>
      <c r="E19" s="16"/>
      <c r="F19" s="16"/>
      <c r="G19" s="16"/>
      <c r="H19" s="16"/>
      <c r="I19" s="16"/>
      <c r="J19" s="16"/>
      <c r="K19" s="16"/>
      <c r="L19" s="16"/>
    </row>
    <row r="20" spans="2:12" ht="21" customHeight="1" x14ac:dyDescent="0.25">
      <c r="B20" s="16"/>
      <c r="C20" s="16"/>
      <c r="D20" s="16"/>
      <c r="E20" s="16"/>
      <c r="F20" s="16"/>
      <c r="G20" s="16"/>
      <c r="H20" s="16"/>
      <c r="I20" s="16"/>
      <c r="J20" s="16"/>
      <c r="K20" s="16"/>
      <c r="L20" s="16"/>
    </row>
    <row r="21" spans="2:12" ht="21" customHeight="1" x14ac:dyDescent="0.25">
      <c r="B21" s="16"/>
      <c r="C21" s="16"/>
      <c r="D21" s="16"/>
      <c r="E21" s="16"/>
      <c r="F21" s="16"/>
      <c r="G21" s="16"/>
      <c r="H21" s="16"/>
      <c r="I21" s="16"/>
      <c r="J21" s="16"/>
      <c r="K21" s="16"/>
      <c r="L21" s="16"/>
    </row>
    <row r="22" spans="2:12" ht="21" customHeight="1" x14ac:dyDescent="0.25">
      <c r="B22" s="16"/>
      <c r="C22" s="16"/>
      <c r="D22" s="16"/>
      <c r="E22" s="16"/>
      <c r="F22" s="16"/>
      <c r="G22" s="16"/>
      <c r="H22" s="16"/>
      <c r="I22" s="16"/>
      <c r="J22" s="16"/>
      <c r="K22" s="16"/>
      <c r="L22" s="16"/>
    </row>
    <row r="23" spans="2:12" ht="21" customHeight="1" x14ac:dyDescent="0.25">
      <c r="B23" s="16"/>
      <c r="C23" s="16"/>
      <c r="D23" s="16"/>
      <c r="E23" s="16"/>
      <c r="F23" s="16"/>
      <c r="G23" s="16"/>
      <c r="H23" s="16"/>
      <c r="I23" s="16"/>
      <c r="J23" s="16"/>
      <c r="K23" s="16"/>
      <c r="L23" s="16"/>
    </row>
    <row r="24" spans="2:12" ht="21" customHeight="1" x14ac:dyDescent="0.25">
      <c r="B24" s="16"/>
      <c r="C24" s="16"/>
      <c r="D24" s="16"/>
      <c r="E24" s="16"/>
      <c r="F24" s="16"/>
      <c r="G24" s="16"/>
      <c r="H24" s="16"/>
      <c r="I24" s="16"/>
      <c r="J24" s="16"/>
      <c r="K24" s="16"/>
      <c r="L24" s="16"/>
    </row>
    <row r="25" spans="2:12" ht="21" customHeight="1" x14ac:dyDescent="0.25">
      <c r="B25" s="16"/>
      <c r="C25" s="16"/>
      <c r="D25" s="16"/>
      <c r="E25" s="16"/>
      <c r="F25" s="16"/>
      <c r="G25" s="16"/>
      <c r="H25" s="16"/>
      <c r="I25" s="16"/>
      <c r="J25" s="16"/>
      <c r="K25" s="16"/>
      <c r="L25" s="16"/>
    </row>
    <row r="26" spans="2:12" ht="21" customHeight="1" x14ac:dyDescent="0.25">
      <c r="B26" s="16"/>
      <c r="C26" s="16"/>
      <c r="D26" s="16"/>
      <c r="E26" s="16"/>
      <c r="F26" s="16"/>
      <c r="G26" s="16"/>
      <c r="H26" s="16"/>
      <c r="I26" s="16"/>
      <c r="J26" s="16"/>
      <c r="K26" s="16"/>
      <c r="L26" s="16"/>
    </row>
    <row r="27" spans="2:12" ht="21" customHeight="1" x14ac:dyDescent="0.25">
      <c r="B27" s="16"/>
      <c r="C27" s="16"/>
      <c r="D27" s="16"/>
      <c r="E27" s="16"/>
      <c r="F27" s="16"/>
      <c r="G27" s="16"/>
      <c r="H27" s="16"/>
      <c r="I27" s="16"/>
      <c r="J27" s="16"/>
      <c r="K27" s="16"/>
      <c r="L27" s="16"/>
    </row>
    <row r="28" spans="2:12" ht="21" customHeight="1" x14ac:dyDescent="0.25">
      <c r="B28" s="16"/>
      <c r="C28" s="16"/>
      <c r="D28" s="16"/>
      <c r="E28" s="16"/>
      <c r="F28" s="16"/>
      <c r="G28" s="16"/>
      <c r="H28" s="16"/>
      <c r="I28" s="16"/>
      <c r="J28" s="16"/>
      <c r="K28" s="16"/>
      <c r="L28" s="16"/>
    </row>
    <row r="29" spans="2:12" ht="21" customHeight="1" x14ac:dyDescent="0.25">
      <c r="B29" s="16"/>
      <c r="C29" s="16"/>
      <c r="D29" s="16"/>
      <c r="E29" s="16"/>
      <c r="F29" s="16"/>
      <c r="G29" s="16"/>
      <c r="H29" s="16"/>
      <c r="I29" s="16"/>
      <c r="J29" s="16"/>
      <c r="K29" s="16"/>
      <c r="L29" s="16"/>
    </row>
    <row r="30" spans="2:12" ht="21" customHeight="1" x14ac:dyDescent="0.25">
      <c r="B30" s="16"/>
      <c r="C30" s="16"/>
      <c r="D30" s="16"/>
      <c r="E30" s="16"/>
      <c r="F30" s="16"/>
      <c r="G30" s="16"/>
      <c r="H30" s="16"/>
      <c r="I30" s="16"/>
      <c r="J30" s="16"/>
      <c r="K30" s="16"/>
      <c r="L30" s="16"/>
    </row>
    <row r="31" spans="2:12" ht="21" customHeight="1" x14ac:dyDescent="0.25">
      <c r="B31" s="16"/>
      <c r="C31" s="16"/>
      <c r="D31" s="16"/>
      <c r="E31" s="16"/>
      <c r="F31" s="16"/>
      <c r="G31" s="16"/>
      <c r="H31" s="16"/>
      <c r="I31" s="16"/>
      <c r="J31" s="16"/>
      <c r="K31" s="16"/>
      <c r="L31" s="16"/>
    </row>
    <row r="32" spans="2:12" ht="21" customHeight="1" x14ac:dyDescent="0.25">
      <c r="B32" s="16"/>
      <c r="C32" s="16"/>
      <c r="D32" s="16"/>
      <c r="E32" s="16"/>
      <c r="F32" s="16"/>
      <c r="G32" s="16"/>
      <c r="H32" s="16"/>
      <c r="I32" s="16"/>
      <c r="J32" s="16"/>
      <c r="K32" s="16"/>
      <c r="L32" s="16"/>
    </row>
    <row r="33" spans="2:12" ht="21" customHeight="1" x14ac:dyDescent="0.25">
      <c r="B33" s="16"/>
      <c r="C33" s="16"/>
      <c r="D33" s="16"/>
      <c r="E33" s="16"/>
      <c r="F33" s="16"/>
      <c r="G33" s="16"/>
      <c r="H33" s="16"/>
      <c r="I33" s="16"/>
      <c r="J33" s="16"/>
      <c r="K33" s="16"/>
      <c r="L33" s="16"/>
    </row>
    <row r="34" spans="2:12" ht="21" customHeight="1" x14ac:dyDescent="0.25">
      <c r="B34" s="16"/>
      <c r="C34" s="16"/>
      <c r="D34" s="16"/>
      <c r="E34" s="16"/>
      <c r="F34" s="16"/>
      <c r="G34" s="16"/>
      <c r="H34" s="16"/>
      <c r="I34" s="16"/>
      <c r="J34" s="16"/>
      <c r="K34" s="16"/>
      <c r="L34" s="16"/>
    </row>
    <row r="35" spans="2:12" ht="21" customHeight="1" x14ac:dyDescent="0.25">
      <c r="B35" s="16"/>
      <c r="C35" s="16"/>
      <c r="D35" s="16"/>
      <c r="E35" s="16"/>
      <c r="F35" s="16"/>
      <c r="G35" s="16"/>
      <c r="H35" s="16"/>
      <c r="I35" s="16"/>
      <c r="J35" s="16"/>
      <c r="K35" s="16"/>
      <c r="L35" s="16"/>
    </row>
    <row r="36" spans="2:12" ht="21" customHeight="1" x14ac:dyDescent="0.25">
      <c r="B36" s="16"/>
      <c r="C36" s="16"/>
      <c r="D36" s="16"/>
      <c r="E36" s="16"/>
      <c r="F36" s="16"/>
      <c r="G36" s="16"/>
      <c r="H36" s="16"/>
      <c r="I36" s="16"/>
      <c r="J36" s="16"/>
      <c r="K36" s="16"/>
      <c r="L36" s="16"/>
    </row>
    <row r="37" spans="2:12" ht="21" customHeight="1" x14ac:dyDescent="0.25">
      <c r="B37" s="16"/>
      <c r="C37" s="16"/>
      <c r="D37" s="16"/>
      <c r="E37" s="16"/>
      <c r="F37" s="16"/>
      <c r="G37" s="16"/>
      <c r="H37" s="16"/>
      <c r="I37" s="16"/>
      <c r="J37" s="16"/>
      <c r="K37" s="16"/>
      <c r="L37" s="16"/>
    </row>
    <row r="38" spans="2:12" ht="21" customHeight="1" x14ac:dyDescent="0.25">
      <c r="B38" s="16"/>
      <c r="C38" s="16"/>
      <c r="D38" s="16"/>
      <c r="E38" s="16"/>
      <c r="F38" s="16"/>
      <c r="G38" s="16"/>
      <c r="H38" s="16"/>
      <c r="I38" s="16"/>
      <c r="J38" s="16"/>
      <c r="K38" s="16"/>
      <c r="L38" s="16"/>
    </row>
    <row r="39" spans="2:12" ht="21" customHeight="1" x14ac:dyDescent="0.25">
      <c r="B39" s="16"/>
      <c r="C39" s="16"/>
      <c r="D39" s="16"/>
      <c r="E39" s="16"/>
      <c r="F39" s="16"/>
      <c r="G39" s="16"/>
      <c r="H39" s="16"/>
      <c r="I39" s="16"/>
      <c r="J39" s="16"/>
      <c r="K39" s="16"/>
      <c r="L39" s="16"/>
    </row>
    <row r="40" spans="2:12" ht="21" customHeight="1" x14ac:dyDescent="0.25">
      <c r="B40" s="16"/>
      <c r="C40" s="16"/>
      <c r="D40" s="16"/>
      <c r="E40" s="16"/>
      <c r="F40" s="16"/>
      <c r="G40" s="16"/>
      <c r="H40" s="16"/>
      <c r="I40" s="16"/>
      <c r="J40" s="16"/>
      <c r="K40" s="16"/>
      <c r="L40" s="16"/>
    </row>
    <row r="41" spans="2:12" ht="21" customHeight="1" x14ac:dyDescent="0.25">
      <c r="B41" s="16"/>
      <c r="C41" s="16"/>
      <c r="D41" s="16"/>
      <c r="E41" s="16"/>
      <c r="F41" s="16"/>
      <c r="G41" s="16"/>
      <c r="H41" s="16"/>
      <c r="I41" s="16"/>
      <c r="J41" s="16"/>
      <c r="K41" s="16"/>
      <c r="L41" s="16"/>
    </row>
    <row r="42" spans="2:12" ht="21" customHeight="1" x14ac:dyDescent="0.25">
      <c r="B42" s="16"/>
      <c r="C42" s="16"/>
      <c r="D42" s="16"/>
      <c r="E42" s="16"/>
      <c r="F42" s="16"/>
      <c r="G42" s="16"/>
      <c r="H42" s="16"/>
      <c r="I42" s="16"/>
      <c r="J42" s="16"/>
      <c r="K42" s="16"/>
      <c r="L42" s="16"/>
    </row>
    <row r="43" spans="2:12" ht="21" customHeight="1" x14ac:dyDescent="0.25">
      <c r="B43" s="16"/>
      <c r="C43" s="16"/>
      <c r="D43" s="16"/>
      <c r="E43" s="16"/>
      <c r="F43" s="16"/>
      <c r="G43" s="16"/>
      <c r="H43" s="16"/>
      <c r="I43" s="16"/>
      <c r="J43" s="16"/>
      <c r="K43" s="16"/>
      <c r="L43" s="16"/>
    </row>
    <row r="44" spans="2:12" ht="21" customHeight="1" x14ac:dyDescent="0.25">
      <c r="B44" s="16"/>
      <c r="C44" s="16"/>
      <c r="D44" s="16"/>
      <c r="E44" s="16"/>
      <c r="F44" s="16"/>
      <c r="G44" s="16"/>
      <c r="H44" s="16"/>
      <c r="I44" s="16"/>
      <c r="J44" s="16"/>
      <c r="K44" s="16"/>
      <c r="L44" s="16"/>
    </row>
    <row r="45" spans="2:12" ht="21" customHeight="1" x14ac:dyDescent="0.25">
      <c r="B45" s="16"/>
      <c r="C45" s="16"/>
      <c r="D45" s="16"/>
      <c r="E45" s="16"/>
      <c r="F45" s="16"/>
      <c r="G45" s="16"/>
      <c r="H45" s="16"/>
      <c r="I45" s="16"/>
      <c r="J45" s="16"/>
      <c r="K45" s="16"/>
      <c r="L45" s="16"/>
    </row>
    <row r="46" spans="2:12" ht="21" customHeight="1" x14ac:dyDescent="0.25">
      <c r="B46" s="16"/>
      <c r="C46" s="16"/>
      <c r="D46" s="16"/>
      <c r="E46" s="16"/>
      <c r="F46" s="16"/>
      <c r="G46" s="16"/>
      <c r="H46" s="16"/>
      <c r="I46" s="16"/>
      <c r="J46" s="16"/>
      <c r="K46" s="16"/>
      <c r="L46" s="16"/>
    </row>
    <row r="47" spans="2:12" ht="21" customHeight="1" x14ac:dyDescent="0.25">
      <c r="B47" s="16"/>
      <c r="C47" s="16"/>
      <c r="D47" s="16"/>
      <c r="E47" s="16"/>
      <c r="F47" s="16"/>
      <c r="G47" s="16"/>
      <c r="H47" s="16"/>
      <c r="I47" s="16"/>
      <c r="J47" s="16"/>
      <c r="K47" s="16"/>
      <c r="L47" s="16"/>
    </row>
    <row r="48" spans="2:12" ht="21" customHeight="1" x14ac:dyDescent="0.25">
      <c r="B48" s="16"/>
      <c r="C48" s="16"/>
      <c r="D48" s="16"/>
      <c r="E48" s="16"/>
      <c r="F48" s="16"/>
      <c r="G48" s="16"/>
      <c r="H48" s="16"/>
      <c r="I48" s="16"/>
      <c r="J48" s="16"/>
      <c r="K48" s="16"/>
      <c r="L48" s="16"/>
    </row>
    <row r="49" spans="2:12" ht="21" customHeight="1" x14ac:dyDescent="0.25">
      <c r="B49" s="16"/>
      <c r="C49" s="16"/>
      <c r="D49" s="16"/>
      <c r="E49" s="16"/>
      <c r="F49" s="16"/>
      <c r="G49" s="16"/>
      <c r="H49" s="16"/>
      <c r="I49" s="16"/>
      <c r="J49" s="16"/>
      <c r="K49" s="16"/>
      <c r="L49" s="16"/>
    </row>
    <row r="50" spans="2:12" ht="21" customHeight="1" x14ac:dyDescent="0.25">
      <c r="B50" s="16"/>
      <c r="C50" s="16"/>
      <c r="D50" s="16"/>
      <c r="E50" s="16"/>
      <c r="F50" s="16"/>
      <c r="G50" s="16"/>
      <c r="H50" s="16"/>
      <c r="I50" s="16"/>
      <c r="J50" s="16"/>
      <c r="K50" s="16"/>
      <c r="L50" s="16"/>
    </row>
    <row r="51" spans="2:12" ht="21" customHeight="1" x14ac:dyDescent="0.25">
      <c r="B51" s="16"/>
      <c r="C51" s="16"/>
      <c r="D51" s="16"/>
      <c r="E51" s="16"/>
      <c r="F51" s="16"/>
      <c r="G51" s="16"/>
      <c r="H51" s="16"/>
      <c r="I51" s="16"/>
      <c r="J51" s="16"/>
      <c r="K51" s="16"/>
      <c r="L51" s="16"/>
    </row>
    <row r="52" spans="2:12" ht="21" customHeight="1" x14ac:dyDescent="0.25">
      <c r="B52" s="16"/>
      <c r="C52" s="16"/>
      <c r="D52" s="16"/>
      <c r="E52" s="16"/>
      <c r="F52" s="16"/>
      <c r="G52" s="16"/>
      <c r="H52" s="16"/>
      <c r="I52" s="16"/>
      <c r="J52" s="16"/>
      <c r="K52" s="16"/>
      <c r="L52" s="16"/>
    </row>
    <row r="53" spans="2:12" ht="21" customHeight="1" x14ac:dyDescent="0.25">
      <c r="B53" s="16"/>
      <c r="C53" s="16"/>
      <c r="D53" s="16"/>
      <c r="E53" s="16"/>
      <c r="F53" s="16"/>
      <c r="G53" s="16"/>
      <c r="H53" s="16"/>
      <c r="I53" s="16"/>
      <c r="J53" s="16"/>
      <c r="K53" s="16"/>
      <c r="L53" s="16"/>
    </row>
    <row r="54" spans="2:12" ht="21" customHeight="1" x14ac:dyDescent="0.25">
      <c r="B54" s="16"/>
      <c r="C54" s="16"/>
      <c r="D54" s="16"/>
      <c r="E54" s="16"/>
      <c r="F54" s="16"/>
      <c r="G54" s="16"/>
      <c r="H54" s="16"/>
      <c r="I54" s="16"/>
      <c r="J54" s="16"/>
      <c r="K54" s="16"/>
      <c r="L54" s="16"/>
    </row>
    <row r="55" spans="2:12" ht="21" customHeight="1" x14ac:dyDescent="0.25">
      <c r="B55" s="16"/>
      <c r="C55" s="16"/>
      <c r="D55" s="16"/>
      <c r="E55" s="16"/>
      <c r="F55" s="16"/>
      <c r="G55" s="16"/>
      <c r="H55" s="16"/>
      <c r="I55" s="16"/>
      <c r="J55" s="16"/>
      <c r="K55" s="16"/>
      <c r="L55" s="16"/>
    </row>
    <row r="56" spans="2:12" ht="21" customHeight="1" x14ac:dyDescent="0.25">
      <c r="B56" s="16"/>
      <c r="C56" s="16"/>
      <c r="D56" s="16"/>
      <c r="E56" s="16"/>
      <c r="F56" s="16"/>
      <c r="G56" s="16"/>
      <c r="H56" s="16"/>
      <c r="I56" s="16"/>
      <c r="J56" s="16"/>
      <c r="K56" s="16"/>
      <c r="L56" s="16"/>
    </row>
    <row r="57" spans="2:12" ht="21" customHeight="1" x14ac:dyDescent="0.25">
      <c r="B57" s="16"/>
      <c r="C57" s="16"/>
      <c r="D57" s="16"/>
      <c r="E57" s="16"/>
      <c r="F57" s="16"/>
      <c r="G57" s="16"/>
      <c r="H57" s="16"/>
      <c r="I57" s="16"/>
      <c r="J57" s="16"/>
      <c r="K57" s="16"/>
      <c r="L57" s="16"/>
    </row>
    <row r="58" spans="2:12" ht="21" customHeight="1" x14ac:dyDescent="0.25">
      <c r="B58" s="16"/>
      <c r="C58" s="16"/>
      <c r="D58" s="16"/>
      <c r="E58" s="16"/>
      <c r="F58" s="16"/>
      <c r="G58" s="16"/>
      <c r="H58" s="16"/>
      <c r="I58" s="16"/>
      <c r="J58" s="16"/>
      <c r="K58" s="16"/>
      <c r="L58" s="16"/>
    </row>
    <row r="59" spans="2:12" ht="21" customHeight="1" x14ac:dyDescent="0.25">
      <c r="B59" s="16"/>
      <c r="C59" s="16"/>
      <c r="D59" s="16"/>
      <c r="E59" s="16"/>
      <c r="F59" s="16"/>
      <c r="G59" s="16"/>
      <c r="H59" s="16"/>
      <c r="I59" s="16"/>
      <c r="J59" s="16"/>
      <c r="K59" s="16"/>
      <c r="L59" s="16"/>
    </row>
    <row r="60" spans="2:12" ht="21" customHeight="1" x14ac:dyDescent="0.25">
      <c r="B60" s="16"/>
      <c r="C60" s="16"/>
      <c r="D60" s="16"/>
      <c r="E60" s="16"/>
      <c r="F60" s="16"/>
      <c r="G60" s="16"/>
      <c r="H60" s="16"/>
      <c r="I60" s="16"/>
      <c r="J60" s="16"/>
      <c r="K60" s="16"/>
      <c r="L60" s="16"/>
    </row>
    <row r="61" spans="2:12" ht="21" customHeight="1" x14ac:dyDescent="0.25">
      <c r="B61" s="16"/>
      <c r="C61" s="16"/>
      <c r="D61" s="16"/>
      <c r="E61" s="16"/>
      <c r="F61" s="16"/>
      <c r="G61" s="16"/>
      <c r="H61" s="16"/>
      <c r="I61" s="16"/>
      <c r="J61" s="16"/>
      <c r="K61" s="16"/>
      <c r="L61" s="16"/>
    </row>
    <row r="62" spans="2:12" ht="21" customHeight="1" x14ac:dyDescent="0.25">
      <c r="B62" s="16"/>
      <c r="C62" s="16"/>
      <c r="D62" s="16"/>
      <c r="E62" s="16"/>
      <c r="F62" s="16"/>
      <c r="G62" s="16"/>
      <c r="H62" s="16"/>
      <c r="I62" s="16"/>
      <c r="J62" s="16"/>
      <c r="K62" s="16"/>
      <c r="L62" s="16"/>
    </row>
    <row r="63" spans="2:12" ht="21" customHeight="1" x14ac:dyDescent="0.25">
      <c r="B63" s="16"/>
      <c r="C63" s="16"/>
      <c r="D63" s="16"/>
      <c r="E63" s="16"/>
      <c r="F63" s="16"/>
      <c r="G63" s="16"/>
      <c r="H63" s="16"/>
      <c r="I63" s="16"/>
      <c r="J63" s="16"/>
      <c r="K63" s="16"/>
      <c r="L63" s="16"/>
    </row>
    <row r="64" spans="2:12" ht="21" customHeight="1" x14ac:dyDescent="0.25">
      <c r="B64" s="16"/>
      <c r="C64" s="16"/>
      <c r="D64" s="16"/>
      <c r="E64" s="16"/>
      <c r="F64" s="16"/>
      <c r="G64" s="16"/>
      <c r="H64" s="16"/>
      <c r="I64" s="16"/>
      <c r="J64" s="16"/>
      <c r="K64" s="16"/>
      <c r="L64" s="16"/>
    </row>
    <row r="65" spans="2:12" ht="21" customHeight="1" x14ac:dyDescent="0.25">
      <c r="B65" s="16"/>
      <c r="C65" s="16"/>
      <c r="D65" s="16"/>
      <c r="E65" s="16"/>
      <c r="F65" s="16"/>
      <c r="G65" s="16"/>
      <c r="H65" s="16"/>
      <c r="I65" s="16"/>
      <c r="J65" s="16"/>
      <c r="K65" s="16"/>
      <c r="L65" s="16"/>
    </row>
  </sheetData>
  <mergeCells count="3">
    <mergeCell ref="B1:L1"/>
    <mergeCell ref="B2:L2"/>
    <mergeCell ref="B3:L3"/>
  </mergeCells>
  <phoneticPr fontId="35"/>
  <conditionalFormatting sqref="B6:C65">
    <cfRule type="expression" dxfId="7" priority="1">
      <formula>$C6="A"</formula>
    </cfRule>
    <cfRule type="expression" dxfId="6" priority="2">
      <formula>$C6="B"</formula>
    </cfRule>
    <cfRule type="expression" dxfId="5" priority="3">
      <formula>$C6="C"</formula>
    </cfRule>
    <cfRule type="expression" dxfId="4" priority="4">
      <formula>$C6="共通"</formula>
    </cfRule>
  </conditionalFormatting>
  <dataValidations count="3">
    <dataValidation type="list" errorStyle="warning" allowBlank="1" showInputMessage="1" showErrorMessage="1" error="一覧から選択してください（そのまま入力する場合は「はい」）" promptTitle="ルート" prompt="A：ルートA／B：ルートB／C：ルートC／共通（ルート名は表紙で定義）" sqref="C6:C65" xr:uid="{00000000-0002-0000-0500-000000000000}">
      <formula1>"A,B,C,共通"</formula1>
    </dataValidation>
    <dataValidation type="list" errorStyle="warning" allowBlank="1" showInputMessage="1" showErrorMessage="1" error="一覧から選択してください（そのまま入力する場合は「はい」）" promptTitle="連携方式" prompt="連携方式を選択" sqref="F6:F65" xr:uid="{00000000-0002-0000-0500-000001000000}">
      <formula1>"API（オンライン）,画面（オンライン）,イベント,バッチ（API）,ファイル転送,DB連携,メッセージ,監視,その他"</formula1>
    </dataValidation>
    <dataValidation type="list" errorStyle="warning" allowBlank="1" showInputMessage="1" showErrorMessage="1" error="一覧から選択してください（そのまま入力する場合は「はい」）" promptTitle="方向" prompt="片方向／双方向" sqref="K6:K65" xr:uid="{00000000-0002-0000-0500-000002000000}">
      <formula1>"片方向,双方向"</formula1>
    </dataValidation>
  </dataValidations>
  <pageMargins left="0.4" right="0.4" top="0.5" bottom="0.5" header="0.3" footer="0.3"/>
  <pageSetup paperSize="8" fitToHeight="0" orientation="landscape"/>
  <headerFooter>
    <oddFooter>&amp;L&amp;8&amp;K7F7F7F&amp;A&amp;R&amp;8&amp;K7F7F7F&amp;P / &amp;N</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F7F7F"/>
    <pageSetUpPr fitToPage="1"/>
  </sheetPr>
  <dimension ref="B1:I65"/>
  <sheetViews>
    <sheetView showGridLines="0" zoomScale="90" zoomScaleNormal="90" workbookViewId="0">
      <pane xSplit="3" ySplit="5" topLeftCell="D6" activePane="bottomRight" state="frozen"/>
      <selection pane="topRight" activeCell="D1" sqref="D1"/>
      <selection pane="bottomLeft" activeCell="A6" sqref="A6"/>
      <selection pane="bottomRight"/>
    </sheetView>
  </sheetViews>
  <sheetFormatPr defaultRowHeight="15" customHeight="1" x14ac:dyDescent="0.25"/>
  <cols>
    <col min="1" max="1" width="2.33203125" customWidth="1"/>
    <col min="2" max="3" width="7.6640625" customWidth="1"/>
    <col min="4" max="4" width="20.6640625" customWidth="1"/>
    <col min="5" max="5" width="24.6640625" customWidth="1"/>
    <col min="6" max="6" width="26.6640625" customWidth="1"/>
    <col min="7" max="7" width="20.6640625" customWidth="1"/>
    <col min="8" max="8" width="12.6640625" customWidth="1"/>
    <col min="9" max="9" width="28.6640625" customWidth="1"/>
  </cols>
  <sheetData>
    <row r="1" spans="2:9" ht="24" customHeight="1" x14ac:dyDescent="0.25">
      <c r="B1" s="76" t="s">
        <v>266</v>
      </c>
      <c r="C1" s="76"/>
      <c r="D1" s="76"/>
      <c r="E1" s="76"/>
      <c r="F1" s="76"/>
      <c r="G1" s="76"/>
      <c r="H1" s="76"/>
      <c r="I1" s="76"/>
    </row>
    <row r="2" spans="2:9" ht="12.6" x14ac:dyDescent="0.25">
      <c r="B2" s="44" t="s">
        <v>267</v>
      </c>
      <c r="C2" s="44"/>
      <c r="D2" s="44"/>
      <c r="E2" s="44"/>
      <c r="F2" s="44"/>
      <c r="G2" s="44"/>
      <c r="H2" s="44"/>
      <c r="I2" s="44"/>
    </row>
    <row r="3" spans="2:9" ht="12.6" x14ac:dyDescent="0.25">
      <c r="B3" s="77" t="s">
        <v>198</v>
      </c>
      <c r="C3" s="77"/>
      <c r="D3" s="77"/>
      <c r="E3" s="77"/>
      <c r="F3" s="77"/>
      <c r="G3" s="77"/>
      <c r="H3" s="77"/>
      <c r="I3" s="77"/>
    </row>
    <row r="5" spans="2:9" ht="22.05" customHeight="1" x14ac:dyDescent="0.25">
      <c r="B5" s="15" t="s">
        <v>268</v>
      </c>
      <c r="C5" s="15" t="s">
        <v>199</v>
      </c>
      <c r="D5" s="15" t="s">
        <v>269</v>
      </c>
      <c r="E5" s="15" t="s">
        <v>270</v>
      </c>
      <c r="F5" s="15" t="s">
        <v>271</v>
      </c>
      <c r="G5" s="15" t="s">
        <v>272</v>
      </c>
      <c r="H5" s="15" t="s">
        <v>273</v>
      </c>
      <c r="I5" s="15" t="s">
        <v>208</v>
      </c>
    </row>
    <row r="6" spans="2:9" ht="21" customHeight="1" x14ac:dyDescent="0.25">
      <c r="B6" s="16" t="s">
        <v>274</v>
      </c>
      <c r="C6" s="16" t="s">
        <v>44</v>
      </c>
      <c r="D6" s="16" t="s">
        <v>210</v>
      </c>
      <c r="E6" s="16" t="s">
        <v>275</v>
      </c>
      <c r="F6" s="16" t="s">
        <v>276</v>
      </c>
      <c r="G6" s="16" t="s">
        <v>277</v>
      </c>
      <c r="H6" s="16" t="s">
        <v>278</v>
      </c>
      <c r="I6" s="16" t="s">
        <v>225</v>
      </c>
    </row>
    <row r="7" spans="2:9" ht="21" customHeight="1" x14ac:dyDescent="0.25">
      <c r="B7" s="16" t="s">
        <v>279</v>
      </c>
      <c r="C7" s="16" t="s">
        <v>44</v>
      </c>
      <c r="D7" s="16" t="s">
        <v>280</v>
      </c>
      <c r="E7" s="16" t="s">
        <v>281</v>
      </c>
      <c r="F7" s="16" t="s">
        <v>282</v>
      </c>
      <c r="G7" s="16" t="s">
        <v>283</v>
      </c>
      <c r="H7" s="16" t="s">
        <v>284</v>
      </c>
      <c r="I7" s="16" t="s">
        <v>225</v>
      </c>
    </row>
    <row r="8" spans="2:9" ht="21" customHeight="1" x14ac:dyDescent="0.25">
      <c r="B8" s="16" t="s">
        <v>285</v>
      </c>
      <c r="C8" s="16" t="s">
        <v>44</v>
      </c>
      <c r="D8" s="16" t="s">
        <v>286</v>
      </c>
      <c r="E8" s="16" t="s">
        <v>287</v>
      </c>
      <c r="F8" s="16" t="s">
        <v>288</v>
      </c>
      <c r="G8" s="16" t="s">
        <v>283</v>
      </c>
      <c r="H8" s="16" t="s">
        <v>289</v>
      </c>
      <c r="I8" s="16" t="s">
        <v>290</v>
      </c>
    </row>
    <row r="9" spans="2:9" ht="21" customHeight="1" x14ac:dyDescent="0.25">
      <c r="B9" s="16" t="s">
        <v>291</v>
      </c>
      <c r="C9" s="16" t="s">
        <v>44</v>
      </c>
      <c r="D9" s="16" t="s">
        <v>292</v>
      </c>
      <c r="E9" s="16" t="s">
        <v>293</v>
      </c>
      <c r="F9" s="16" t="s">
        <v>294</v>
      </c>
      <c r="G9" s="16" t="s">
        <v>283</v>
      </c>
      <c r="H9" s="16" t="s">
        <v>295</v>
      </c>
      <c r="I9" s="16" t="s">
        <v>225</v>
      </c>
    </row>
    <row r="10" spans="2:9" ht="21" customHeight="1" x14ac:dyDescent="0.25">
      <c r="B10" s="16" t="s">
        <v>296</v>
      </c>
      <c r="C10" s="16" t="s">
        <v>44</v>
      </c>
      <c r="D10" s="16" t="s">
        <v>297</v>
      </c>
      <c r="E10" s="16" t="s">
        <v>298</v>
      </c>
      <c r="F10" s="16" t="s">
        <v>299</v>
      </c>
      <c r="G10" s="16" t="s">
        <v>300</v>
      </c>
      <c r="H10" s="16" t="s">
        <v>284</v>
      </c>
      <c r="I10" s="16" t="s">
        <v>225</v>
      </c>
    </row>
    <row r="11" spans="2:9" ht="21" customHeight="1" x14ac:dyDescent="0.25">
      <c r="B11" s="16" t="s">
        <v>301</v>
      </c>
      <c r="C11" s="16" t="s">
        <v>48</v>
      </c>
      <c r="D11" s="16" t="s">
        <v>235</v>
      </c>
      <c r="E11" s="16" t="s">
        <v>302</v>
      </c>
      <c r="F11" s="16" t="s">
        <v>303</v>
      </c>
      <c r="G11" s="16" t="s">
        <v>304</v>
      </c>
      <c r="H11" s="16" t="s">
        <v>278</v>
      </c>
      <c r="I11" s="16" t="s">
        <v>305</v>
      </c>
    </row>
    <row r="12" spans="2:9" ht="21" customHeight="1" x14ac:dyDescent="0.25">
      <c r="B12" s="16" t="s">
        <v>306</v>
      </c>
      <c r="C12" s="16" t="s">
        <v>48</v>
      </c>
      <c r="D12" s="16" t="s">
        <v>243</v>
      </c>
      <c r="E12" s="16" t="s">
        <v>307</v>
      </c>
      <c r="F12" s="16" t="s">
        <v>308</v>
      </c>
      <c r="G12" s="16" t="s">
        <v>309</v>
      </c>
      <c r="H12" s="16" t="s">
        <v>284</v>
      </c>
      <c r="I12" s="16" t="s">
        <v>225</v>
      </c>
    </row>
    <row r="13" spans="2:9" ht="21" customHeight="1" x14ac:dyDescent="0.25">
      <c r="B13" s="16" t="s">
        <v>310</v>
      </c>
      <c r="C13" s="16" t="s">
        <v>48</v>
      </c>
      <c r="D13" s="16" t="s">
        <v>311</v>
      </c>
      <c r="E13" s="16" t="s">
        <v>312</v>
      </c>
      <c r="F13" s="16" t="s">
        <v>313</v>
      </c>
      <c r="G13" s="16" t="s">
        <v>314</v>
      </c>
      <c r="H13" s="16" t="s">
        <v>315</v>
      </c>
      <c r="I13" s="16" t="s">
        <v>316</v>
      </c>
    </row>
    <row r="14" spans="2:9" ht="21" customHeight="1" x14ac:dyDescent="0.25">
      <c r="B14" s="16" t="s">
        <v>317</v>
      </c>
      <c r="C14" s="16" t="s">
        <v>48</v>
      </c>
      <c r="D14" s="16" t="s">
        <v>318</v>
      </c>
      <c r="E14" s="16" t="s">
        <v>319</v>
      </c>
      <c r="F14" s="16" t="s">
        <v>320</v>
      </c>
      <c r="G14" s="16" t="s">
        <v>300</v>
      </c>
      <c r="H14" s="16" t="s">
        <v>284</v>
      </c>
      <c r="I14" s="16" t="s">
        <v>225</v>
      </c>
    </row>
    <row r="15" spans="2:9" ht="21" customHeight="1" x14ac:dyDescent="0.25">
      <c r="B15" s="16" t="s">
        <v>321</v>
      </c>
      <c r="C15" s="16" t="s">
        <v>52</v>
      </c>
      <c r="D15" s="16" t="s">
        <v>248</v>
      </c>
      <c r="E15" s="16" t="s">
        <v>322</v>
      </c>
      <c r="F15" s="16" t="s">
        <v>251</v>
      </c>
      <c r="G15" s="16" t="s">
        <v>323</v>
      </c>
      <c r="H15" s="16" t="s">
        <v>278</v>
      </c>
      <c r="I15" s="16" t="s">
        <v>225</v>
      </c>
    </row>
    <row r="16" spans="2:9" ht="21" customHeight="1" x14ac:dyDescent="0.25">
      <c r="B16" s="16" t="s">
        <v>324</v>
      </c>
      <c r="C16" s="16" t="s">
        <v>52</v>
      </c>
      <c r="D16" s="16" t="s">
        <v>325</v>
      </c>
      <c r="E16" s="16" t="s">
        <v>326</v>
      </c>
      <c r="F16" s="16" t="s">
        <v>327</v>
      </c>
      <c r="G16" s="16" t="s">
        <v>328</v>
      </c>
      <c r="H16" s="16" t="s">
        <v>284</v>
      </c>
      <c r="I16" s="16" t="s">
        <v>225</v>
      </c>
    </row>
    <row r="17" spans="2:9" ht="21" customHeight="1" x14ac:dyDescent="0.25">
      <c r="B17" s="16" t="s">
        <v>329</v>
      </c>
      <c r="C17" s="16" t="s">
        <v>56</v>
      </c>
      <c r="D17" s="16" t="s">
        <v>255</v>
      </c>
      <c r="E17" s="16" t="s">
        <v>330</v>
      </c>
      <c r="F17" s="16" t="s">
        <v>331</v>
      </c>
      <c r="G17" s="16" t="s">
        <v>300</v>
      </c>
      <c r="H17" s="16" t="s">
        <v>284</v>
      </c>
      <c r="I17" s="16" t="s">
        <v>225</v>
      </c>
    </row>
    <row r="18" spans="2:9" ht="21" customHeight="1" x14ac:dyDescent="0.25">
      <c r="B18" s="16" t="s">
        <v>332</v>
      </c>
      <c r="C18" s="16" t="s">
        <v>56</v>
      </c>
      <c r="D18" s="16" t="s">
        <v>333</v>
      </c>
      <c r="E18" s="16" t="s">
        <v>334</v>
      </c>
      <c r="F18" s="16" t="s">
        <v>256</v>
      </c>
      <c r="G18" s="16" t="s">
        <v>300</v>
      </c>
      <c r="H18" s="16" t="s">
        <v>295</v>
      </c>
      <c r="I18" s="16" t="s">
        <v>335</v>
      </c>
    </row>
    <row r="19" spans="2:9" ht="21" customHeight="1" x14ac:dyDescent="0.25">
      <c r="B19" s="16" t="s">
        <v>336</v>
      </c>
      <c r="C19" s="16" t="s">
        <v>56</v>
      </c>
      <c r="D19" s="16" t="s">
        <v>260</v>
      </c>
      <c r="E19" s="16" t="s">
        <v>337</v>
      </c>
      <c r="F19" s="16" t="s">
        <v>338</v>
      </c>
      <c r="G19" s="16" t="s">
        <v>283</v>
      </c>
      <c r="H19" s="16" t="s">
        <v>284</v>
      </c>
      <c r="I19" s="16" t="s">
        <v>225</v>
      </c>
    </row>
    <row r="20" spans="2:9" ht="21" customHeight="1" x14ac:dyDescent="0.25">
      <c r="B20" s="16"/>
      <c r="C20" s="16"/>
      <c r="D20" s="16"/>
      <c r="E20" s="16"/>
      <c r="F20" s="16"/>
      <c r="G20" s="16"/>
      <c r="H20" s="16"/>
      <c r="I20" s="16"/>
    </row>
    <row r="21" spans="2:9" ht="21" customHeight="1" x14ac:dyDescent="0.25">
      <c r="B21" s="16"/>
      <c r="C21" s="16"/>
      <c r="D21" s="16"/>
      <c r="E21" s="16"/>
      <c r="F21" s="16"/>
      <c r="G21" s="16"/>
      <c r="H21" s="16"/>
      <c r="I21" s="16"/>
    </row>
    <row r="22" spans="2:9" ht="21" customHeight="1" x14ac:dyDescent="0.25">
      <c r="B22" s="16"/>
      <c r="C22" s="16"/>
      <c r="D22" s="16"/>
      <c r="E22" s="16"/>
      <c r="F22" s="16"/>
      <c r="G22" s="16"/>
      <c r="H22" s="16"/>
      <c r="I22" s="16"/>
    </row>
    <row r="23" spans="2:9" ht="21" customHeight="1" x14ac:dyDescent="0.25">
      <c r="B23" s="16"/>
      <c r="C23" s="16"/>
      <c r="D23" s="16"/>
      <c r="E23" s="16"/>
      <c r="F23" s="16"/>
      <c r="G23" s="16"/>
      <c r="H23" s="16"/>
      <c r="I23" s="16"/>
    </row>
    <row r="24" spans="2:9" ht="21" customHeight="1" x14ac:dyDescent="0.25">
      <c r="B24" s="16"/>
      <c r="C24" s="16"/>
      <c r="D24" s="16"/>
      <c r="E24" s="16"/>
      <c r="F24" s="16"/>
      <c r="G24" s="16"/>
      <c r="H24" s="16"/>
      <c r="I24" s="16"/>
    </row>
    <row r="25" spans="2:9" ht="21" customHeight="1" x14ac:dyDescent="0.25">
      <c r="B25" s="16"/>
      <c r="C25" s="16"/>
      <c r="D25" s="16"/>
      <c r="E25" s="16"/>
      <c r="F25" s="16"/>
      <c r="G25" s="16"/>
      <c r="H25" s="16"/>
      <c r="I25" s="16"/>
    </row>
    <row r="26" spans="2:9" ht="21" customHeight="1" x14ac:dyDescent="0.25">
      <c r="B26" s="16"/>
      <c r="C26" s="16"/>
      <c r="D26" s="16"/>
      <c r="E26" s="16"/>
      <c r="F26" s="16"/>
      <c r="G26" s="16"/>
      <c r="H26" s="16"/>
      <c r="I26" s="16"/>
    </row>
    <row r="27" spans="2:9" ht="21" customHeight="1" x14ac:dyDescent="0.25">
      <c r="B27" s="16"/>
      <c r="C27" s="16"/>
      <c r="D27" s="16"/>
      <c r="E27" s="16"/>
      <c r="F27" s="16"/>
      <c r="G27" s="16"/>
      <c r="H27" s="16"/>
      <c r="I27" s="16"/>
    </row>
    <row r="28" spans="2:9" ht="21" customHeight="1" x14ac:dyDescent="0.25">
      <c r="B28" s="16"/>
      <c r="C28" s="16"/>
      <c r="D28" s="16"/>
      <c r="E28" s="16"/>
      <c r="F28" s="16"/>
      <c r="G28" s="16"/>
      <c r="H28" s="16"/>
      <c r="I28" s="16"/>
    </row>
    <row r="29" spans="2:9" ht="21" customHeight="1" x14ac:dyDescent="0.25">
      <c r="B29" s="16"/>
      <c r="C29" s="16"/>
      <c r="D29" s="16"/>
      <c r="E29" s="16"/>
      <c r="F29" s="16"/>
      <c r="G29" s="16"/>
      <c r="H29" s="16"/>
      <c r="I29" s="16"/>
    </row>
    <row r="30" spans="2:9" ht="21" customHeight="1" x14ac:dyDescent="0.25">
      <c r="B30" s="16"/>
      <c r="C30" s="16"/>
      <c r="D30" s="16"/>
      <c r="E30" s="16"/>
      <c r="F30" s="16"/>
      <c r="G30" s="16"/>
      <c r="H30" s="16"/>
      <c r="I30" s="16"/>
    </row>
    <row r="31" spans="2:9" ht="21" customHeight="1" x14ac:dyDescent="0.25">
      <c r="B31" s="16"/>
      <c r="C31" s="16"/>
      <c r="D31" s="16"/>
      <c r="E31" s="16"/>
      <c r="F31" s="16"/>
      <c r="G31" s="16"/>
      <c r="H31" s="16"/>
      <c r="I31" s="16"/>
    </row>
    <row r="32" spans="2:9" ht="21" customHeight="1" x14ac:dyDescent="0.25">
      <c r="B32" s="16"/>
      <c r="C32" s="16"/>
      <c r="D32" s="16"/>
      <c r="E32" s="16"/>
      <c r="F32" s="16"/>
      <c r="G32" s="16"/>
      <c r="H32" s="16"/>
      <c r="I32" s="16"/>
    </row>
    <row r="33" spans="2:9" ht="21" customHeight="1" x14ac:dyDescent="0.25">
      <c r="B33" s="16"/>
      <c r="C33" s="16"/>
      <c r="D33" s="16"/>
      <c r="E33" s="16"/>
      <c r="F33" s="16"/>
      <c r="G33" s="16"/>
      <c r="H33" s="16"/>
      <c r="I33" s="16"/>
    </row>
    <row r="34" spans="2:9" ht="21" customHeight="1" x14ac:dyDescent="0.25">
      <c r="B34" s="16"/>
      <c r="C34" s="16"/>
      <c r="D34" s="16"/>
      <c r="E34" s="16"/>
      <c r="F34" s="16"/>
      <c r="G34" s="16"/>
      <c r="H34" s="16"/>
      <c r="I34" s="16"/>
    </row>
    <row r="35" spans="2:9" ht="21" customHeight="1" x14ac:dyDescent="0.25">
      <c r="B35" s="16"/>
      <c r="C35" s="16"/>
      <c r="D35" s="16"/>
      <c r="E35" s="16"/>
      <c r="F35" s="16"/>
      <c r="G35" s="16"/>
      <c r="H35" s="16"/>
      <c r="I35" s="16"/>
    </row>
    <row r="36" spans="2:9" ht="21" customHeight="1" x14ac:dyDescent="0.25">
      <c r="B36" s="16"/>
      <c r="C36" s="16"/>
      <c r="D36" s="16"/>
      <c r="E36" s="16"/>
      <c r="F36" s="16"/>
      <c r="G36" s="16"/>
      <c r="H36" s="16"/>
      <c r="I36" s="16"/>
    </row>
    <row r="37" spans="2:9" ht="21" customHeight="1" x14ac:dyDescent="0.25">
      <c r="B37" s="16"/>
      <c r="C37" s="16"/>
      <c r="D37" s="16"/>
      <c r="E37" s="16"/>
      <c r="F37" s="16"/>
      <c r="G37" s="16"/>
      <c r="H37" s="16"/>
      <c r="I37" s="16"/>
    </row>
    <row r="38" spans="2:9" ht="21" customHeight="1" x14ac:dyDescent="0.25">
      <c r="B38" s="16"/>
      <c r="C38" s="16"/>
      <c r="D38" s="16"/>
      <c r="E38" s="16"/>
      <c r="F38" s="16"/>
      <c r="G38" s="16"/>
      <c r="H38" s="16"/>
      <c r="I38" s="16"/>
    </row>
    <row r="39" spans="2:9" ht="21" customHeight="1" x14ac:dyDescent="0.25">
      <c r="B39" s="16"/>
      <c r="C39" s="16"/>
      <c r="D39" s="16"/>
      <c r="E39" s="16"/>
      <c r="F39" s="16"/>
      <c r="G39" s="16"/>
      <c r="H39" s="16"/>
      <c r="I39" s="16"/>
    </row>
    <row r="40" spans="2:9" ht="21" customHeight="1" x14ac:dyDescent="0.25">
      <c r="B40" s="16"/>
      <c r="C40" s="16"/>
      <c r="D40" s="16"/>
      <c r="E40" s="16"/>
      <c r="F40" s="16"/>
      <c r="G40" s="16"/>
      <c r="H40" s="16"/>
      <c r="I40" s="16"/>
    </row>
    <row r="41" spans="2:9" ht="21" customHeight="1" x14ac:dyDescent="0.25">
      <c r="B41" s="16"/>
      <c r="C41" s="16"/>
      <c r="D41" s="16"/>
      <c r="E41" s="16"/>
      <c r="F41" s="16"/>
      <c r="G41" s="16"/>
      <c r="H41" s="16"/>
      <c r="I41" s="16"/>
    </row>
    <row r="42" spans="2:9" ht="21" customHeight="1" x14ac:dyDescent="0.25">
      <c r="B42" s="16"/>
      <c r="C42" s="16"/>
      <c r="D42" s="16"/>
      <c r="E42" s="16"/>
      <c r="F42" s="16"/>
      <c r="G42" s="16"/>
      <c r="H42" s="16"/>
      <c r="I42" s="16"/>
    </row>
    <row r="43" spans="2:9" ht="21" customHeight="1" x14ac:dyDescent="0.25">
      <c r="B43" s="16"/>
      <c r="C43" s="16"/>
      <c r="D43" s="16"/>
      <c r="E43" s="16"/>
      <c r="F43" s="16"/>
      <c r="G43" s="16"/>
      <c r="H43" s="16"/>
      <c r="I43" s="16"/>
    </row>
    <row r="44" spans="2:9" ht="21" customHeight="1" x14ac:dyDescent="0.25">
      <c r="B44" s="16"/>
      <c r="C44" s="16"/>
      <c r="D44" s="16"/>
      <c r="E44" s="16"/>
      <c r="F44" s="16"/>
      <c r="G44" s="16"/>
      <c r="H44" s="16"/>
      <c r="I44" s="16"/>
    </row>
    <row r="45" spans="2:9" ht="21" customHeight="1" x14ac:dyDescent="0.25">
      <c r="B45" s="16"/>
      <c r="C45" s="16"/>
      <c r="D45" s="16"/>
      <c r="E45" s="16"/>
      <c r="F45" s="16"/>
      <c r="G45" s="16"/>
      <c r="H45" s="16"/>
      <c r="I45" s="16"/>
    </row>
    <row r="46" spans="2:9" ht="21" customHeight="1" x14ac:dyDescent="0.25">
      <c r="B46" s="16"/>
      <c r="C46" s="16"/>
      <c r="D46" s="16"/>
      <c r="E46" s="16"/>
      <c r="F46" s="16"/>
      <c r="G46" s="16"/>
      <c r="H46" s="16"/>
      <c r="I46" s="16"/>
    </row>
    <row r="47" spans="2:9" ht="21" customHeight="1" x14ac:dyDescent="0.25">
      <c r="B47" s="16"/>
      <c r="C47" s="16"/>
      <c r="D47" s="16"/>
      <c r="E47" s="16"/>
      <c r="F47" s="16"/>
      <c r="G47" s="16"/>
      <c r="H47" s="16"/>
      <c r="I47" s="16"/>
    </row>
    <row r="48" spans="2:9" ht="21" customHeight="1" x14ac:dyDescent="0.25">
      <c r="B48" s="16"/>
      <c r="C48" s="16"/>
      <c r="D48" s="16"/>
      <c r="E48" s="16"/>
      <c r="F48" s="16"/>
      <c r="G48" s="16"/>
      <c r="H48" s="16"/>
      <c r="I48" s="16"/>
    </row>
    <row r="49" spans="2:9" ht="21" customHeight="1" x14ac:dyDescent="0.25">
      <c r="B49" s="16"/>
      <c r="C49" s="16"/>
      <c r="D49" s="16"/>
      <c r="E49" s="16"/>
      <c r="F49" s="16"/>
      <c r="G49" s="16"/>
      <c r="H49" s="16"/>
      <c r="I49" s="16"/>
    </row>
    <row r="50" spans="2:9" ht="21" customHeight="1" x14ac:dyDescent="0.25">
      <c r="B50" s="16"/>
      <c r="C50" s="16"/>
      <c r="D50" s="16"/>
      <c r="E50" s="16"/>
      <c r="F50" s="16"/>
      <c r="G50" s="16"/>
      <c r="H50" s="16"/>
      <c r="I50" s="16"/>
    </row>
    <row r="51" spans="2:9" ht="21" customHeight="1" x14ac:dyDescent="0.25">
      <c r="B51" s="16"/>
      <c r="C51" s="16"/>
      <c r="D51" s="16"/>
      <c r="E51" s="16"/>
      <c r="F51" s="16"/>
      <c r="G51" s="16"/>
      <c r="H51" s="16"/>
      <c r="I51" s="16"/>
    </row>
    <row r="52" spans="2:9" ht="21" customHeight="1" x14ac:dyDescent="0.25">
      <c r="B52" s="16"/>
      <c r="C52" s="16"/>
      <c r="D52" s="16"/>
      <c r="E52" s="16"/>
      <c r="F52" s="16"/>
      <c r="G52" s="16"/>
      <c r="H52" s="16"/>
      <c r="I52" s="16"/>
    </row>
    <row r="53" spans="2:9" ht="21" customHeight="1" x14ac:dyDescent="0.25">
      <c r="B53" s="16"/>
      <c r="C53" s="16"/>
      <c r="D53" s="16"/>
      <c r="E53" s="16"/>
      <c r="F53" s="16"/>
      <c r="G53" s="16"/>
      <c r="H53" s="16"/>
      <c r="I53" s="16"/>
    </row>
    <row r="54" spans="2:9" ht="21" customHeight="1" x14ac:dyDescent="0.25">
      <c r="B54" s="16"/>
      <c r="C54" s="16"/>
      <c r="D54" s="16"/>
      <c r="E54" s="16"/>
      <c r="F54" s="16"/>
      <c r="G54" s="16"/>
      <c r="H54" s="16"/>
      <c r="I54" s="16"/>
    </row>
    <row r="55" spans="2:9" ht="21" customHeight="1" x14ac:dyDescent="0.25">
      <c r="B55" s="16"/>
      <c r="C55" s="16"/>
      <c r="D55" s="16"/>
      <c r="E55" s="16"/>
      <c r="F55" s="16"/>
      <c r="G55" s="16"/>
      <c r="H55" s="16"/>
      <c r="I55" s="16"/>
    </row>
    <row r="56" spans="2:9" ht="21" customHeight="1" x14ac:dyDescent="0.25">
      <c r="B56" s="16"/>
      <c r="C56" s="16"/>
      <c r="D56" s="16"/>
      <c r="E56" s="16"/>
      <c r="F56" s="16"/>
      <c r="G56" s="16"/>
      <c r="H56" s="16"/>
      <c r="I56" s="16"/>
    </row>
    <row r="57" spans="2:9" ht="21" customHeight="1" x14ac:dyDescent="0.25">
      <c r="B57" s="16"/>
      <c r="C57" s="16"/>
      <c r="D57" s="16"/>
      <c r="E57" s="16"/>
      <c r="F57" s="16"/>
      <c r="G57" s="16"/>
      <c r="H57" s="16"/>
      <c r="I57" s="16"/>
    </row>
    <row r="58" spans="2:9" ht="21" customHeight="1" x14ac:dyDescent="0.25">
      <c r="B58" s="16"/>
      <c r="C58" s="16"/>
      <c r="D58" s="16"/>
      <c r="E58" s="16"/>
      <c r="F58" s="16"/>
      <c r="G58" s="16"/>
      <c r="H58" s="16"/>
      <c r="I58" s="16"/>
    </row>
    <row r="59" spans="2:9" ht="21" customHeight="1" x14ac:dyDescent="0.25">
      <c r="B59" s="16"/>
      <c r="C59" s="16"/>
      <c r="D59" s="16"/>
      <c r="E59" s="16"/>
      <c r="F59" s="16"/>
      <c r="G59" s="16"/>
      <c r="H59" s="16"/>
      <c r="I59" s="16"/>
    </row>
    <row r="60" spans="2:9" ht="21" customHeight="1" x14ac:dyDescent="0.25">
      <c r="B60" s="16"/>
      <c r="C60" s="16"/>
      <c r="D60" s="16"/>
      <c r="E60" s="16"/>
      <c r="F60" s="16"/>
      <c r="G60" s="16"/>
      <c r="H60" s="16"/>
      <c r="I60" s="16"/>
    </row>
    <row r="61" spans="2:9" ht="21" customHeight="1" x14ac:dyDescent="0.25">
      <c r="B61" s="16"/>
      <c r="C61" s="16"/>
      <c r="D61" s="16"/>
      <c r="E61" s="16"/>
      <c r="F61" s="16"/>
      <c r="G61" s="16"/>
      <c r="H61" s="16"/>
      <c r="I61" s="16"/>
    </row>
    <row r="62" spans="2:9" ht="21" customHeight="1" x14ac:dyDescent="0.25">
      <c r="B62" s="16"/>
      <c r="C62" s="16"/>
      <c r="D62" s="16"/>
      <c r="E62" s="16"/>
      <c r="F62" s="16"/>
      <c r="G62" s="16"/>
      <c r="H62" s="16"/>
      <c r="I62" s="16"/>
    </row>
    <row r="63" spans="2:9" ht="21" customHeight="1" x14ac:dyDescent="0.25">
      <c r="B63" s="16"/>
      <c r="C63" s="16"/>
      <c r="D63" s="16"/>
      <c r="E63" s="16"/>
      <c r="F63" s="16"/>
      <c r="G63" s="16"/>
      <c r="H63" s="16"/>
      <c r="I63" s="16"/>
    </row>
    <row r="64" spans="2:9" ht="21" customHeight="1" x14ac:dyDescent="0.25">
      <c r="B64" s="16"/>
      <c r="C64" s="16"/>
      <c r="D64" s="16"/>
      <c r="E64" s="16"/>
      <c r="F64" s="16"/>
      <c r="G64" s="16"/>
      <c r="H64" s="16"/>
      <c r="I64" s="16"/>
    </row>
    <row r="65" spans="2:9" ht="21" customHeight="1" x14ac:dyDescent="0.25">
      <c r="B65" s="16"/>
      <c r="C65" s="16"/>
      <c r="D65" s="16"/>
      <c r="E65" s="16"/>
      <c r="F65" s="16"/>
      <c r="G65" s="16"/>
      <c r="H65" s="16"/>
      <c r="I65" s="16"/>
    </row>
  </sheetData>
  <mergeCells count="3">
    <mergeCell ref="B1:I1"/>
    <mergeCell ref="B2:I2"/>
    <mergeCell ref="B3:I3"/>
  </mergeCells>
  <phoneticPr fontId="35"/>
  <conditionalFormatting sqref="B6:C65">
    <cfRule type="expression" dxfId="3" priority="1">
      <formula>$C6="A"</formula>
    </cfRule>
    <cfRule type="expression" dxfId="2" priority="2">
      <formula>$C6="B"</formula>
    </cfRule>
    <cfRule type="expression" dxfId="1" priority="3">
      <formula>$C6="C"</formula>
    </cfRule>
    <cfRule type="expression" dxfId="0" priority="4">
      <formula>$C6="共通"</formula>
    </cfRule>
  </conditionalFormatting>
  <dataValidations count="2">
    <dataValidation type="list" errorStyle="warning" allowBlank="1" showInputMessage="1" showErrorMessage="1" error="一覧から選択してください（そのまま入力する場合は「はい」）" promptTitle="ルート" prompt="A：ルートA／B：ルートB／C：ルートC／共通（複数ルートで共有）" sqref="C6:C65" xr:uid="{00000000-0002-0000-0600-000000000000}">
      <formula1>"A,B,C,共通"</formula1>
    </dataValidation>
    <dataValidation type="list" errorStyle="warning" allowBlank="1" showInputMessage="1" showErrorMessage="1" error="一覧から選択してください（そのまま入力する場合は「はい」）" promptTitle="図形" prompt="図で使った図形" sqref="H6:H65" xr:uid="{00000000-0002-0000-0600-000001000000}">
      <formula1>"角丸,角丸・強調,四角,円,円柱,カプセル,ファイル,システム枠"</formula1>
    </dataValidation>
  </dataValidations>
  <pageMargins left="0.4" right="0.4" top="0.5" bottom="0.5" header="0.3" footer="0.3"/>
  <pageSetup paperSize="8" fitToHeight="0" orientation="landscape"/>
  <headerFooter>
    <oddFooter>&amp;L&amp;8&amp;K7F7F7F&amp;A&amp;R&amp;8&amp;K7F7F7F&amp;P / &amp;N</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22</vt:i4>
      </vt:variant>
    </vt:vector>
  </HeadingPairs>
  <TitlesOfParts>
    <vt:vector size="29" baseType="lpstr">
      <vt:lpstr>表紙</vt:lpstr>
      <vt:lpstr>使い方</vt:lpstr>
      <vt:lpstr>構成図</vt:lpstr>
      <vt:lpstr>構成図_記入例</vt:lpstr>
      <vt:lpstr>部品</vt:lpstr>
      <vt:lpstr>連携一覧</vt:lpstr>
      <vt:lpstr>構成要素一覧</vt:lpstr>
      <vt:lpstr>構成図!Print_Area</vt:lpstr>
      <vt:lpstr>構成図_記入例!Print_Area</vt:lpstr>
      <vt:lpstr>構成要素一覧!Print_Area</vt:lpstr>
      <vt:lpstr>使い方!Print_Area</vt:lpstr>
      <vt:lpstr>表紙!Print_Area</vt:lpstr>
      <vt:lpstr>部品!Print_Area</vt:lpstr>
      <vt:lpstr>連携一覧!Print_Area</vt:lpstr>
      <vt:lpstr>構成要素一覧!Print_Titles</vt:lpstr>
      <vt:lpstr>連携一覧!Print_Titles</vt:lpstr>
      <vt:lpstr>システム名</vt:lpstr>
      <vt:lpstr>ルートA名</vt:lpstr>
      <vt:lpstr>ルートB名</vt:lpstr>
      <vt:lpstr>ルートC名</vt:lpstr>
      <vt:lpstr>会社名</vt:lpstr>
      <vt:lpstr>機密区分</vt:lpstr>
      <vt:lpstr>更新日</vt:lpstr>
      <vt:lpstr>作成者</vt:lpstr>
      <vt:lpstr>作成日</vt:lpstr>
      <vt:lpstr>承認者</vt:lpstr>
      <vt:lpstr>版数</vt:lpstr>
      <vt:lpstr>文書番号</vt:lpstr>
      <vt:lpstr>文書名</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システム構成図テンプレート（方眼コネクタ版）</dc:title>
  <dc:subject>方眼に吸着する図形と12点接続のコネクタ、3色のルート色分けで描くシステム構成図テンプレート</dc:subject>
  <dc:creator/>
  <cp:keywords>システム構成図, AWS, Salesforce, テンプレート, 方眼, コネクタ</cp:keywords>
  <dc:description>既存テンプレート（現場とAWS）とは別ファイルの追加テンプレート</dc:description>
  <cp:lastModifiedBy>貴彦 吉澤</cp:lastModifiedBy>
  <dcterms:created xsi:type="dcterms:W3CDTF">2026-10-03T00:14:22Z</dcterms:created>
  <dcterms:modified xsi:type="dcterms:W3CDTF">2026-10-03T00:14:42Z</dcterms:modified>
</cp:coreProperties>
</file>