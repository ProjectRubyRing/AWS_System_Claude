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15"/>
  <workbookPr defaultThemeVersion="124226"/>
  <xr:revisionPtr revIDLastSave="0" documentId="8_{122EC3FA-6D5D-4BEA-9FFB-49E70A5D60DD}" xr6:coauthVersionLast="47" xr6:coauthVersionMax="47" xr10:uidLastSave="{00000000-0000-0000-0000-000000000000}"/>
  <bookViews>
    <workbookView xWindow="0" yWindow="0" windowWidth="28800" windowHeight="15600" activeTab="0" xr2:uid="{00000000-000D-0000-FFFF-FFFF00000000}"/>
  </bookViews>
  <sheets>
    <sheet name="表紙" sheetId="1" r:id="rId1"/>
    <sheet name="使い方" sheetId="2" r:id="rId2"/>
    <sheet name="構成図" sheetId="3" r:id="rId3"/>
    <sheet name="構成図_記入例" sheetId="4" r:id="rId4"/>
    <sheet name="部品" sheetId="5" r:id="rId5"/>
    <sheet name="連携一覧" sheetId="6" r:id="rId6"/>
    <sheet name="構成要素一覧" sheetId="7" r:id="rId7"/>
  </sheets>
  <definedNames>
    <definedName name="_xlnm.Print_Area" localSheetId="2">構成図!$A$1:$BX$51</definedName>
    <definedName name="_xlnm.Print_Area" localSheetId="3">構成図_記入例!$A$1:$BX$51</definedName>
    <definedName name="_xlnm.Print_Area" localSheetId="6">構成要素一覧!$A$1:$I$65</definedName>
    <definedName name="_xlnm.Print_Area" localSheetId="1">使い方!$A$1:$BX$133</definedName>
    <definedName name="_xlnm.Print_Area" localSheetId="0">表紙!$A$1:$BX$51</definedName>
    <definedName name="_xlnm.Print_Area" localSheetId="4">部品!$A$1:$CJ$218</definedName>
    <definedName name="_xlnm.Print_Area" localSheetId="5">連携一覧!$A$1:$L$65</definedName>
    <definedName name="_xlnm.Print_Titles" localSheetId="6">構成要素一覧!$5:$5</definedName>
    <definedName name="_xlnm.Print_Titles" localSheetId="5">連携一覧!$5:$5</definedName>
    <definedName name="システム名">表紙!$J$17</definedName>
    <definedName name="ルートA名">表紙!$G$31</definedName>
    <definedName name="ルートB名">表紙!$G$32</definedName>
    <definedName name="ルートC名">表紙!$G$33</definedName>
    <definedName name="ルートD名">表紙!$G$34</definedName>
    <definedName name="ルートE名">表紙!$G$35</definedName>
    <definedName name="ルートF名">表紙!$G$36</definedName>
    <definedName name="会社名">表紙!$J$24</definedName>
    <definedName name="機密区分">表紙!$J$25</definedName>
    <definedName name="更新日">表紙!$J$21</definedName>
    <definedName name="作成者">表紙!$J$22</definedName>
    <definedName name="作成日">表紙!$J$20</definedName>
    <definedName name="承認者">表紙!$J$23</definedName>
    <definedName name="版数">表紙!$J$19</definedName>
    <definedName name="文書番号">表紙!$J$18</definedName>
    <definedName name="文書名">表紙!$J$16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Z51" i="4" l="1"/>
  <c r="Z51" i="4"/>
  <c r="B51" i="4"/>
  <c r="C1" i="4"/>
  <c r="AZ51" i="3"/>
  <c r="Z51" i="3"/>
  <c r="B51" i="3"/>
  <c r="BR2" i="3"/>
  <c r="BL2" i="3"/>
  <c r="BF2" i="3"/>
  <c r="BB2" i="3"/>
  <c r="AO2" i="3"/>
  <c r="C1" i="3"/>
  <c r="AZ51" i="1"/>
  <c r="Z51" i="1"/>
  <c r="B51" i="1"/>
  <c r="C5" i="1"/>
</calcChain>
</file>

<file path=xl/sharedStrings.xml><?xml version="1.0" encoding="utf-8"?>
<sst xmlns="http://schemas.openxmlformats.org/spreadsheetml/2006/main" count="642" uniqueCount="512">
  <si>
    <t>SYSTEM ARCHITECTURE DIAGRAM ／ GRID・16-POINT CONNECTORS・6 ROUTES</t>
  </si>
  <si>
    <t>方眼（マス目）に吸着する図形と、16か所の接続点をもつ図形部品で、接続経路（ルート）ごとに6色＋モノトーンで色分けして描くシステム構成図</t>
  </si>
  <si>
    <t>文書情報</t>
  </si>
  <si>
    <t>白いセルに入力すると、各図の表題欄・フッター・凡例に自動反映されます。</t>
  </si>
  <si>
    <t>文書名</t>
  </si>
  <si>
    <t>システム構成図</t>
  </si>
  <si>
    <t>システム名</t>
  </si>
  <si>
    <t>○○システム</t>
  </si>
  <si>
    <t>文書番号</t>
  </si>
  <si>
    <t>ARC-0002</t>
  </si>
  <si>
    <t>版数</t>
  </si>
  <si>
    <t>1.0</t>
  </si>
  <si>
    <t>作成日</t>
  </si>
  <si>
    <t>最終更新日</t>
  </si>
  <si>
    <t>作成者</t>
  </si>
  <si>
    <t>（氏名）</t>
  </si>
  <si>
    <t>承認者</t>
  </si>
  <si>
    <t>会社名・部署</t>
  </si>
  <si>
    <t>（会社名・部署名）</t>
  </si>
  <si>
    <t>機密区分</t>
  </si>
  <si>
    <t>社外秘</t>
  </si>
  <si>
    <t>目次（シート一覧）</t>
  </si>
  <si>
    <t>シート名をクリックすると移動します。</t>
  </si>
  <si>
    <t>No.</t>
  </si>
  <si>
    <t>シート</t>
  </si>
  <si>
    <t>内容</t>
  </si>
  <si>
    <t>使い方</t>
  </si>
  <si>
    <t>特長・作図手順・方眼と吸着・16点接続・6色ルートのルール・コメントの使い方</t>
  </si>
  <si>
    <t>構成図</t>
  </si>
  <si>
    <t>【テンプレート】A3横1枚。ルート別ゾーン・AWS枠・凡例を配置済み（右側に部品パレット）</t>
  </si>
  <si>
    <t>構成図_記入例</t>
  </si>
  <si>
    <t>記入例：Salesforce・社内（イントラ）・外部の3ルートからAWSへの連携</t>
  </si>
  <si>
    <t>部品</t>
  </si>
  <si>
    <t>16点接続のノード・線・コメント・番号・ゾーン・凡例（共通＋6色）</t>
  </si>
  <si>
    <t>連携一覧</t>
  </si>
  <si>
    <t>図の連携番号（A1・B1・C1…）ごとの方式・頻度・経路・プロトコル</t>
  </si>
  <si>
    <t>構成要素一覧</t>
  </si>
  <si>
    <t>図のノード（システム・サービス・機器）ごとの種別・役割・配置先</t>
  </si>
  <si>
    <t>ルート定義（色分けのルール）</t>
  </si>
  <si>
    <t>ルート名は各図の凡例に自動で表示されます。データの流れ（接続経路）ごとに A〜F の色を割り当てます（使わないルートは空欄のままで可）。</t>
  </si>
  <si>
    <t>記号</t>
  </si>
  <si>
    <t>色</t>
  </si>
  <si>
    <t>ルート名（凡例に表示）</t>
  </si>
  <si>
    <t>説明（どこから・どのデータが流れるか）</t>
  </si>
  <si>
    <t>A</t>
  </si>
  <si>
    <t>藍</t>
  </si>
  <si>
    <t>Salesforce連携</t>
  </si>
  <si>
    <t>Salesforce（SaaS）とAWSのデータ連携（API・イベント・日次）</t>
  </si>
  <si>
    <t>B</t>
  </si>
  <si>
    <t>青緑</t>
  </si>
  <si>
    <t>社内（イントラ）連携</t>
  </si>
  <si>
    <t>社内ネットワーク（閉域網・Direct Connect）経由の利用・連携</t>
  </si>
  <si>
    <t>C</t>
  </si>
  <si>
    <t>橙</t>
  </si>
  <si>
    <t>外部連携</t>
  </si>
  <si>
    <t>インターネット経由の外部ユーザー・取引先からの接続</t>
  </si>
  <si>
    <t>共通</t>
  </si>
  <si>
    <t>モノトーン</t>
  </si>
  <si>
    <t>共通（複数ルート・基盤）</t>
  </si>
  <si>
    <t>複数ルートで共有する要素（業務アプリ・DB・監視 など）</t>
  </si>
  <si>
    <t>改訂履歴</t>
  </si>
  <si>
    <t>改訂日</t>
  </si>
  <si>
    <t>改訂箇所・内容</t>
  </si>
  <si>
    <t>改訂者</t>
  </si>
  <si>
    <t>新規作成</t>
  </si>
  <si>
    <t>作成の流れ</t>
  </si>
  <si>
    <t>□ 白いセル：入力欄　　■ 灰色のセル：見出し（入力不要）　　図形は「部品」シート、または「構成図」シート右側の部品パレットからコピーして使います。</t>
  </si>
  <si>
    <t>アイコン出典：AWS Architecture Icons（AWS Cloud ロゴ、AWS Lambda）© Amazon Web Services, Inc. or its affiliates（詳細は「使い方」の 9 章）</t>
  </si>
  <si>
    <t>対象範囲：（例：○○システムの全体構成と、Salesforce・社内・外部からの接続経路）</t>
  </si>
  <si>
    <t>図番</t>
  </si>
  <si>
    <t>更新日</t>
  </si>
  <si>
    <t>SC-01</t>
  </si>
  <si>
    <t>部品パレット（印刷範囲外）　Ctrl＋ドラッグで左の図面に複製</t>
  </si>
  <si>
    <t>貼り付け後は Alt＋ドラッグ（または［枠線に合わせる］）でマス目に吸着。線は両端を図形の接続点（灰色の点）に重ねて接続。全部品は「部品」シート。</t>
  </si>
  <si>
    <t>共通（モノトーン）</t>
  </si>
  <si>
    <t>A：藍</t>
  </si>
  <si>
    <t>B：青緑</t>
  </si>
  <si>
    <t>C：橙</t>
  </si>
  <si>
    <t>ノード（標準・強調・円柱・円・カプセル）</t>
  </si>
  <si>
    <t>線（直線：オンライン・バッチ・監視／カギ線）</t>
  </si>
  <si>
    <t>コメント（ポイント・付記・吹き出し）</t>
  </si>
  <si>
    <t>番号・線ラベル</t>
  </si>
  <si>
    <t>対象範囲：（例）顧客ポータル連携基盤（AWS）と、Salesforce・社内（イントラ）・外部からの3つの接続経路</t>
  </si>
  <si>
    <t>（例）顧客ポータル連携基盤</t>
  </si>
  <si>
    <t>情報システム部 山田</t>
  </si>
  <si>
    <t>部品　│　方眼に吸着・12点接続・3色ルートの図形部品集</t>
  </si>
  <si>
    <t>使い方：部品をクリック → Ctrl＋C →「構成図」で貼り付けたい位置のセルを選択 → Ctrl＋V（部品の左上がそのセルに揃います）。文字はダブルクリックで編集。「構成図」右側の部品パレットからは Ctrl＋ドラッグで複製できます。</t>
  </si>
  <si>
    <t>接続点ガイド　─　どの図形も12か所（時計の文字盤と同じ位置）</t>
  </si>
  <si>
    <t>● 各辺を4等分した3点ずつ、計12か所。12時＝上中央、3時＝右中央、6時＝下中央、9時＝左中央。</t>
  </si>
  <si>
    <t>● 図形の幅・高さを4マス単位（4・8・12・16マス）にすると、12か所すべてが方眼の線上に乗り、線がまっすぐつながります。</t>
  </si>
  <si>
    <t>● 円・円柱・カプセル・ファイルも同じ12か所。線の端を図形に近づけると接続点（灰色の点）が表示されます。</t>
  </si>
  <si>
    <t>● 1つの辺に最大3本の線を、重ならずにつなげます（例：左辺の10時・9時・8時に、ルートA・B・Cの線を入れる）。</t>
  </si>
  <si>
    <t>● 色：共通＝モノトーン、A＝藍、B＝青緑、C＝橙。ルート名は「表紙」のルート定義で設定（凡例に自動表示）。</t>
  </si>
  <si>
    <t>A　ノード（12点接続の図形）</t>
  </si>
  <si>
    <t>▲ 先頭へ</t>
  </si>
  <si>
    <t>四角・円・円柱など、どの図形も12か所の接続点つき。大きさは4マス単位（標準 8×4マス）。接続元＝ルートの色、共通の要素＝モノトーンにします。</t>
  </si>
  <si>
    <t>A：ルートA（藍）</t>
  </si>
  <si>
    <t>B：ルートB（青緑）</t>
  </si>
  <si>
    <t>C：ルートC（橙）</t>
  </si>
  <si>
    <t>角丸ノード（標準）</t>
  </si>
  <si>
    <t>システム・サービス・アプリ</t>
  </si>
  <si>
    <t>8×4マス</t>
  </si>
  <si>
    <t>角丸ノード（強調）</t>
  </si>
  <si>
    <t>接続元・主要システム</t>
  </si>
  <si>
    <t>1ルート1〜2個まで</t>
  </si>
  <si>
    <t>四角ノード</t>
  </si>
  <si>
    <t>サーバ・ネットワーク・機器</t>
  </si>
  <si>
    <t>線のみノード</t>
  </si>
  <si>
    <t>塗りを使わない場合</t>
  </si>
  <si>
    <t>（白地・色枠）</t>
  </si>
  <si>
    <t>小ノード／円／円柱</t>
  </si>
  <si>
    <t>ゲートウェイ・利用者・DB</t>
  </si>
  <si>
    <t>各4×4マス</t>
  </si>
  <si>
    <t>カプセル／ファイル</t>
  </si>
  <si>
    <t>API・キュー・イベント（8×4）</t>
  </si>
  <si>
    <t>ファイル・CSV・帳票（4×4）</t>
  </si>
  <si>
    <t>横長ノード</t>
  </si>
  <si>
    <t>名称が長い要素・基盤</t>
  </si>
  <si>
    <t>12×4マス</t>
  </si>
  <si>
    <t>システム枠</t>
  </si>
  <si>
    <t>複数ノードをまとめる</t>
  </si>
  <si>
    <t>12×8マス（枠自体も接続可）</t>
  </si>
  <si>
    <t>状態のバリエーション</t>
  </si>
  <si>
    <t>既存／外部／新規／将来</t>
  </si>
  <si>
    <t>（モノトーン＋赤）</t>
  </si>
  <si>
    <t>アイコン接続フレーム</t>
  </si>
  <si>
    <t>アイコンを12点接続にする</t>
  </si>
  <si>
    <t>透明の枠（4×4）</t>
  </si>
  <si>
    <t>B　線（コネクタ）</t>
  </si>
  <si>
    <t>両端を図形の接続点に重ねると接続され、図形を動かしても追従します。揃った2点は直線コネクタ、曲げてつなぐ所はカギ線コネクタを使います。色＝ルート、線の種類＝連携方式。</t>
  </si>
  <si>
    <t>各色の左＝直線コネクタ（揃った2点をまっすぐ結ぶ）　右＝カギ線コネクタ（直角に曲げて結ぶ）</t>
  </si>
  <si>
    <t>オンライン連携</t>
  </si>
  <si>
    <t>実線＋矢印：API・画面・イベント</t>
  </si>
  <si>
    <t>双方向</t>
  </si>
  <si>
    <t>両矢印：双方向の連携</t>
  </si>
  <si>
    <t>バッチ・ファイル</t>
  </si>
  <si>
    <t>破線＋矢印：日次・定期・非同期</t>
  </si>
  <si>
    <t>監視・運用</t>
  </si>
  <si>
    <t>点線＋矢印：監視・ログ・運用</t>
  </si>
  <si>
    <t>ネットワーク接続</t>
  </si>
  <si>
    <t>細い実線：LAN・インターネット</t>
  </si>
  <si>
    <t>専用線・閉域網</t>
  </si>
  <si>
    <t>太い実線：Direct Connect等</t>
  </si>
  <si>
    <t>VPN・論理接続</t>
  </si>
  <si>
    <t>破線（矢印なし）：VPN・トンネル</t>
  </si>
  <si>
    <t>引出線</t>
  </si>
  <si>
    <t>点線：コメントと対象を結ぶ</t>
  </si>
  <si>
    <t>既存・対象外</t>
  </si>
  <si>
    <t>グレーの線</t>
  </si>
  <si>
    <t>接続済みの見本</t>
  </si>
  <si>
    <t>ノード2つ＋カギ線（3点セット）</t>
  </si>
  <si>
    <t>まとめてコピーして使えます</t>
  </si>
  <si>
    <t>黄色のハンドルで曲がる位置を調整</t>
  </si>
  <si>
    <t>C　コメント（ポイント・付記）</t>
  </si>
  <si>
    <t>ポイント・付記事項を書き込む図形です。説明するルートの色に合わせます（共通の注記はモノトーン）。本文はダブルクリックで編集。</t>
  </si>
  <si>
    <t>ポイント（見出し付き）</t>
  </si>
  <si>
    <t>重要な設計判断・注意点</t>
  </si>
  <si>
    <t>14×4マス（グループ）</t>
  </si>
  <si>
    <t>付記（左ライン）</t>
  </si>
  <si>
    <t>前提・制約・補足</t>
  </si>
  <si>
    <t>14×3マス（グループ）</t>
  </si>
  <si>
    <t>吹き出し</t>
  </si>
  <si>
    <t>特定の図形・線への指摘</t>
  </si>
  <si>
    <t>黄色のハンドルで向きを変更</t>
  </si>
  <si>
    <t>付箋／番号付き注記</t>
  </si>
  <si>
    <t>確認事項・TODO（8×4）</t>
  </si>
  <si>
    <t>図の外にまとめる注記</t>
  </si>
  <si>
    <t>D　番号・ラベル</t>
  </si>
  <si>
    <t>連携番号は「ルート記号＋連番」（A1・B1・C1…）。白黒印刷でもルートが分かり、「連携一覧」の No. と対応します。</t>
  </si>
  <si>
    <t>連携番号（ルート記号付き）</t>
  </si>
  <si>
    <t>線の上・横に置く（2×1マス）</t>
  </si>
  <si>
    <t>丸番号</t>
  </si>
  <si>
    <t>手順・注記の番号（1マス）</t>
  </si>
  <si>
    <t>線ラベル（白地）</t>
  </si>
  <si>
    <t>プロトコル・方式・頻度</t>
  </si>
  <si>
    <t>状態タグ</t>
  </si>
  <si>
    <t>新規／変更／既存／将来</t>
  </si>
  <si>
    <t>E　枠・ゾーン</t>
  </si>
  <si>
    <t>ゾーンは接続元のまとまり（ルートの淡色）、AWS・VPC等の枠はモノトーン。枠は最背面に置きます（右クリック →［最背面へ移動］）。</t>
  </si>
  <si>
    <t>ルートゾーン</t>
  </si>
  <si>
    <t>接続元のまとまり（淡色）</t>
  </si>
  <si>
    <t>大きさは自由</t>
  </si>
  <si>
    <t>AWS・ネットワークの枠</t>
  </si>
  <si>
    <t>左から AWS Cloud／VPC／</t>
  </si>
  <si>
    <t>サブネット／論理グループ</t>
  </si>
  <si>
    <t>拠点・強調の枠</t>
  </si>
  <si>
    <t>拠点（淡グレー）</t>
  </si>
  <si>
    <t>新規・変更箇所（赤破線）</t>
  </si>
  <si>
    <t>F　凡例</t>
  </si>
  <si>
    <t>「構成図」に配置済みの凡例と同じものです。ルート名は「表紙」のルート定義と連動して表示されます（凡例の文字は表紙で編集）。</t>
  </si>
  <si>
    <t>▶ A　ノード（12点接続）</t>
  </si>
  <si>
    <t>▶ B　線（コネクタ）</t>
  </si>
  <si>
    <t>▶ C　コメント（ポイント・付記）</t>
  </si>
  <si>
    <t>▶ D　番号・ラベル</t>
  </si>
  <si>
    <t>▶ E　枠・ゾーン</t>
  </si>
  <si>
    <t>▶ F　凡例</t>
  </si>
  <si>
    <t>連携一覧（図の連携番号 A1・B1・C1… と対応）</t>
  </si>
  <si>
    <t>図の連携番号ごとに1行記入します。図には番号だけを書き、方式・タイミング・経路・プロトコルはこの表で管理します。共通（複数ルート）の連携は数字のみの番号にします。</t>
  </si>
  <si>
    <t>記入方法：白いセルに入力。ルートはプルダウンから選択（A〜F・共通）すると行の先頭が色分けされます。（記入例）の行は確認後に削除・上書きしてください。</t>
  </si>
  <si>
    <t>ルート</t>
  </si>
  <si>
    <t>連携元</t>
  </si>
  <si>
    <t>連携先</t>
  </si>
  <si>
    <t>連携方式</t>
  </si>
  <si>
    <t>データ・内容</t>
  </si>
  <si>
    <t>タイミング・頻度</t>
  </si>
  <si>
    <t>経路（回線）</t>
  </si>
  <si>
    <t>プロトコル・認証</t>
  </si>
  <si>
    <t>方向</t>
  </si>
  <si>
    <t>備考</t>
  </si>
  <si>
    <t>A1</t>
  </si>
  <si>
    <t>Salesforce</t>
  </si>
  <si>
    <t>Amazon AppFlow → S3</t>
  </si>
  <si>
    <t>バッチ（API）</t>
  </si>
  <si>
    <t>顧客・商談（全件）</t>
  </si>
  <si>
    <t>日次 1:00</t>
  </si>
  <si>
    <t>インターネット（HTTPS）</t>
  </si>
  <si>
    <t>HTTPS（OAuth 2.0）</t>
  </si>
  <si>
    <t>片方向</t>
  </si>
  <si>
    <t>（記入例）差分補正を兼ねる</t>
  </si>
  <si>
    <t>A2</t>
  </si>
  <si>
    <t>EventBridge → 取込処理</t>
  </si>
  <si>
    <t>イベント</t>
  </si>
  <si>
    <t>顧客・商談の変更</t>
  </si>
  <si>
    <t>即時</t>
  </si>
  <si>
    <t>パートナーイベント</t>
  </si>
  <si>
    <t>（記入例）</t>
  </si>
  <si>
    <t>A3</t>
  </si>
  <si>
    <t>取込処理（Lambda）</t>
  </si>
  <si>
    <t>業務DB（Aurora）</t>
  </si>
  <si>
    <t>DB連携</t>
  </si>
  <si>
    <t>顧客・商談</t>
  </si>
  <si>
    <t>即時／日次</t>
  </si>
  <si>
    <t>AWS内（VPC）</t>
  </si>
  <si>
    <t>PostgreSQL（TLS）</t>
  </si>
  <si>
    <t>B1</t>
  </si>
  <si>
    <t>社内ユーザー</t>
  </si>
  <si>
    <t>業務アプリ（ALB経由）</t>
  </si>
  <si>
    <t>画面（オンライン）</t>
  </si>
  <si>
    <t>業務画面</t>
  </si>
  <si>
    <t>随時</t>
  </si>
  <si>
    <t>閉域網＋Direct Connect</t>
  </si>
  <si>
    <t>HTTPS（SSO）</t>
  </si>
  <si>
    <t>B2</t>
  </si>
  <si>
    <t>基幹システム</t>
  </si>
  <si>
    <t>API（オンライン）</t>
  </si>
  <si>
    <t>受注・出荷</t>
  </si>
  <si>
    <t>HTTPS（REST）</t>
  </si>
  <si>
    <t>C1</t>
  </si>
  <si>
    <t>外部ユーザー</t>
  </si>
  <si>
    <t>業務アプリ（CloudFront経由）</t>
  </si>
  <si>
    <t>画面・API</t>
  </si>
  <si>
    <t>申込・照会</t>
  </si>
  <si>
    <t>インターネット→CloudFront＋WAF</t>
  </si>
  <si>
    <t>HTTPS（Cognito）</t>
  </si>
  <si>
    <t>1</t>
  </si>
  <si>
    <t>業務アプリ</t>
  </si>
  <si>
    <t>業務データ</t>
  </si>
  <si>
    <t>2</t>
  </si>
  <si>
    <t>全リソース</t>
  </si>
  <si>
    <t>監視（CloudWatch）</t>
  </si>
  <si>
    <t>監視</t>
  </si>
  <si>
    <t>メトリクス・ログ</t>
  </si>
  <si>
    <t>常時</t>
  </si>
  <si>
    <t>AWS内</t>
  </si>
  <si>
    <t>―</t>
  </si>
  <si>
    <t>（記入例）線は代表のみ記載</t>
  </si>
  <si>
    <t>構成要素一覧（図のノードと対応）</t>
  </si>
  <si>
    <t>図に描いたノード（システム・サービス・機器）を1行ずつ記入します。ルートは「その要素を使うルート」。複数ルートで共有する要素は「共通」にします。</t>
  </si>
  <si>
    <t>ID</t>
  </si>
  <si>
    <t>名称（図の表記）</t>
  </si>
  <si>
    <t>種別（サービス・製品）</t>
  </si>
  <si>
    <t>役割・用途</t>
  </si>
  <si>
    <t>配置先（ゾーン）</t>
  </si>
  <si>
    <t>図形</t>
  </si>
  <si>
    <t>N01</t>
  </si>
  <si>
    <t>SaaS（Salesforce）</t>
  </si>
  <si>
    <t>顧客・商談の管理</t>
  </si>
  <si>
    <t>外部SaaS</t>
  </si>
  <si>
    <t>角丸・強調</t>
  </si>
  <si>
    <t>N02</t>
  </si>
  <si>
    <t>Amazon AppFlow</t>
  </si>
  <si>
    <t>AWSサービス</t>
  </si>
  <si>
    <t>Salesforceデータの日次取込</t>
  </si>
  <si>
    <t>AWS（東京リージョン）</t>
  </si>
  <si>
    <t>角丸</t>
  </si>
  <si>
    <t>N03</t>
  </si>
  <si>
    <t>EventBridge</t>
  </si>
  <si>
    <t>Amazon EventBridge</t>
  </si>
  <si>
    <t>変更イベントの受信</t>
  </si>
  <si>
    <t>カプセル</t>
  </si>
  <si>
    <t>（記入例）パートナーイベントバス</t>
  </si>
  <si>
    <t>N04</t>
  </si>
  <si>
    <t>S3</t>
  </si>
  <si>
    <t>Amazon S3</t>
  </si>
  <si>
    <t>取込データの保管</t>
  </si>
  <si>
    <t>円柱</t>
  </si>
  <si>
    <t>N05</t>
  </si>
  <si>
    <t>取込処理</t>
  </si>
  <si>
    <t>AWS Lambda</t>
  </si>
  <si>
    <t>取込データの変換・反映</t>
  </si>
  <si>
    <t>AWS（VPC）</t>
  </si>
  <si>
    <t>N06</t>
  </si>
  <si>
    <t>社内PC</t>
  </si>
  <si>
    <t>業務画面の利用</t>
  </si>
  <si>
    <t>本社・支店</t>
  </si>
  <si>
    <t>（記入例）約500名</t>
  </si>
  <si>
    <t>N07</t>
  </si>
  <si>
    <t>オンプレミス（ERP）</t>
  </si>
  <si>
    <t>受注・出荷データ</t>
  </si>
  <si>
    <t>本社データセンター</t>
  </si>
  <si>
    <t>N08</t>
  </si>
  <si>
    <t>Direct Connect</t>
  </si>
  <si>
    <t>AWS Direct Connect</t>
  </si>
  <si>
    <t>社内とAWSの閉域接続</t>
  </si>
  <si>
    <t>接続拠点</t>
  </si>
  <si>
    <t>四角</t>
  </si>
  <si>
    <t>（記入例）1Gbps×2</t>
  </si>
  <si>
    <t>N09</t>
  </si>
  <si>
    <t>ALB（社内向け）</t>
  </si>
  <si>
    <t>Elastic Load Balancing</t>
  </si>
  <si>
    <t>社内からのアクセス受付</t>
  </si>
  <si>
    <t>N10</t>
  </si>
  <si>
    <t>インターネット利用者</t>
  </si>
  <si>
    <t>インターネット</t>
  </si>
  <si>
    <t>N11</t>
  </si>
  <si>
    <t>CloudFront＋WAF</t>
  </si>
  <si>
    <t>Amazon CloudFront／AWS WAF</t>
  </si>
  <si>
    <t>公開入口・攻撃防御</t>
  </si>
  <si>
    <t>AWS（エッジ）</t>
  </si>
  <si>
    <t>N12</t>
  </si>
  <si>
    <t>Amazon ECS（Fargate）</t>
  </si>
  <si>
    <t>業務画面・API</t>
  </si>
  <si>
    <t>N13</t>
  </si>
  <si>
    <t>業務DB</t>
  </si>
  <si>
    <t>Amazon Aurora</t>
  </si>
  <si>
    <t>（記入例）Multi-AZ</t>
  </si>
  <si>
    <t>N14</t>
  </si>
  <si>
    <t>Amazon CloudWatch</t>
  </si>
  <si>
    <t>メトリクス・ログ監視</t>
  </si>
  <si>
    <t>使い方　│　方眼・16点接続・6色ルートで構成図を描く手順とルール</t>
  </si>
  <si>
    <t>1．このテンプレートの特長</t>
  </si>
  <si>
    <t>2．シート構成</t>
  </si>
  <si>
    <t>役割</t>
  </si>
  <si>
    <t>使い方のポイント</t>
  </si>
  <si>
    <t>表紙</t>
  </si>
  <si>
    <t>文書情報・ルート定義</t>
  </si>
  <si>
    <t>システム名・版数・作成者と、ルートA〜Fの名称を入力（図の表題欄・凡例に自動反映）</t>
  </si>
  <si>
    <t>構成図のテンプレート</t>
  </si>
  <si>
    <t>A3横1枚。ゾーン（ルートA〜C・AWS Cloud）・凡例（A〜F）・注記を配置済み。右側（印刷範囲外）に7色の部品パレット</t>
  </si>
  <si>
    <t>記入例</t>
  </si>
  <si>
    <t>Salesforce・社内・外部の3ルートの見本。コピーして書き換えても可</t>
  </si>
  <si>
    <t>部品集</t>
  </si>
  <si>
    <t>16点接続のノード・線・コメント・番号・ゾーン・凡例。共通（モノトーン）＋6色</t>
  </si>
  <si>
    <t>連携一覧／構成要素一覧</t>
  </si>
  <si>
    <t>図の補足（文字情報）</t>
  </si>
  <si>
    <t>連携番号（A1…）ごとの方式・頻度・経路、ノードごとの種別・役割を管理</t>
  </si>
  <si>
    <t>3．作図の手順</t>
  </si>
  <si>
    <t>① 「表紙」に文書情報と「ルート定義」（A〜F の名称と説明）を入力します。ルート名は各図の凡例に自動で表示されます。</t>
  </si>
  <si>
    <t>② 最初に一度だけ［ページレイアウト］→［配置］→［配置］→［枠線に合わせる］をオンにします（図形と線がマス目に吸着します）。</t>
  </si>
  <si>
    <t>③ 「構成図」シートのゾーン（ルートA〜C・AWS Cloud）の大きさと名前を整えます。ルートD〜Fのゾーンは「部品」シートからコピーし、使わないゾーンは削除します。</t>
  </si>
  <si>
    <t>④ ノードを置きます。右側の部品パレットから Ctrl＋ドラッグで複製するか、「部品」シートからコピー＆ペースト（貼り付け先のセルを選んで Ctrl＋V）。</t>
  </si>
  <si>
    <t>⑤ 線を引きます。線の端をドラッグして図形に近づけると接続点（灰色の点）が表示されるので、点の上で離します。両端をつなぐと図形を動かしても追従します。</t>
  </si>
  <si>
    <t>⑥ 連携ごとに番号（A1・B1・C1…F1）を線の起点付近に置き、「連携一覧」に方式・頻度・経路・プロトコルを記入します。</t>
  </si>
  <si>
    <t>⑦ ポイント・付記をコメント図形で書き込み、凡例を整えます。最後に［ファイル］→［印刷］で A3横1ページに収まっていることを確認します。</t>
  </si>
  <si>
    <t>4．方眼（マス目）にきれいに揃える</t>
  </si>
  <si>
    <t>やりたいこと</t>
  </si>
  <si>
    <t>操作</t>
  </si>
  <si>
    <t>マス目に吸着させる（常時）</t>
  </si>
  <si>
    <t>［ページレイアウト］→［配置］→［配置］→［枠線に合わせる］をオン（［図形の書式］タブの［配置］からも同じ操作ができます）</t>
  </si>
  <si>
    <t>その時だけ吸着させる</t>
  </si>
  <si>
    <t>Alt キーを押しながらドラッグ（移動・大きさの変更のどちらも、セルの枠線に吸着します）</t>
  </si>
  <si>
    <t>貼り付け位置を揃える</t>
  </si>
  <si>
    <t>貼り付けたい位置のセルを選択してから Ctrl＋V（部品の左上がそのセルの左上に揃います）</t>
  </si>
  <si>
    <t>大きさを決める</t>
  </si>
  <si>
    <t>幅・高さは4マス単位（4・8・12・16マス）。この大きさなら16か所の接続点がすべて方眼の線上に乗ります</t>
  </si>
  <si>
    <t>水平・垂直に動かす／複製する</t>
  </si>
  <si>
    <t>Shift＋ドラッグで水平・垂直に移動。Ctrl＋ドラッグで複製（Ctrl＋Shift で水平・垂直に複製）、Ctrl＋D でも複製</t>
  </si>
  <si>
    <t>並びを揃える</t>
  </si>
  <si>
    <t>複数選択 →［図形の書式］→［配置］→［左揃え］［上下中央揃え］［左右に整列］など</t>
  </si>
  <si>
    <t>方眼の表示／非表示</t>
  </si>
  <si>
    <t>［表示］→［目盛線］のチェック。方眼（目盛線）は印刷されません</t>
  </si>
  <si>
    <t>5．16か所の接続点（各辺の両端と4等分点）</t>
  </si>
  <si>
    <t>● つなぎ方：線の端点をドラッグして図形に重ねると接続点（灰色の点）が表示されます。点の上で離すと接続され、図形を動かしても線が追従します。</t>
  </si>
  <si>
    <t>● 直線とカギ線：高さ（または左右位置）の揃った2点は［直線コネクタ］、曲げてつなぐ所は［カギ線コネクタ］。揃った2点をカギ線で結ぶと、Excelの仕様で約1ptの段差が出ます。</t>
  </si>
  <si>
    <t>● 曲がる位置：カギ線を選択すると表示される黄色のハンドルをドラッグして調整します。</t>
  </si>
  <si>
    <t>● 線の種類の切り替え：線を右クリック →［コネクタの種類］→［直線コネクタ］／［カギ線コネクタ］。</t>
  </si>
  <si>
    <t>● 新しく線を引く：［挿入］→［図形］→「カギ線矢印コネクタ」。よく使う色の線を右クリック →［既定の線に設定］にすると、以降の線が同じ色・太さになります。</t>
  </si>
  <si>
    <t>● 連続して線を引く：［挿入］→［図形］で線を右クリック →［描画モードのロック］（Esc で解除）。</t>
  </si>
  <si>
    <t>6．7色の使い分け（共通モノトーン＋6色ルート）</t>
  </si>
  <si>
    <t>ルート（例）</t>
  </si>
  <si>
    <t>図形（ノード）</t>
  </si>
  <si>
    <t>線</t>
  </si>
  <si>
    <t>コメント</t>
  </si>
  <si>
    <t>複数ルート・基盤</t>
  </si>
  <si>
    <t>複数ルートが使う要素（業務アプリ・DB・監視 など）</t>
  </si>
  <si>
    <t>共通の連携・監視</t>
  </si>
  <si>
    <t>全体の注記</t>
  </si>
  <si>
    <t>接続元・ルートAだけが使う要素</t>
  </si>
  <si>
    <t>ルートAのデータが流れる線</t>
  </si>
  <si>
    <t>ルートAのポイント</t>
  </si>
  <si>
    <t>接続元・ルートBだけが使う要素</t>
  </si>
  <si>
    <t>ルートBのデータが流れる線</t>
  </si>
  <si>
    <t>ルートBのポイント</t>
  </si>
  <si>
    <t>接続元・ルートCだけが使う要素</t>
  </si>
  <si>
    <t>ルートCのデータが流れる線</t>
  </si>
  <si>
    <t>ルートCのポイント</t>
  </si>
  <si>
    <t>● 色は「どのルートのデータか」だけを表します。連携方式（オンライン／バッチ／監視 など）は線の種類で表します。</t>
  </si>
  <si>
    <t>● 複数ルートが通る共通の要素はモノトーンにし、入ってくる線の色でルートを示します。</t>
  </si>
  <si>
    <t>● ルートの色は6色まで（＋共通のモノトーン）。1枚に使うのは3〜4色までが見やすく、それ以上は近いルートをまとめるか図を分けます。</t>
  </si>
  <si>
    <t>● 白黒印刷や色の見分けにくい環境でも区別できるよう、線の起点に連携番号（A1・B1・C1…F1）を付けます。</t>
  </si>
  <si>
    <t>● 塗りは淡色が基本。濃い色（強調ノード）は接続元など、1ルートにつき1〜2個までにすると上品にまとまります。</t>
  </si>
  <si>
    <t>● 新規・変更箇所は赤破線の枠で示します（赤はルートの色とは別の、差分レビュー用の強調色です）。</t>
  </si>
  <si>
    <t>7．線の種類（連携方式）とコメントの使い分け</t>
  </si>
  <si>
    <t>線の見本</t>
  </si>
  <si>
    <t>表現</t>
  </si>
  <si>
    <t>意味・使い分け</t>
  </si>
  <si>
    <t>実線＋矢印</t>
  </si>
  <si>
    <t>オンライン連携（API・画面・イベント）。矢印＝データの流れ（送り元 → 送り先）</t>
  </si>
  <si>
    <t>両矢印</t>
  </si>
  <si>
    <t>双方向の連携</t>
  </si>
  <si>
    <t>破線＋矢印</t>
  </si>
  <si>
    <t>バッチ・ファイル連携・非同期（日次・定期）</t>
  </si>
  <si>
    <t>点線＋矢印</t>
  </si>
  <si>
    <t>監視・ログ収集・運用アクセス</t>
  </si>
  <si>
    <t>細い実線</t>
  </si>
  <si>
    <t>ネットワーク接続（LAN・インターネット）</t>
  </si>
  <si>
    <t>太い実線</t>
  </si>
  <si>
    <t>専用線・閉域網（Direct Connect・IP-VPN など）</t>
  </si>
  <si>
    <t>破線（矢印なし）</t>
  </si>
  <si>
    <t>既存・対象外（ルートの色を付けない）</t>
  </si>
  <si>
    <t>用途</t>
  </si>
  <si>
    <t>重要な設計判断・注意点（2〜3行）。説明するルートの色に合わせる</t>
  </si>
  <si>
    <t>前提・制約・補足。目立たせすぎない控えめな注記</t>
  </si>
  <si>
    <t>特定の図形・線への短い指摘（先端の黄色のハンドルで向きを変更）</t>
  </si>
  <si>
    <t>付箋</t>
  </si>
  <si>
    <t>検討中・確認事項（TODO）。確定後は削除</t>
  </si>
  <si>
    <t>番号付き注記／引出線</t>
  </si>
  <si>
    <t>図の外にまとめる注記。引出線（点線）でコメントと対象を結ぶ（コメントにも16か所の接続点があります）</t>
  </si>
  <si>
    <t>8．きれいに見せるコツ</t>
  </si>
  <si>
    <t>・同じ種類の図形は同じ大きさにそろえる（標準ノード 8×4マス、小ノード 4×4マス）。</t>
  </si>
  <si>
    <t>・左 → 右（接続元 → 入口 → 処理 → データ）の流れで配置し、ルートごとに上・中・下の段に分けると線が交差しません。</t>
  </si>
  <si>
    <t>・図形と図形の間は4マス以上あけ、線と番号を置く余白をとる。</t>
  </si>
  <si>
    <t>・線は方眼に沿って水平・垂直に（カギ線）。つなぐ点の高さをそろえると、まっすぐな1本の線になります。</t>
  </si>
  <si>
    <t>・1つの辺には両端（角）を含めて5つの接続点。中央寄りの3点を優先して使い、足りなければ図形を大きく（12マス幅・8マス高）します。</t>
  </si>
  <si>
    <t>・図形の文字は2行まで（名称＋役割）。IP・ポート・頻度などの詳細は一覧シートへ。</t>
  </si>
  <si>
    <t>・枠は最背面へ（右クリック →［最背面へ移動］）。重なり順は 外側の枠 → ゾーン → ノード → 線 → 番号・コメント。</t>
  </si>
  <si>
    <t>9．印刷・PDF出力・出典</t>
  </si>
  <si>
    <t>・「構成図」「構成図_記入例」は A3横1ページに収まるよう設定済みです（右側の部品パレットは印刷範囲外）。</t>
  </si>
  <si>
    <t>・PDF出力は［ファイル］→［エクスポート］→［PDF/XPS の作成］。図を増やすときはシート見出しを右クリック →［移動またはコピー］→［コピーを作成する］。</t>
  </si>
  <si>
    <t>・表題欄のシステム名・版数・日付・作成者は「表紙」から自動反映されます（個別に上書きも可）。</t>
  </si>
  <si>
    <t>・既存テンプレート（システム構成図テンプレート_現場とAWS.xlsx）の AWSアイコン・現場機器アイコンも、このテンプレートに貼り付けて使えます（アイコン接続フレームと組み合わせると16点で接続可）。</t>
  </si>
  <si>
    <t>■ AWS Architecture Icons（AWS Cloud ロゴ・AWS Lambda）© Amazon Web Services, Inc. or its affiliates. All rights reserved.　入手元：https://aws.amazon.com/architecture/icons/</t>
  </si>
  <si>
    <t>　AWS はアーキテクチャ図の作成にアイコンを使用することを認めています。利用時は AWS の最新の利用条件を確認してください（アイコンは変形・再着色せずに収録）。</t>
  </si>
  <si>
    <t>D</t>
  </si>
  <si>
    <t>紫</t>
  </si>
  <si>
    <t>現場・IoT連携</t>
  </si>
  <si>
    <t>工場・店舗・倉庫などの現場機器・IoTデバイスからのデータ収集（MQTT・HTTPS）</t>
  </si>
  <si>
    <t>E</t>
  </si>
  <si>
    <t>ローズ</t>
  </si>
  <si>
    <t>パートナー連携</t>
  </si>
  <si>
    <t>取引先・パートナー企業とのデータ交換（EDI・ファイル・API）</t>
  </si>
  <si>
    <t>F</t>
  </si>
  <si>
    <t>オリーブ</t>
  </si>
  <si>
    <t>他クラウド連携</t>
  </si>
  <si>
    <t>他のクラウド・SaaS（Azure・Google Cloud など）とのデータ連携</t>
  </si>
  <si>
    <t>D：紫</t>
  </si>
  <si>
    <t>接続元・ルートDだけが使う要素</t>
  </si>
  <si>
    <t>ルートDのデータが流れる線</t>
  </si>
  <si>
    <t>ルートDのポイント</t>
  </si>
  <si>
    <t>E：ローズ</t>
  </si>
  <si>
    <t>接続元・ルートEだけが使う要素</t>
  </si>
  <si>
    <t>ルートEのデータが流れる線</t>
  </si>
  <si>
    <t>ルートEのポイント</t>
  </si>
  <si>
    <t>F：オリーブ</t>
  </si>
  <si>
    <t>接続元・ルートFだけが使う要素</t>
  </si>
  <si>
    <t>ルートFのデータが流れる線</t>
  </si>
  <si>
    <t>ルートFのポイント</t>
  </si>
  <si>
    <t>部品　│　方眼に吸着・16点接続・7色（共通＋6ルート）の図形部品集</t>
  </si>
  <si>
    <t>使い方：部品をクリック → Ctrl＋C →「構成図」で貼り付けたい位置のセルを選択 → Ctrl＋V（部品の左上がそのセルに揃います）。文字はダブルクリックで編集。「構成図」右側の7色の部品パレットからは Ctrl＋ドラッグで複製できます。</t>
  </si>
  <si>
    <t>接続点ガイド　─　どの図形も16か所（各辺の両端と4等分点）</t>
  </si>
  <si>
    <t>● 各辺の両端（角）と4等分点、計16か所。左上の角＝1から時計回りに、上中央＝3、右中央＝7、下中央＝11、左中央＝15。</t>
  </si>
  <si>
    <t>● 図形の幅・高さを4マス単位（4・8・12・16マス）にすると、16か所すべてが方眼の線上に乗り、線がまっすぐつながります。</t>
  </si>
  <si>
    <t>● 円は円周を16等分。円柱・カプセル・ファイル・付箋も16か所（角の点は輪郭線の上）。線の端を図形に近づけると接続点（灰色の点）が表示されます。</t>
  </si>
  <si>
    <t>● 1つの辺に角を含めて5つの接続点。中央寄りの3点を優先して使います（例：左辺の16・15・14番に、ルートA・B・Cの線を入れる）。</t>
  </si>
  <si>
    <t>● 色：共通＝モノトーン、A＝藍、B＝青緑、C＝橙、D＝紫、E＝ローズ、F＝オリーブ。ルート名は「表紙」のルート定義で設定（凡例に自動表示）。</t>
  </si>
  <si>
    <t>A　ノード（16点接続の図形）</t>
  </si>
  <si>
    <t>四角・円・円柱など、どの図形も16か所の接続点つき。大きさは4マス単位（標準 8×4マス）。接続元＝ルートの色、共通の要素＝モノトーンにします。</t>
  </si>
  <si>
    <t>D：ルートD（紫）</t>
  </si>
  <si>
    <t>E：ルートE（ローズ）</t>
  </si>
  <si>
    <t>F：ルートF（オリーブ）</t>
  </si>
  <si>
    <t>8×4マス（横長は12×4に伸ばす）</t>
  </si>
  <si>
    <t>小ノード／円</t>
  </si>
  <si>
    <t>ゲートウェイ・利用者</t>
  </si>
  <si>
    <t>円柱／ファイル</t>
  </si>
  <si>
    <t>DB・ストレージ／ファイル・CSV</t>
  </si>
  <si>
    <t>API・キュー・イベント</t>
  </si>
  <si>
    <t>8×8マス〜（枠自体も接続可）</t>
  </si>
  <si>
    <t>アイコンを16点接続にする</t>
  </si>
  <si>
    <t>ポイント・付記事項を書き込む図形です。説明するルートの色に合わせます（共通の注記はモノトーン）。本文はダブルクリックで編集。幅は自由に伸ばせます。</t>
  </si>
  <si>
    <t>8×4マス（グループ）</t>
  </si>
  <si>
    <t>8×3マス（グループ）</t>
  </si>
  <si>
    <t>確定後は削除</t>
  </si>
  <si>
    <t>番号付き注記</t>
  </si>
  <si>
    <t>（6×2マス）</t>
  </si>
  <si>
    <t>連携番号は「ルート記号＋連番」（A1・B1・C1…F1）。白黒印刷でもルートが分かり、「連携一覧」の No. と対応します。</t>
  </si>
  <si>
    <t>ゾーンは接続元のまとまり（ルートの淡色）、AWS・VPC等の枠はモノトーン。枠は最背面に置きます（右クリック →［最背面へ移動］）。大きさは自由です。</t>
  </si>
  <si>
    <t>大きさは自由（4マス単位）</t>
  </si>
  <si>
    <t>AWS・ネットワーク・拠点の枠</t>
  </si>
  <si>
    <t>AWS Cloud／VPC／サブネット</t>
  </si>
  <si>
    <t>論理グループ／拠点／新規・変更</t>
  </si>
  <si>
    <t>「構成図」に配置済みの凡例と同じものです。ルート名は「表紙」のルート定義と連動して表示されます（凡例の文字は表紙で編集。使わないルートは凡例から削除）。</t>
  </si>
  <si>
    <t>▶ A　ノード（16点接続）</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</si>
</sst>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39" x14ac:knownFonts="1">
    <font>
      <sz val="9"/>
      <color theme="1"/>
      <name val="Meiryo UI"/>
      <family val="2"/>
    </font>
    <font>
      <sz val="9"/>
      <color rgb="FF262626"/>
      <name val="Meiryo UI"/>
      <family val="2"/>
    </font>
    <font>
      <b/>
      <sz val="9"/>
      <color rgb="FF7F7F7F"/>
      <name val="Meiryo UI"/>
      <family val="2"/>
    </font>
    <font>
      <b/>
      <sz val="28"/>
      <color rgb="FF262626"/>
      <name val="Meiryo UI"/>
      <family val="2"/>
    </font>
    <font>
      <sz val="12"/>
      <color rgb="FF595959"/>
      <name val="Meiryo UI"/>
      <family val="2"/>
    </font>
    <font>
      <b/>
      <sz val="11"/>
      <color rgb="FF262626"/>
      <name val="Meiryo UI"/>
      <family val="2"/>
    </font>
    <font>
      <sz val="8"/>
      <color rgb="FF7F7F7F"/>
      <name val="Meiryo UI"/>
      <family val="2"/>
    </font>
    <font>
      <b/>
      <sz val="9"/>
      <color rgb="FF262626"/>
      <name val="Meiryo UI"/>
      <family val="2"/>
    </font>
    <font>
      <sz val="10"/>
      <color rgb="FF262626"/>
      <name val="Meiryo UI"/>
      <family val="2"/>
    </font>
    <font>
      <b/>
      <sz val="9"/>
      <color rgb="FFFFFFFF"/>
      <name val="Meiryo UI"/>
      <family val="2"/>
    </font>
    <font>
      <sz val="9"/>
      <color rgb="FF595959"/>
      <name val="Meiryo UI"/>
      <family val="2"/>
    </font>
    <font>
      <b/>
      <u/>
      <sz val="9"/>
      <color rgb="FF262626"/>
      <name val="Meiryo UI"/>
      <family val="2"/>
    </font>
    <font>
      <b/>
      <sz val="11"/>
      <color rgb="FF315C92"/>
      <name val="Meiryo UI"/>
      <family val="2"/>
    </font>
    <font>
      <b/>
      <sz val="7.5"/>
      <color rgb="FFFFFFFF"/>
      <name val="Meiryo UI"/>
      <family val="2"/>
    </font>
    <font>
      <b/>
      <sz val="10"/>
      <color rgb="FF262626"/>
      <name val="Meiryo UI"/>
      <family val="2"/>
    </font>
    <font>
      <sz val="8.5"/>
      <color rgb="FF404040"/>
      <name val="Meiryo UI"/>
      <family val="2"/>
    </font>
    <font>
      <b/>
      <sz val="11"/>
      <color rgb="FF247966"/>
      <name val="Meiryo UI"/>
      <family val="2"/>
    </font>
    <font>
      <b/>
      <sz val="11"/>
      <color rgb="FFC46B39"/>
      <name val="Meiryo UI"/>
      <family val="2"/>
    </font>
    <font>
      <b/>
      <sz val="9"/>
      <color rgb="FF404040"/>
      <name val="Meiryo UI"/>
      <family val="2"/>
    </font>
    <font>
      <sz val="8.5"/>
      <color rgb="FF595959"/>
      <name val="Meiryo UI"/>
      <family val="2"/>
    </font>
    <font>
      <sz val="7.5"/>
      <color rgb="FF7F7F7F"/>
      <name val="Meiryo UI"/>
      <family val="2"/>
    </font>
    <font>
      <b/>
      <sz val="13"/>
      <color rgb="FFFFFFFF"/>
      <name val="Meiryo UI"/>
      <family val="2"/>
    </font>
    <font>
      <b/>
      <sz val="11"/>
      <color rgb="FFFFFFFF"/>
      <name val="Meiryo UI"/>
      <family val="2"/>
    </font>
    <font>
      <sz val="9"/>
      <color rgb="FF262626"/>
      <name val="Meiryo UI"/>
      <family val="2"/>
    </font>
    <font>
      <sz val="8.5"/>
      <color rgb="FF262626"/>
      <name val="Meiryo UI"/>
      <family val="2"/>
    </font>
    <font>
      <b/>
      <sz val="16"/>
      <color rgb="FF262626"/>
      <name val="Meiryo UI"/>
      <family val="2"/>
    </font>
    <font>
      <b/>
      <sz val="10"/>
      <color rgb="FFFFFFFF"/>
      <name val="Meiryo UI"/>
      <family val="2"/>
    </font>
    <font>
      <sz val="8"/>
      <color rgb="FF595959"/>
      <name val="Meiryo UI"/>
      <family val="2"/>
    </font>
    <font>
      <b/>
      <sz val="8.5"/>
      <color rgb="FFFFFFFF"/>
      <name val="Meiryo UI"/>
      <family val="2"/>
    </font>
    <font>
      <b/>
      <sz val="7.5"/>
      <color rgb="FF7F7F7F"/>
      <name val="Meiryo UI"/>
      <family val="2"/>
    </font>
    <font>
      <u/>
      <sz val="8.5"/>
      <color rgb="FF262626"/>
      <name val="Meiryo UI"/>
      <family val="2"/>
    </font>
    <font>
      <sz val="8.5"/>
      <color rgb="FF262626"/>
      <name val="Meiryo UI"/>
      <family val="2"/>
    </font>
    <font>
      <u/>
      <sz val="8"/>
      <color rgb="FFFFFFFF"/>
      <name val="Meiryo UI"/>
      <family val="2"/>
    </font>
    <font>
      <b/>
      <sz val="14"/>
      <color rgb="FF262626"/>
      <name val="Meiryo UI"/>
      <family val="2"/>
    </font>
    <font>
      <sz val="8.5"/>
      <color rgb="FF7F7F7F"/>
      <name val="Meiryo UI"/>
      <family val="2"/>
    </font>
    <font>
      <sz val="6"/>
      <name val="ＭＳ Ｐゴシック"/>
      <family val="3"/>
      <charset val="128"/>
    </font>
    <font>
      <b/>
      <sz val="11"/>
      <color rgb="FF876BA6"/>
      <name val="Meiryo UI"/>
      <family val="2"/>
    </font>
    <font>
      <b/>
      <sz val="11"/>
      <color rgb="FFB04B68"/>
      <name val="Meiryo UI"/>
      <family val="2"/>
    </font>
    <font>
      <b/>
      <sz val="11"/>
      <color rgb="FF6B651D"/>
      <name val="Meiryo UI"/>
      <family val="2"/>
    </font>
  </fonts>
  <fills count="12">
    <fill>
      <patternFill patternType="none"/>
    </fill>
    <fill>
      <patternFill patternType="gray125"/>
    </fill>
    <fill>
      <patternFill patternType="solid">
        <fgColor rgb="FF262626"/>
        <bgColor indexed="64"/>
      </patternFill>
    </fill>
    <fill>
      <patternFill patternType="solid">
        <fgColor rgb="FFF2F2F2"/>
        <bgColor indexed="64"/>
      </patternFill>
    </fill>
    <fill>
      <patternFill patternType="solid">
        <fgColor rgb="FF404040"/>
        <bgColor indexed="64"/>
      </patternFill>
    </fill>
    <fill>
      <patternFill patternType="solid">
        <fgColor rgb="FF315C92"/>
        <bgColor indexed="64"/>
      </patternFill>
    </fill>
    <fill>
      <patternFill patternType="solid">
        <fgColor rgb="FF247966"/>
        <bgColor indexed="64"/>
      </patternFill>
    </fill>
    <fill>
      <patternFill patternType="solid">
        <fgColor rgb="FFC46B39"/>
        <bgColor indexed="64"/>
      </patternFill>
    </fill>
    <fill>
      <patternFill patternType="solid">
        <fgColor rgb="FF7F7F7F"/>
        <bgColor indexed="64"/>
      </patternFill>
    </fill>
    <fill>
      <patternFill patternType="solid">
        <fgColor rgb="FF876BA6"/>
        <bgColor indexed="64"/>
      </patternFill>
    </fill>
    <fill>
      <patternFill patternType="solid">
        <fgColor rgb="FFB04B68"/>
        <bgColor indexed="64"/>
      </patternFill>
    </fill>
    <fill>
      <patternFill patternType="solid">
        <fgColor rgb="FF6B651D"/>
        <bgColor indexed="64"/>
      </patternFill>
    </fill>
  </fills>
  <borders count="16">
    <border>
      <left/>
      <right/>
      <top/>
      <bottom/>
      <diagonal/>
    </border>
    <border>
      <left/>
      <right/>
      <top/>
      <bottom style="thick">
        <color rgb="FF262626"/>
      </bottom>
      <diagonal/>
    </border>
    <border>
      <left style="thin">
        <color rgb="FFBFBFBF"/>
      </left>
      <right style="thin">
        <color rgb="FFBFBFBF"/>
      </right>
      <top style="thin">
        <color rgb="FFBFBFBF"/>
      </top>
      <bottom style="thin">
        <color rgb="FFBFBFBF"/>
      </bottom>
      <diagonal/>
    </border>
    <border>
      <left/>
      <right/>
      <top/>
      <bottom style="thin">
        <color rgb="FFD9D9D9"/>
      </bottom>
      <diagonal/>
    </border>
    <border>
      <left/>
      <right/>
      <top/>
      <bottom style="thin">
        <color rgb="FFFFFFFF"/>
      </bottom>
      <diagonal/>
    </border>
    <border>
      <left style="thin">
        <color rgb="FFA6A6A6"/>
      </left>
      <right style="thin">
        <color rgb="FFA6A6A6"/>
      </right>
      <top style="thin">
        <color rgb="FFA6A6A6"/>
      </top>
      <bottom style="thin">
        <color rgb="FFA6A6A6"/>
      </bottom>
      <diagonal/>
    </border>
    <border>
      <left style="thin">
        <color rgb="FFA6A6A6"/>
      </left>
      <right/>
      <top style="thin">
        <color rgb="FFA6A6A6"/>
      </top>
      <bottom/>
      <diagonal/>
    </border>
    <border>
      <left/>
      <right/>
      <top style="thin">
        <color rgb="FFA6A6A6"/>
      </top>
      <bottom/>
      <diagonal/>
    </border>
    <border>
      <left/>
      <right style="thin">
        <color rgb="FFA6A6A6"/>
      </right>
      <top style="thin">
        <color rgb="FFA6A6A6"/>
      </top>
      <bottom/>
      <diagonal/>
    </border>
    <border>
      <left style="thin">
        <color rgb="FFA6A6A6"/>
      </left>
      <right/>
      <top/>
      <bottom/>
      <diagonal/>
    </border>
    <border>
      <left/>
      <right style="thin">
        <color rgb="FFA6A6A6"/>
      </right>
      <top/>
      <bottom/>
      <diagonal/>
    </border>
    <border>
      <left style="thin">
        <color rgb="FFA6A6A6"/>
      </left>
      <right/>
      <top/>
      <bottom style="thin">
        <color rgb="FFA6A6A6"/>
      </bottom>
      <diagonal/>
    </border>
    <border>
      <left/>
      <right/>
      <top/>
      <bottom style="thin">
        <color rgb="FFA6A6A6"/>
      </bottom>
      <diagonal/>
    </border>
    <border>
      <left/>
      <right style="thin">
        <color rgb="FFA6A6A6"/>
      </right>
      <top/>
      <bottom style="thin">
        <color rgb="FFA6A6A6"/>
      </bottom>
      <diagonal/>
    </border>
    <border>
      <left style="thin">
        <color rgb="FF404040"/>
      </left>
      <right style="thin">
        <color rgb="FF404040"/>
      </right>
      <top style="thin">
        <color rgb="FF404040"/>
      </top>
      <bottom style="thin">
        <color rgb="FF404040"/>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90">
    <xf numFmtId="0" fontId="0" fillId="0" borderId="0" xfId="0"/>
    <xf numFmtId="0" fontId="1" fillId="2" borderId="0" xfId="0" applyFont="1" applyFill="1" applyAlignment="1">
      <alignment vertical="center"/>
    </xf>
    <xf numFmtId="0" fontId="1" fillId="0" borderId="1" xfId="0" applyFont="1" applyBorder="1" applyAlignment="1">
      <alignment vertical="center"/>
    </xf>
    <xf numFmtId="0" fontId="1" fillId="4" borderId="0" xfId="0" applyFont="1" applyFill="1" applyAlignment="1">
      <alignment vertical="center"/>
    </xf>
    <xf numFmtId="0" fontId="1" fillId="5" borderId="0" xfId="0" applyFont="1" applyFill="1" applyAlignment="1">
      <alignment vertical="center"/>
    </xf>
    <xf numFmtId="0" fontId="1" fillId="6" borderId="0" xfId="0" applyFont="1" applyFill="1" applyAlignment="1">
      <alignment vertical="center"/>
    </xf>
    <xf numFmtId="0" fontId="1" fillId="7" borderId="0" xfId="0" applyFont="1" applyFill="1" applyAlignment="1">
      <alignment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8" xfId="0" applyFont="1" applyBorder="1" applyAlignment="1">
      <alignment vertical="center"/>
    </xf>
    <xf numFmtId="0" fontId="1" fillId="0" borderId="9" xfId="0" applyFont="1" applyBorder="1" applyAlignment="1">
      <alignment vertical="center"/>
    </xf>
    <xf numFmtId="0" fontId="1" fillId="0" borderId="10" xfId="0" applyFont="1" applyBorder="1" applyAlignment="1">
      <alignment vertical="center"/>
    </xf>
    <xf numFmtId="0" fontId="1" fillId="0" borderId="11"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vertical="center"/>
    </xf>
    <xf numFmtId="0" fontId="9" fillId="4" borderId="14" xfId="0" applyFont="1" applyFill="1" applyBorder="1" applyAlignment="1">
      <alignment horizontal="center" vertical="center" wrapText="1"/>
    </xf>
    <xf numFmtId="0" fontId="1" fillId="0" borderId="15" xfId="0" applyFont="1" applyBorder="1" applyAlignment="1">
      <alignment vertical="center" wrapText="1"/>
    </xf>
    <xf numFmtId="0" fontId="2" fillId="0" borderId="0" xfId="0" applyFont="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6" fillId="0" borderId="0" xfId="0" applyFont="1" applyAlignment="1">
      <alignment vertical="center"/>
    </xf>
    <xf numFmtId="0" fontId="7" fillId="3" borderId="2" xfId="0" applyFont="1" applyFill="1" applyBorder="1" applyAlignment="1">
      <alignment horizontal="left" vertical="center" indent="1"/>
    </xf>
    <xf numFmtId="0" fontId="8" fillId="0" borderId="2" xfId="0" applyFont="1" applyBorder="1" applyAlignment="1">
      <alignment horizontal="left" vertical="center" indent="1"/>
    </xf>
    <xf numFmtId="176" fontId="8" fillId="0" borderId="2" xfId="0" applyNumberFormat="1" applyFont="1" applyBorder="1" applyAlignment="1">
      <alignment horizontal="left" vertical="center" indent="1"/>
    </xf>
    <xf numFmtId="0" fontId="9" fillId="4" borderId="0" xfId="0" applyFont="1" applyFill="1" applyAlignment="1">
      <alignment horizontal="center" vertical="center"/>
    </xf>
    <xf numFmtId="0" fontId="9" fillId="4" borderId="0" xfId="0" applyFont="1" applyFill="1" applyAlignment="1">
      <alignment horizontal="left" vertical="center" indent="1"/>
    </xf>
    <xf numFmtId="0" fontId="10" fillId="0" borderId="3" xfId="0" applyFont="1" applyBorder="1" applyAlignment="1">
      <alignment horizontal="center" vertical="center"/>
    </xf>
    <xf numFmtId="0" fontId="11" fillId="0" borderId="3" xfId="0" applyFont="1" applyBorder="1" applyAlignment="1">
      <alignment horizontal="left" vertical="center" indent="1"/>
    </xf>
    <xf numFmtId="0" fontId="1" fillId="0" borderId="3" xfId="0" applyFont="1" applyBorder="1" applyAlignment="1">
      <alignment horizontal="left" vertical="center" indent="1"/>
    </xf>
    <xf numFmtId="0" fontId="12" fillId="0" borderId="3" xfId="0" applyFont="1" applyBorder="1" applyAlignment="1">
      <alignment horizontal="center" vertical="center"/>
    </xf>
    <xf numFmtId="0" fontId="13" fillId="5" borderId="4" xfId="0" applyFont="1" applyFill="1" applyBorder="1" applyAlignment="1">
      <alignment horizontal="center" vertical="center" shrinkToFit="1"/>
    </xf>
    <xf numFmtId="0" fontId="14" fillId="0" borderId="2" xfId="0" applyFont="1" applyBorder="1" applyAlignment="1">
      <alignment horizontal="left" vertical="center" indent="1"/>
    </xf>
    <xf numFmtId="0" fontId="15" fillId="0" borderId="3" xfId="0" applyFont="1" applyBorder="1" applyAlignment="1">
      <alignment horizontal="left" vertical="center" indent="1" shrinkToFit="1"/>
    </xf>
    <xf numFmtId="0" fontId="16" fillId="0" borderId="3" xfId="0" applyFont="1" applyBorder="1" applyAlignment="1">
      <alignment horizontal="center" vertical="center"/>
    </xf>
    <xf numFmtId="0" fontId="13" fillId="6" borderId="4" xfId="0" applyFont="1" applyFill="1" applyBorder="1" applyAlignment="1">
      <alignment horizontal="center" vertical="center" shrinkToFit="1"/>
    </xf>
    <xf numFmtId="0" fontId="17" fillId="0" borderId="3" xfId="0" applyFont="1" applyBorder="1" applyAlignment="1">
      <alignment horizontal="center" vertical="center"/>
    </xf>
    <xf numFmtId="0" fontId="13" fillId="7" borderId="4" xfId="0" applyFont="1" applyFill="1" applyBorder="1" applyAlignment="1">
      <alignment horizontal="center" vertical="center" shrinkToFit="1"/>
    </xf>
    <xf numFmtId="0" fontId="18" fillId="0" borderId="3" xfId="0" applyFont="1" applyBorder="1" applyAlignment="1">
      <alignment horizontal="center" vertical="center"/>
    </xf>
    <xf numFmtId="0" fontId="13" fillId="4" borderId="4" xfId="0" applyFont="1" applyFill="1" applyBorder="1" applyAlignment="1">
      <alignment horizontal="center" vertical="center" shrinkToFit="1"/>
    </xf>
    <xf numFmtId="0" fontId="10" fillId="0" borderId="3" xfId="0" applyFont="1" applyBorder="1" applyAlignment="1">
      <alignment horizontal="left" vertical="center" indent="1"/>
    </xf>
    <xf numFmtId="0" fontId="1" fillId="0" borderId="2" xfId="0" applyFont="1" applyBorder="1" applyAlignment="1">
      <alignment horizontal="center" vertical="center"/>
    </xf>
    <xf numFmtId="176" fontId="1" fillId="0" borderId="2" xfId="0" applyNumberFormat="1" applyFont="1" applyBorder="1" applyAlignment="1">
      <alignment horizontal="center" vertical="center"/>
    </xf>
    <xf numFmtId="0" fontId="1" fillId="0" borderId="2" xfId="0" applyFont="1" applyBorder="1" applyAlignment="1">
      <alignment horizontal="left" vertical="center" indent="1"/>
    </xf>
    <xf numFmtId="0" fontId="19" fillId="0" borderId="0" xfId="0" applyFont="1" applyAlignment="1">
      <alignment vertical="center"/>
    </xf>
    <xf numFmtId="0" fontId="20" fillId="0" borderId="0" xfId="0" applyFont="1" applyAlignment="1">
      <alignment vertical="center"/>
    </xf>
    <xf numFmtId="0" fontId="6" fillId="0" borderId="0" xfId="0" applyFont="1" applyAlignment="1">
      <alignment horizontal="center" vertical="center"/>
    </xf>
    <xf numFmtId="0" fontId="6" fillId="0" borderId="0" xfId="0" applyFont="1" applyAlignment="1">
      <alignment horizontal="right" vertical="center"/>
    </xf>
    <xf numFmtId="0" fontId="21" fillId="2" borderId="0" xfId="0" applyFont="1" applyFill="1" applyAlignment="1">
      <alignment horizontal="left" vertical="center" indent="1"/>
    </xf>
    <xf numFmtId="0" fontId="22" fillId="4" borderId="0" xfId="0" applyFont="1" applyFill="1" applyAlignment="1">
      <alignment horizontal="left" vertical="center" indent="1"/>
    </xf>
    <xf numFmtId="0" fontId="7" fillId="0" borderId="3" xfId="0" applyFont="1" applyBorder="1" applyAlignment="1">
      <alignment horizontal="left" vertical="center" indent="1"/>
    </xf>
    <xf numFmtId="0" fontId="23" fillId="0" borderId="3" xfId="0" applyFont="1" applyBorder="1" applyAlignment="1">
      <alignment horizontal="left" vertical="center" indent="1"/>
    </xf>
    <xf numFmtId="0" fontId="23" fillId="0" borderId="0" xfId="0" applyFont="1" applyAlignment="1">
      <alignment vertical="center"/>
    </xf>
    <xf numFmtId="0" fontId="24" fillId="0" borderId="0" xfId="0" applyFont="1" applyAlignment="1">
      <alignment vertical="center"/>
    </xf>
    <xf numFmtId="0" fontId="25" fillId="0" borderId="0" xfId="0" applyFont="1" applyAlignment="1">
      <alignment vertical="center"/>
    </xf>
    <xf numFmtId="0" fontId="10" fillId="0" borderId="0" xfId="0" applyFont="1" applyAlignment="1">
      <alignment vertical="center"/>
    </xf>
    <xf numFmtId="0" fontId="6" fillId="3" borderId="5" xfId="0" applyFont="1" applyFill="1" applyBorder="1" applyAlignment="1">
      <alignment horizontal="center" vertical="center"/>
    </xf>
    <xf numFmtId="0" fontId="5" fillId="0" borderId="5" xfId="0" applyFont="1" applyBorder="1" applyAlignment="1">
      <alignment horizontal="center" vertical="center"/>
    </xf>
    <xf numFmtId="0" fontId="8" fillId="0" borderId="5" xfId="0" applyFont="1" applyBorder="1" applyAlignment="1">
      <alignment horizontal="center" vertical="center"/>
    </xf>
    <xf numFmtId="176" fontId="8" fillId="0" borderId="5" xfId="0" applyNumberFormat="1" applyFont="1" applyBorder="1" applyAlignment="1">
      <alignment horizontal="center" vertical="center"/>
    </xf>
    <xf numFmtId="0" fontId="26" fillId="4" borderId="0" xfId="0" applyFont="1" applyFill="1" applyAlignment="1">
      <alignment horizontal="left" vertical="center" indent="1"/>
    </xf>
    <xf numFmtId="0" fontId="27" fillId="3" borderId="0" xfId="0" applyFont="1" applyFill="1" applyAlignment="1">
      <alignment horizontal="left" vertical="center" indent="1"/>
    </xf>
    <xf numFmtId="0" fontId="28" fillId="4" borderId="0" xfId="0" applyFont="1" applyFill="1" applyAlignment="1">
      <alignment horizontal="center" vertical="center"/>
    </xf>
    <xf numFmtId="0" fontId="28" fillId="5" borderId="0" xfId="0" applyFont="1" applyFill="1" applyAlignment="1">
      <alignment horizontal="center" vertical="center"/>
    </xf>
    <xf numFmtId="0" fontId="28" fillId="6" borderId="0" xfId="0" applyFont="1" applyFill="1" applyAlignment="1">
      <alignment horizontal="center" vertical="center"/>
    </xf>
    <xf numFmtId="0" fontId="28" fillId="7" borderId="0" xfId="0" applyFont="1" applyFill="1" applyAlignment="1">
      <alignment horizontal="center" vertical="center"/>
    </xf>
    <xf numFmtId="0" fontId="29" fillId="0" borderId="0" xfId="0" applyFont="1" applyAlignment="1">
      <alignment vertical="center"/>
    </xf>
    <xf numFmtId="0" fontId="15" fillId="3" borderId="0" xfId="0" applyFont="1" applyFill="1" applyAlignment="1">
      <alignment horizontal="left" vertical="center" indent="1"/>
    </xf>
    <xf numFmtId="0" fontId="14" fillId="0" borderId="0" xfId="0" applyFont="1" applyAlignment="1">
      <alignment vertical="center"/>
    </xf>
    <xf numFmtId="0" fontId="15" fillId="0" borderId="0" xfId="0" applyFont="1" applyAlignment="1">
      <alignment vertical="center"/>
    </xf>
    <xf numFmtId="0" fontId="32" fillId="4" borderId="0" xfId="0" applyFont="1" applyFill="1" applyAlignment="1">
      <alignment horizontal="center" vertical="center"/>
    </xf>
    <xf numFmtId="0" fontId="28" fillId="8" borderId="0" xfId="0" applyFont="1" applyFill="1" applyAlignment="1">
      <alignment horizontal="left" vertical="center" indent="1"/>
    </xf>
    <xf numFmtId="0" fontId="7" fillId="0" borderId="0" xfId="0" applyFont="1" applyAlignment="1">
      <alignment horizontal="left" vertical="center" indent="1"/>
    </xf>
    <xf numFmtId="0" fontId="20" fillId="0" borderId="0" xfId="0" applyFont="1" applyAlignment="1">
      <alignment horizontal="left" vertical="center" indent="1"/>
    </xf>
    <xf numFmtId="0" fontId="30" fillId="0" borderId="0" xfId="0" applyFont="1" applyAlignment="1">
      <alignment vertical="center"/>
    </xf>
    <xf numFmtId="0" fontId="31" fillId="0" borderId="0" xfId="0" applyFont="1" applyAlignment="1">
      <alignment vertical="center"/>
    </xf>
    <xf numFmtId="0" fontId="33" fillId="0" borderId="0" xfId="0" applyFont="1" applyAlignment="1">
      <alignment vertical="center"/>
    </xf>
    <xf numFmtId="0" fontId="34" fillId="0" borderId="0" xfId="0" applyFont="1" applyAlignment="1">
      <alignment vertical="center"/>
    </xf>
    <xf numFmtId="0" fontId="36" fillId="0" borderId="3" xfId="0" applyFont="1" applyBorder="1" applyAlignment="1">
      <alignment horizontal="center" vertical="center"/>
    </xf>
    <xf numFmtId="0" fontId="13" fillId="9" borderId="4" xfId="0" applyFont="1" applyFill="1" applyBorder="1" applyAlignment="1">
      <alignment horizontal="center" vertical="center" shrinkToFit="1"/>
    </xf>
    <xf numFmtId="0" fontId="28" fillId="9" borderId="0" xfId="0" applyFont="1" applyFill="1" applyAlignment="1">
      <alignment horizontal="center" vertical="center"/>
    </xf>
    <xf numFmtId="0" fontId="1" fillId="9" borderId="0" xfId="0" applyFont="1" applyFill="1" applyAlignment="1">
      <alignment vertical="center"/>
    </xf>
    <xf numFmtId="0" fontId="37" fillId="0" borderId="3" xfId="0" applyFont="1" applyBorder="1" applyAlignment="1">
      <alignment horizontal="center" vertical="center"/>
    </xf>
    <xf numFmtId="0" fontId="13" fillId="10" borderId="4" xfId="0" applyFont="1" applyFill="1" applyBorder="1" applyAlignment="1">
      <alignment horizontal="center" vertical="center" shrinkToFit="1"/>
    </xf>
    <xf numFmtId="0" fontId="28" fillId="10" borderId="0" xfId="0" applyFont="1" applyFill="1" applyAlignment="1">
      <alignment horizontal="center" vertical="center"/>
    </xf>
    <xf numFmtId="0" fontId="1" fillId="10" borderId="0" xfId="0" applyFont="1" applyFill="1" applyAlignment="1">
      <alignment vertical="center"/>
    </xf>
    <xf numFmtId="0" fontId="38" fillId="0" borderId="3" xfId="0" applyFont="1" applyBorder="1" applyAlignment="1">
      <alignment horizontal="center" vertical="center"/>
    </xf>
    <xf numFmtId="0" fontId="13" fillId="11" borderId="4" xfId="0" applyFont="1" applyFill="1" applyBorder="1" applyAlignment="1">
      <alignment horizontal="center" vertical="center" shrinkToFit="1"/>
    </xf>
    <xf numFmtId="0" fontId="28" fillId="11" borderId="0" xfId="0" applyFont="1" applyFill="1" applyAlignment="1">
      <alignment horizontal="center" vertical="center"/>
    </xf>
    <xf numFmtId="0" fontId="1" fillId="11" borderId="0" xfId="0" applyFont="1" applyFill="1" applyAlignment="1">
      <alignment vertical="center"/>
    </xf>
  </cellXfs>
  <cellStyles count="1">
    <cellStyle name="標準" xfId="0" builtinId="0"/>
  </cellStyles>
  <dxfs count="30">
    <dxf>
      <font>
        <b/>
        <color rgb="FF404040"/>
      </font>
      <fill>
        <patternFill>
          <bgColor rgb="FFF2F2F2"/>
        </patternFill>
      </fill>
    </dxf>
    <dxf>
      <font>
        <b/>
        <color rgb="FF954717"/>
      </font>
      <fill>
        <patternFill>
          <bgColor rgb="FFFDECE4"/>
        </patternFill>
      </fill>
    </dxf>
    <dxf>
      <font>
        <b/>
        <color rgb="FF005243"/>
      </font>
      <fill>
        <patternFill>
          <bgColor rgb="FFE3F5EF"/>
        </patternFill>
      </fill>
    </dxf>
    <dxf>
      <font>
        <b/>
        <color rgb="FF113866"/>
      </font>
      <fill>
        <patternFill>
          <bgColor rgb="FFE7F1FF"/>
        </patternFill>
      </fill>
    </dxf>
    <dxf>
      <font>
        <b/>
        <color rgb="FF404040"/>
      </font>
      <fill>
        <patternFill>
          <bgColor rgb="FFF2F2F2"/>
        </patternFill>
      </fill>
    </dxf>
    <dxf>
      <font>
        <b/>
        <color rgb="FF954717"/>
      </font>
      <fill>
        <patternFill>
          <bgColor rgb="FFFDECE4"/>
        </patternFill>
      </fill>
    </dxf>
    <dxf>
      <font>
        <b/>
        <color rgb="FF005243"/>
      </font>
      <fill>
        <patternFill>
          <bgColor rgb="FFE3F5EF"/>
        </patternFill>
      </fill>
    </dxf>
    <dxf>
      <font>
        <b/>
        <color rgb="FF113866"/>
      </font>
      <fill>
        <patternFill>
          <bgColor rgb="FFE7F1FF"/>
        </patternFill>
      </fill>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color rgb="FF262626"/>
      </font>
      <border>
        <left style="thin">
          <color rgb="FFD9D9D9"/>
        </left>
        <right style="thin">
          <color rgb="FFD9D9D9"/>
        </right>
        <top style="thin">
          <color rgb="FFD9D9D9"/>
        </top>
        <bottom style="thin">
          <color rgb="FFD9D9D9"/>
        </bottom>
        <vertical/>
        <horizontal/>
      </border>
    </dxf>
    <dxf>
      <font>
        <b/>
        <color rgb="FF5D4578"/>
      </font>
      <fill>
        <patternFill>
          <bgColor rgb="FFF5EEFC"/>
        </patternFill>
      </fill>
    </dxf>
    <dxf>
      <font>
        <b/>
        <color rgb="FF7E2643"/>
      </font>
      <fill>
        <patternFill>
          <bgColor rgb="FFFFECF0"/>
        </patternFill>
      </fill>
    </dxf>
    <dxf>
      <font>
        <b/>
        <color rgb="FF433F00"/>
      </font>
      <fill>
        <patternFill>
          <bgColor rgb="FFF4F1E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image" Target="../media/image4.svg"/><Relationship Id="rId1" Type="http://schemas.openxmlformats.org/officeDocument/2006/relationships/image" Target="../media/image3.png"/><Relationship Id="rId4" Type="http://schemas.openxmlformats.org/officeDocument/2006/relationships/image" Target="../media/image2.sv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40</xdr:row>
      <xdr:rowOff>0</xdr:rowOff>
    </xdr:from>
    <xdr:to>
      <xdr:col>14</xdr:col>
      <xdr:colOff>0</xdr:colOff>
      <xdr:row>44</xdr:row>
      <xdr:rowOff>0</xdr:rowOff>
    </xdr:to>
    <xdr:sp macro="" textlink="">
      <xdr:nvSpPr>
        <xdr:cNvPr id="2" name="作成の流れ: 1">
          <a:extLst>
            <a:ext uri="{FF2B5EF4-FFF2-40B4-BE49-F238E27FC236}">
              <a16:creationId xmlns:a16="http://schemas.microsoft.com/office/drawing/2014/main" id="{00000000-0008-0000-0000-000002000000}"/>
            </a:ext>
          </a:extLst>
        </xdr:cNvPr>
        <xdr:cNvSpPr/>
      </xdr:nvSpPr>
      <xdr:spPr>
        <a:xfrm>
          <a:off x="381000" y="7620000"/>
          <a:ext cx="2286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2700" cap="flat">
          <a:solidFill>
            <a:srgbClr val="404040"/>
          </a:solidFill>
          <a:round/>
        </a:ln>
      </xdr:spPr>
      <xdr:txBody>
        <a:bodyPr vertOverflow="overflow" horzOverflow="overflow" wrap="square" lIns="50800" tIns="25400" rIns="50800" bIns="25400" rtlCol="0" anchor="ctr">
          <a:noAutofit/>
        </a:bodyPr>
        <a:lstStyle/>
        <a:p>
          <a:pPr algn="ctr"/>
          <a:r>
            <a:rPr lang="ja-JP" altLang="en-US" sz="1000" b="1" dirty="0">
              <a:solidFill>
                <a:srgbClr val="262626"/>
              </a:solidFill>
              <a:latin typeface="Meiryo UI"/>
              <a:ea typeface="Meiryo UI"/>
              <a:cs typeface="Meiryo UI"/>
            </a:rPr>
            <a:t>表紙に入力</a:t>
          </a:r>
          <a:endParaRPr lang="ja-JP" altLang="en-US" sz="1000" dirty="0">
            <a:latin typeface="Meiryo UI"/>
            <a:ea typeface="Meiryo UI"/>
          </a:endParaRPr>
        </a:p>
        <a:p>
          <a:pPr algn="ctr">
            <a:spcBef>
              <a:spcPts val="100"/>
            </a:spcBef>
          </a:pPr>
          <a:r>
            <a:rPr lang="ja-JP" altLang="en-US" sz="750" b="0" dirty="0">
              <a:solidFill>
                <a:srgbClr val="595959"/>
              </a:solidFill>
              <a:latin typeface="Meiryo UI"/>
              <a:ea typeface="Meiryo UI"/>
              <a:cs typeface="Meiryo UI"/>
            </a:rPr>
            <a:t>文書情報と</a:t>
          </a:r>
          <a:endParaRPr lang="ja-JP" altLang="en-US" sz="750" dirty="0">
            <a:latin typeface="Meiryo UI"/>
            <a:ea typeface="Meiryo UI"/>
          </a:endParaRPr>
        </a:p>
        <a:p>
          <a:pPr algn="ctr">
            <a:spcBef>
              <a:spcPts val="100"/>
            </a:spcBef>
          </a:pPr>
          <a:r>
            <a:rPr lang="ja-JP" altLang="en-US" sz="750" b="0" dirty="0">
              <a:solidFill>
                <a:srgbClr val="595959"/>
              </a:solidFill>
              <a:latin typeface="Meiryo UI"/>
              <a:ea typeface="Meiryo UI"/>
              <a:cs typeface="Meiryo UI"/>
            </a:rPr>
            <a:t>ルート定義（A〜F）</a:t>
          </a:r>
          <a:endParaRPr lang="ja-JP" altLang="en-US" sz="750" dirty="0">
            <a:latin typeface="Meiryo UI"/>
            <a:ea typeface="Meiryo UI"/>
          </a:endParaRPr>
        </a:p>
      </xdr:txBody>
    </xdr:sp>
    <xdr:clientData/>
  </xdr:twoCellAnchor>
  <xdr:twoCellAnchor editAs="oneCell">
    <xdr:from>
      <xdr:col>1</xdr:col>
      <xdr:colOff>95250</xdr:colOff>
      <xdr:row>39</xdr:row>
      <xdr:rowOff>95250</xdr:rowOff>
    </xdr:from>
    <xdr:to>
      <xdr:col>2</xdr:col>
      <xdr:colOff>95250</xdr:colOff>
      <xdr:row>40</xdr:row>
      <xdr:rowOff>95250</xdr:rowOff>
    </xdr:to>
    <xdr:sp macro="" textlink="">
      <xdr:nvSpPr>
        <xdr:cNvPr id="3" name="作成の流れ: 番号1">
          <a:extLst>
            <a:ext uri="{FF2B5EF4-FFF2-40B4-BE49-F238E27FC236}">
              <a16:creationId xmlns:a16="http://schemas.microsoft.com/office/drawing/2014/main" id="{00000000-0008-0000-0000-000003000000}"/>
            </a:ext>
          </a:extLst>
        </xdr:cNvPr>
        <xdr:cNvSpPr/>
      </xdr:nvSpPr>
      <xdr:spPr>
        <a:xfrm>
          <a:off x="285750" y="7524750"/>
          <a:ext cx="190500" cy="190500"/>
        </a:xfrm>
        <a:prstGeom prst="ellipse">
          <a:avLst/>
        </a:prstGeom>
        <a:solidFill>
          <a:srgbClr val="404040"/>
        </a:solidFill>
        <a:ln>
          <a:noFill/>
        </a:ln>
      </xdr:spPr>
      <xdr:txBody>
        <a:bodyPr vertOverflow="overflow" horzOverflow="overflow" wrap="none" lIns="0" tIns="0" rIns="0" bIns="0" rtlCol="0" anchor="ctr">
          <a:noAutofit/>
        </a:bodyPr>
        <a:lstStyle/>
        <a:p>
          <a:pPr algn="ctr"/>
          <a:r>
            <a:rPr lang="ja-JP" altLang="en-US" sz="800" b="1" dirty="0">
              <a:solidFill>
                <a:srgbClr val="FFFFFF"/>
              </a:solidFill>
              <a:latin typeface="Meiryo UI"/>
              <a:ea typeface="Meiryo UI"/>
              <a:cs typeface="Meiryo UI"/>
            </a:rPr>
            <a:t>1</a:t>
          </a:r>
          <a:endParaRPr lang="ja-JP" altLang="en-US" sz="800" dirty="0">
            <a:latin typeface="Meiryo UI"/>
            <a:ea typeface="Meiryo UI"/>
          </a:endParaRPr>
        </a:p>
      </xdr:txBody>
    </xdr:sp>
    <xdr:clientData/>
  </xdr:twoCellAnchor>
  <xdr:twoCellAnchor editAs="oneCell">
    <xdr:from>
      <xdr:col>14</xdr:col>
      <xdr:colOff>114300</xdr:colOff>
      <xdr:row>41</xdr:row>
      <xdr:rowOff>95250</xdr:rowOff>
    </xdr:from>
    <xdr:to>
      <xdr:col>16</xdr:col>
      <xdr:colOff>76200</xdr:colOff>
      <xdr:row>42</xdr:row>
      <xdr:rowOff>95250</xdr:rowOff>
    </xdr:to>
    <xdr:sp macro="" textlink="">
      <xdr:nvSpPr>
        <xdr:cNvPr id="4" name="作成の流れ: 矢印1">
          <a:extLst>
            <a:ext uri="{FF2B5EF4-FFF2-40B4-BE49-F238E27FC236}">
              <a16:creationId xmlns:a16="http://schemas.microsoft.com/office/drawing/2014/main" id="{00000000-0008-0000-0000-000004000000}"/>
            </a:ext>
          </a:extLst>
        </xdr:cNvPr>
        <xdr:cNvSpPr/>
      </xdr:nvSpPr>
      <xdr:spPr>
        <a:xfrm>
          <a:off x="2781300" y="7905750"/>
          <a:ext cx="342900" cy="190500"/>
        </a:xfrm>
        <a:prstGeom prst="rightArrow">
          <a:avLst>
            <a:gd name="adj1" fmla="val 50000"/>
            <a:gd name="adj2" fmla="val 50000"/>
          </a:avLst>
        </a:prstGeom>
        <a:solidFill>
          <a:srgbClr val="BFBFBF"/>
        </a:solidFill>
        <a:ln>
          <a:noFill/>
        </a:ln>
      </xdr:spPr>
      <xdr:txBody>
        <a:bodyPr vertOverflow="overflow" horzOverflow="overflow" wrap="square" lIns="38100" tIns="19050" rIns="38100" bIns="19050" rtlCol="0" anchor="ctr">
          <a:noAutofit/>
        </a:bodyPr>
        <a:lstStyle/>
        <a:p>
          <a:pPr algn="ctr"/>
          <a:endParaRPr lang="ja-JP" altLang="en-US" sz="600" dirty="0">
            <a:latin typeface="Meiryo UI"/>
            <a:ea typeface="Meiryo UI"/>
          </a:endParaRPr>
        </a:p>
      </xdr:txBody>
    </xdr:sp>
    <xdr:clientData/>
  </xdr:twoCellAnchor>
  <xdr:twoCellAnchor editAs="oneCell">
    <xdr:from>
      <xdr:col>17</xdr:col>
      <xdr:colOff>0</xdr:colOff>
      <xdr:row>40</xdr:row>
      <xdr:rowOff>0</xdr:rowOff>
    </xdr:from>
    <xdr:to>
      <xdr:col>29</xdr:col>
      <xdr:colOff>0</xdr:colOff>
      <xdr:row>44</xdr:row>
      <xdr:rowOff>0</xdr:rowOff>
    </xdr:to>
    <xdr:sp macro="" textlink="">
      <xdr:nvSpPr>
        <xdr:cNvPr id="5" name="作成の流れ: 2">
          <a:extLst>
            <a:ext uri="{FF2B5EF4-FFF2-40B4-BE49-F238E27FC236}">
              <a16:creationId xmlns:a16="http://schemas.microsoft.com/office/drawing/2014/main" id="{00000000-0008-0000-0000-000005000000}"/>
            </a:ext>
          </a:extLst>
        </xdr:cNvPr>
        <xdr:cNvSpPr/>
      </xdr:nvSpPr>
      <xdr:spPr>
        <a:xfrm>
          <a:off x="3238500" y="7620000"/>
          <a:ext cx="2286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2700" cap="flat">
          <a:solidFill>
            <a:srgbClr val="404040"/>
          </a:solidFill>
          <a:round/>
        </a:ln>
      </xdr:spPr>
      <xdr:txBody>
        <a:bodyPr vertOverflow="overflow" horzOverflow="overflow" wrap="square" lIns="50800" tIns="25400" rIns="50800" bIns="25400" rtlCol="0" anchor="ctr">
          <a:noAutofit/>
        </a:bodyPr>
        <a:lstStyle/>
        <a:p>
          <a:pPr algn="ctr"/>
          <a:r>
            <a:rPr lang="ja-JP" altLang="en-US" sz="1000" b="1" dirty="0">
              <a:solidFill>
                <a:srgbClr val="262626"/>
              </a:solidFill>
              <a:latin typeface="Meiryo UI"/>
              <a:ea typeface="Meiryo UI"/>
              <a:cs typeface="Meiryo UI"/>
            </a:rPr>
            <a:t>ゾーンとノードを置く</a:t>
          </a:r>
          <a:endParaRPr lang="ja-JP" altLang="en-US" sz="1000" dirty="0">
            <a:latin typeface="Meiryo UI"/>
            <a:ea typeface="Meiryo UI"/>
          </a:endParaRPr>
        </a:p>
        <a:p>
          <a:pPr algn="ctr">
            <a:spcBef>
              <a:spcPts val="100"/>
            </a:spcBef>
          </a:pPr>
          <a:r>
            <a:rPr lang="ja-JP" altLang="en-US" sz="750" b="0" dirty="0">
              <a:solidFill>
                <a:srgbClr val="595959"/>
              </a:solidFill>
              <a:latin typeface="Meiryo UI"/>
              <a:ea typeface="Meiryo UI"/>
              <a:cs typeface="Meiryo UI"/>
            </a:rPr>
            <a:t>4マス単位・方眼に吸着</a:t>
          </a:r>
          <a:endParaRPr lang="ja-JP" altLang="en-US" sz="750" dirty="0">
            <a:latin typeface="Meiryo UI"/>
            <a:ea typeface="Meiryo UI"/>
          </a:endParaRPr>
        </a:p>
        <a:p>
          <a:pPr algn="ctr">
            <a:spcBef>
              <a:spcPts val="100"/>
            </a:spcBef>
          </a:pPr>
          <a:r>
            <a:rPr lang="ja-JP" altLang="en-US" sz="750" b="0" dirty="0">
              <a:solidFill>
                <a:srgbClr val="595959"/>
              </a:solidFill>
              <a:latin typeface="Meiryo UI"/>
              <a:ea typeface="Meiryo UI"/>
              <a:cs typeface="Meiryo UI"/>
            </a:rPr>
            <a:t>ルートの色で色分け</a:t>
          </a:r>
          <a:endParaRPr lang="ja-JP" altLang="en-US" sz="750" dirty="0">
            <a:latin typeface="Meiryo UI"/>
            <a:ea typeface="Meiryo UI"/>
          </a:endParaRPr>
        </a:p>
      </xdr:txBody>
    </xdr:sp>
    <xdr:clientData/>
  </xdr:twoCellAnchor>
  <xdr:twoCellAnchor editAs="oneCell">
    <xdr:from>
      <xdr:col>16</xdr:col>
      <xdr:colOff>95250</xdr:colOff>
      <xdr:row>39</xdr:row>
      <xdr:rowOff>95250</xdr:rowOff>
    </xdr:from>
    <xdr:to>
      <xdr:col>17</xdr:col>
      <xdr:colOff>95250</xdr:colOff>
      <xdr:row>40</xdr:row>
      <xdr:rowOff>95250</xdr:rowOff>
    </xdr:to>
    <xdr:sp macro="" textlink="">
      <xdr:nvSpPr>
        <xdr:cNvPr id="6" name="作成の流れ: 番号2">
          <a:extLst>
            <a:ext uri="{FF2B5EF4-FFF2-40B4-BE49-F238E27FC236}">
              <a16:creationId xmlns:a16="http://schemas.microsoft.com/office/drawing/2014/main" id="{00000000-0008-0000-0000-000006000000}"/>
            </a:ext>
          </a:extLst>
        </xdr:cNvPr>
        <xdr:cNvSpPr/>
      </xdr:nvSpPr>
      <xdr:spPr>
        <a:xfrm>
          <a:off x="3143250" y="7524750"/>
          <a:ext cx="190500" cy="190500"/>
        </a:xfrm>
        <a:prstGeom prst="ellipse">
          <a:avLst/>
        </a:prstGeom>
        <a:solidFill>
          <a:srgbClr val="315C92"/>
        </a:solidFill>
        <a:ln>
          <a:noFill/>
        </a:ln>
      </xdr:spPr>
      <xdr:txBody>
        <a:bodyPr vertOverflow="overflow" horzOverflow="overflow" wrap="none" lIns="0" tIns="0" rIns="0" bIns="0" rtlCol="0" anchor="ctr">
          <a:noAutofit/>
        </a:bodyPr>
        <a:lstStyle/>
        <a:p>
          <a:pPr algn="ctr"/>
          <a:r>
            <a:rPr lang="ja-JP" altLang="en-US" sz="800" b="1" dirty="0">
              <a:solidFill>
                <a:srgbClr val="FFFFFF"/>
              </a:solidFill>
              <a:latin typeface="Meiryo UI"/>
              <a:ea typeface="Meiryo UI"/>
              <a:cs typeface="Meiryo UI"/>
            </a:rPr>
            <a:t>2</a:t>
          </a:r>
          <a:endParaRPr lang="ja-JP" altLang="en-US" sz="800" dirty="0">
            <a:latin typeface="Meiryo UI"/>
            <a:ea typeface="Meiryo UI"/>
          </a:endParaRPr>
        </a:p>
      </xdr:txBody>
    </xdr:sp>
    <xdr:clientData/>
  </xdr:twoCellAnchor>
  <xdr:twoCellAnchor editAs="oneCell">
    <xdr:from>
      <xdr:col>29</xdr:col>
      <xdr:colOff>114300</xdr:colOff>
      <xdr:row>41</xdr:row>
      <xdr:rowOff>95250</xdr:rowOff>
    </xdr:from>
    <xdr:to>
      <xdr:col>31</xdr:col>
      <xdr:colOff>76200</xdr:colOff>
      <xdr:row>42</xdr:row>
      <xdr:rowOff>95250</xdr:rowOff>
    </xdr:to>
    <xdr:sp macro="" textlink="">
      <xdr:nvSpPr>
        <xdr:cNvPr id="7" name="作成の流れ: 矢印2">
          <a:extLst>
            <a:ext uri="{FF2B5EF4-FFF2-40B4-BE49-F238E27FC236}">
              <a16:creationId xmlns:a16="http://schemas.microsoft.com/office/drawing/2014/main" id="{00000000-0008-0000-0000-000007000000}"/>
            </a:ext>
          </a:extLst>
        </xdr:cNvPr>
        <xdr:cNvSpPr/>
      </xdr:nvSpPr>
      <xdr:spPr>
        <a:xfrm>
          <a:off x="5638800" y="7905750"/>
          <a:ext cx="342900" cy="190500"/>
        </a:xfrm>
        <a:prstGeom prst="rightArrow">
          <a:avLst>
            <a:gd name="adj1" fmla="val 50000"/>
            <a:gd name="adj2" fmla="val 50000"/>
          </a:avLst>
        </a:prstGeom>
        <a:solidFill>
          <a:srgbClr val="BFBFBF"/>
        </a:solidFill>
        <a:ln>
          <a:noFill/>
        </a:ln>
      </xdr:spPr>
      <xdr:txBody>
        <a:bodyPr vertOverflow="overflow" horzOverflow="overflow" wrap="square" lIns="38100" tIns="19050" rIns="38100" bIns="19050" rtlCol="0" anchor="ctr">
          <a:noAutofit/>
        </a:bodyPr>
        <a:lstStyle/>
        <a:p>
          <a:pPr algn="ctr"/>
          <a:endParaRPr lang="ja-JP" altLang="en-US" sz="600" dirty="0">
            <a:latin typeface="Meiryo UI"/>
            <a:ea typeface="Meiryo UI"/>
          </a:endParaRPr>
        </a:p>
      </xdr:txBody>
    </xdr:sp>
    <xdr:clientData/>
  </xdr:twoCellAnchor>
  <xdr:twoCellAnchor editAs="oneCell">
    <xdr:from>
      <xdr:col>32</xdr:col>
      <xdr:colOff>0</xdr:colOff>
      <xdr:row>40</xdr:row>
      <xdr:rowOff>0</xdr:rowOff>
    </xdr:from>
    <xdr:to>
      <xdr:col>44</xdr:col>
      <xdr:colOff>0</xdr:colOff>
      <xdr:row>44</xdr:row>
      <xdr:rowOff>0</xdr:rowOff>
    </xdr:to>
    <xdr:sp macro="" textlink="">
      <xdr:nvSpPr>
        <xdr:cNvPr id="8" name="作成の流れ: 3">
          <a:extLst>
            <a:ext uri="{FF2B5EF4-FFF2-40B4-BE49-F238E27FC236}">
              <a16:creationId xmlns:a16="http://schemas.microsoft.com/office/drawing/2014/main" id="{00000000-0008-0000-0000-000008000000}"/>
            </a:ext>
          </a:extLst>
        </xdr:cNvPr>
        <xdr:cNvSpPr/>
      </xdr:nvSpPr>
      <xdr:spPr>
        <a:xfrm>
          <a:off x="6096000" y="7620000"/>
          <a:ext cx="2286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2700" cap="flat">
          <a:solidFill>
            <a:srgbClr val="404040"/>
          </a:solidFill>
          <a:round/>
        </a:ln>
      </xdr:spPr>
      <xdr:txBody>
        <a:bodyPr vertOverflow="overflow" horzOverflow="overflow" wrap="square" lIns="50800" tIns="25400" rIns="50800" bIns="25400" rtlCol="0" anchor="ctr">
          <a:noAutofit/>
        </a:bodyPr>
        <a:lstStyle/>
        <a:p>
          <a:pPr algn="ctr"/>
          <a:r>
            <a:rPr lang="ja-JP" altLang="en-US" sz="1000" b="1" dirty="0">
              <a:solidFill>
                <a:srgbClr val="262626"/>
              </a:solidFill>
              <a:latin typeface="Meiryo UI"/>
              <a:ea typeface="Meiryo UI"/>
              <a:cs typeface="Meiryo UI"/>
            </a:rPr>
            <a:t>線を16点につなぐ</a:t>
          </a:r>
          <a:endParaRPr lang="ja-JP" altLang="en-US" sz="1000" dirty="0">
            <a:latin typeface="Meiryo UI"/>
            <a:ea typeface="Meiryo UI"/>
          </a:endParaRPr>
        </a:p>
        <a:p>
          <a:pPr algn="ctr">
            <a:spcBef>
              <a:spcPts val="100"/>
            </a:spcBef>
          </a:pPr>
          <a:r>
            <a:rPr lang="ja-JP" altLang="en-US" sz="750" b="0" dirty="0">
              <a:solidFill>
                <a:srgbClr val="595959"/>
              </a:solidFill>
              <a:latin typeface="Meiryo UI"/>
              <a:ea typeface="Meiryo UI"/>
              <a:cs typeface="Meiryo UI"/>
            </a:rPr>
            <a:t>端点を接続点に重ねる</a:t>
          </a:r>
          <a:endParaRPr lang="ja-JP" altLang="en-US" sz="750" dirty="0">
            <a:latin typeface="Meiryo UI"/>
            <a:ea typeface="Meiryo UI"/>
          </a:endParaRPr>
        </a:p>
        <a:p>
          <a:pPr algn="ctr">
            <a:spcBef>
              <a:spcPts val="100"/>
            </a:spcBef>
          </a:pPr>
          <a:r>
            <a:rPr lang="ja-JP" altLang="en-US" sz="750" b="0" dirty="0">
              <a:solidFill>
                <a:srgbClr val="595959"/>
              </a:solidFill>
              <a:latin typeface="Meiryo UI"/>
              <a:ea typeface="Meiryo UI"/>
              <a:cs typeface="Meiryo UI"/>
            </a:rPr>
            <a:t>図形を動かすと追従</a:t>
          </a:r>
          <a:endParaRPr lang="ja-JP" altLang="en-US" sz="750" dirty="0">
            <a:latin typeface="Meiryo UI"/>
            <a:ea typeface="Meiryo UI"/>
          </a:endParaRPr>
        </a:p>
      </xdr:txBody>
    </xdr:sp>
    <xdr:clientData/>
  </xdr:twoCellAnchor>
  <xdr:twoCellAnchor editAs="oneCell">
    <xdr:from>
      <xdr:col>31</xdr:col>
      <xdr:colOff>95250</xdr:colOff>
      <xdr:row>39</xdr:row>
      <xdr:rowOff>95250</xdr:rowOff>
    </xdr:from>
    <xdr:to>
      <xdr:col>32</xdr:col>
      <xdr:colOff>95250</xdr:colOff>
      <xdr:row>40</xdr:row>
      <xdr:rowOff>95250</xdr:rowOff>
    </xdr:to>
    <xdr:sp macro="" textlink="">
      <xdr:nvSpPr>
        <xdr:cNvPr id="9" name="作成の流れ: 番号3">
          <a:extLst>
            <a:ext uri="{FF2B5EF4-FFF2-40B4-BE49-F238E27FC236}">
              <a16:creationId xmlns:a16="http://schemas.microsoft.com/office/drawing/2014/main" id="{00000000-0008-0000-0000-000009000000}"/>
            </a:ext>
          </a:extLst>
        </xdr:cNvPr>
        <xdr:cNvSpPr/>
      </xdr:nvSpPr>
      <xdr:spPr>
        <a:xfrm>
          <a:off x="6000750" y="7524750"/>
          <a:ext cx="190500" cy="190500"/>
        </a:xfrm>
        <a:prstGeom prst="ellipse">
          <a:avLst/>
        </a:prstGeom>
        <a:solidFill>
          <a:srgbClr val="247966"/>
        </a:solidFill>
        <a:ln>
          <a:noFill/>
        </a:ln>
      </xdr:spPr>
      <xdr:txBody>
        <a:bodyPr vertOverflow="overflow" horzOverflow="overflow" wrap="none" lIns="0" tIns="0" rIns="0" bIns="0" rtlCol="0" anchor="ctr">
          <a:noAutofit/>
        </a:bodyPr>
        <a:lstStyle/>
        <a:p>
          <a:pPr algn="ctr"/>
          <a:r>
            <a:rPr lang="ja-JP" altLang="en-US" sz="800" b="1" dirty="0">
              <a:solidFill>
                <a:srgbClr val="FFFFFF"/>
              </a:solidFill>
              <a:latin typeface="Meiryo UI"/>
              <a:ea typeface="Meiryo UI"/>
              <a:cs typeface="Meiryo UI"/>
            </a:rPr>
            <a:t>3</a:t>
          </a:r>
          <a:endParaRPr lang="ja-JP" altLang="en-US" sz="800" dirty="0">
            <a:latin typeface="Meiryo UI"/>
            <a:ea typeface="Meiryo UI"/>
          </a:endParaRPr>
        </a:p>
      </xdr:txBody>
    </xdr:sp>
    <xdr:clientData/>
  </xdr:twoCellAnchor>
  <xdr:twoCellAnchor editAs="oneCell">
    <xdr:from>
      <xdr:col>44</xdr:col>
      <xdr:colOff>114300</xdr:colOff>
      <xdr:row>41</xdr:row>
      <xdr:rowOff>95250</xdr:rowOff>
    </xdr:from>
    <xdr:to>
      <xdr:col>46</xdr:col>
      <xdr:colOff>76200</xdr:colOff>
      <xdr:row>42</xdr:row>
      <xdr:rowOff>95250</xdr:rowOff>
    </xdr:to>
    <xdr:sp macro="" textlink="">
      <xdr:nvSpPr>
        <xdr:cNvPr id="10" name="作成の流れ: 矢印3">
          <a:extLst>
            <a:ext uri="{FF2B5EF4-FFF2-40B4-BE49-F238E27FC236}">
              <a16:creationId xmlns:a16="http://schemas.microsoft.com/office/drawing/2014/main" id="{00000000-0008-0000-0000-00000A000000}"/>
            </a:ext>
          </a:extLst>
        </xdr:cNvPr>
        <xdr:cNvSpPr/>
      </xdr:nvSpPr>
      <xdr:spPr>
        <a:xfrm>
          <a:off x="8496300" y="7905750"/>
          <a:ext cx="342900" cy="190500"/>
        </a:xfrm>
        <a:prstGeom prst="rightArrow">
          <a:avLst>
            <a:gd name="adj1" fmla="val 50000"/>
            <a:gd name="adj2" fmla="val 50000"/>
          </a:avLst>
        </a:prstGeom>
        <a:solidFill>
          <a:srgbClr val="BFBFBF"/>
        </a:solidFill>
        <a:ln>
          <a:noFill/>
        </a:ln>
      </xdr:spPr>
      <xdr:txBody>
        <a:bodyPr vertOverflow="overflow" horzOverflow="overflow" wrap="square" lIns="38100" tIns="19050" rIns="38100" bIns="19050" rtlCol="0" anchor="ctr">
          <a:noAutofit/>
        </a:bodyPr>
        <a:lstStyle/>
        <a:p>
          <a:pPr algn="ctr"/>
          <a:endParaRPr lang="ja-JP" altLang="en-US" sz="600" dirty="0">
            <a:latin typeface="Meiryo UI"/>
            <a:ea typeface="Meiryo UI"/>
          </a:endParaRPr>
        </a:p>
      </xdr:txBody>
    </xdr:sp>
    <xdr:clientData/>
  </xdr:twoCellAnchor>
  <xdr:twoCellAnchor editAs="oneCell">
    <xdr:from>
      <xdr:col>47</xdr:col>
      <xdr:colOff>0</xdr:colOff>
      <xdr:row>40</xdr:row>
      <xdr:rowOff>0</xdr:rowOff>
    </xdr:from>
    <xdr:to>
      <xdr:col>59</xdr:col>
      <xdr:colOff>0</xdr:colOff>
      <xdr:row>44</xdr:row>
      <xdr:rowOff>0</xdr:rowOff>
    </xdr:to>
    <xdr:sp macro="" textlink="">
      <xdr:nvSpPr>
        <xdr:cNvPr id="11" name="作成の流れ: 4">
          <a:extLst>
            <a:ext uri="{FF2B5EF4-FFF2-40B4-BE49-F238E27FC236}">
              <a16:creationId xmlns:a16="http://schemas.microsoft.com/office/drawing/2014/main" id="{00000000-0008-0000-0000-00000B000000}"/>
            </a:ext>
          </a:extLst>
        </xdr:cNvPr>
        <xdr:cNvSpPr/>
      </xdr:nvSpPr>
      <xdr:spPr>
        <a:xfrm>
          <a:off x="8953500" y="7620000"/>
          <a:ext cx="2286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2700" cap="flat">
          <a:solidFill>
            <a:srgbClr val="404040"/>
          </a:solidFill>
          <a:round/>
        </a:ln>
      </xdr:spPr>
      <xdr:txBody>
        <a:bodyPr vertOverflow="overflow" horzOverflow="overflow" wrap="square" lIns="50800" tIns="25400" rIns="50800" bIns="25400" rtlCol="0" anchor="ctr">
          <a:noAutofit/>
        </a:bodyPr>
        <a:lstStyle/>
        <a:p>
          <a:pPr algn="ctr"/>
          <a:r>
            <a:rPr lang="ja-JP" altLang="en-US" sz="1000" b="1" dirty="0">
              <a:solidFill>
                <a:srgbClr val="262626"/>
              </a:solidFill>
              <a:latin typeface="Meiryo UI"/>
              <a:ea typeface="Meiryo UI"/>
              <a:cs typeface="Meiryo UI"/>
            </a:rPr>
            <a:t>番号とコメント</a:t>
          </a:r>
          <a:endParaRPr lang="ja-JP" altLang="en-US" sz="1000" dirty="0">
            <a:latin typeface="Meiryo UI"/>
            <a:ea typeface="Meiryo UI"/>
          </a:endParaRPr>
        </a:p>
        <a:p>
          <a:pPr algn="ctr">
            <a:spcBef>
              <a:spcPts val="100"/>
            </a:spcBef>
          </a:pPr>
          <a:r>
            <a:rPr lang="ja-JP" altLang="en-US" sz="750" b="0" dirty="0">
              <a:solidFill>
                <a:srgbClr val="595959"/>
              </a:solidFill>
              <a:latin typeface="Meiryo UI"/>
              <a:ea typeface="Meiryo UI"/>
              <a:cs typeface="Meiryo UI"/>
            </a:rPr>
            <a:t>連携番号 A1・B1…</a:t>
          </a:r>
          <a:endParaRPr lang="ja-JP" altLang="en-US" sz="750" dirty="0">
            <a:latin typeface="Meiryo UI"/>
            <a:ea typeface="Meiryo UI"/>
          </a:endParaRPr>
        </a:p>
        <a:p>
          <a:pPr algn="ctr">
            <a:spcBef>
              <a:spcPts val="100"/>
            </a:spcBef>
          </a:pPr>
          <a:r>
            <a:rPr lang="ja-JP" altLang="en-US" sz="750" b="0" dirty="0">
              <a:solidFill>
                <a:srgbClr val="595959"/>
              </a:solidFill>
              <a:latin typeface="Meiryo UI"/>
              <a:ea typeface="Meiryo UI"/>
              <a:cs typeface="Meiryo UI"/>
            </a:rPr>
            <a:t>ポイント・付記</a:t>
          </a:r>
          <a:endParaRPr lang="ja-JP" altLang="en-US" sz="750" dirty="0">
            <a:latin typeface="Meiryo UI"/>
            <a:ea typeface="Meiryo UI"/>
          </a:endParaRPr>
        </a:p>
      </xdr:txBody>
    </xdr:sp>
    <xdr:clientData/>
  </xdr:twoCellAnchor>
  <xdr:twoCellAnchor editAs="oneCell">
    <xdr:from>
      <xdr:col>46</xdr:col>
      <xdr:colOff>95250</xdr:colOff>
      <xdr:row>39</xdr:row>
      <xdr:rowOff>95250</xdr:rowOff>
    </xdr:from>
    <xdr:to>
      <xdr:col>47</xdr:col>
      <xdr:colOff>95250</xdr:colOff>
      <xdr:row>40</xdr:row>
      <xdr:rowOff>95250</xdr:rowOff>
    </xdr:to>
    <xdr:sp macro="" textlink="">
      <xdr:nvSpPr>
        <xdr:cNvPr id="12" name="作成の流れ: 番号4">
          <a:extLst>
            <a:ext uri="{FF2B5EF4-FFF2-40B4-BE49-F238E27FC236}">
              <a16:creationId xmlns:a16="http://schemas.microsoft.com/office/drawing/2014/main" id="{00000000-0008-0000-0000-00000C000000}"/>
            </a:ext>
          </a:extLst>
        </xdr:cNvPr>
        <xdr:cNvSpPr/>
      </xdr:nvSpPr>
      <xdr:spPr>
        <a:xfrm>
          <a:off x="8858250" y="7524750"/>
          <a:ext cx="190500" cy="190500"/>
        </a:xfrm>
        <a:prstGeom prst="ellipse">
          <a:avLst/>
        </a:prstGeom>
        <a:solidFill>
          <a:srgbClr val="C46B39"/>
        </a:solidFill>
        <a:ln>
          <a:noFill/>
        </a:ln>
      </xdr:spPr>
      <xdr:txBody>
        <a:bodyPr vertOverflow="overflow" horzOverflow="overflow" wrap="none" lIns="0" tIns="0" rIns="0" bIns="0" rtlCol="0" anchor="ctr">
          <a:noAutofit/>
        </a:bodyPr>
        <a:lstStyle/>
        <a:p>
          <a:pPr algn="ctr"/>
          <a:r>
            <a:rPr lang="ja-JP" altLang="en-US" sz="800" b="1" dirty="0">
              <a:solidFill>
                <a:srgbClr val="FFFFFF"/>
              </a:solidFill>
              <a:latin typeface="Meiryo UI"/>
              <a:ea typeface="Meiryo UI"/>
              <a:cs typeface="Meiryo UI"/>
            </a:rPr>
            <a:t>4</a:t>
          </a:r>
          <a:endParaRPr lang="ja-JP" altLang="en-US" sz="800" dirty="0">
            <a:latin typeface="Meiryo UI"/>
            <a:ea typeface="Meiryo UI"/>
          </a:endParaRPr>
        </a:p>
      </xdr:txBody>
    </xdr:sp>
    <xdr:clientData/>
  </xdr:twoCellAnchor>
  <xdr:twoCellAnchor editAs="oneCell">
    <xdr:from>
      <xdr:col>59</xdr:col>
      <xdr:colOff>114300</xdr:colOff>
      <xdr:row>41</xdr:row>
      <xdr:rowOff>95250</xdr:rowOff>
    </xdr:from>
    <xdr:to>
      <xdr:col>61</xdr:col>
      <xdr:colOff>76200</xdr:colOff>
      <xdr:row>42</xdr:row>
      <xdr:rowOff>95250</xdr:rowOff>
    </xdr:to>
    <xdr:sp macro="" textlink="">
      <xdr:nvSpPr>
        <xdr:cNvPr id="13" name="作成の流れ: 矢印4">
          <a:extLst>
            <a:ext uri="{FF2B5EF4-FFF2-40B4-BE49-F238E27FC236}">
              <a16:creationId xmlns:a16="http://schemas.microsoft.com/office/drawing/2014/main" id="{00000000-0008-0000-0000-00000D000000}"/>
            </a:ext>
          </a:extLst>
        </xdr:cNvPr>
        <xdr:cNvSpPr/>
      </xdr:nvSpPr>
      <xdr:spPr>
        <a:xfrm>
          <a:off x="11353800" y="7905750"/>
          <a:ext cx="342900" cy="190500"/>
        </a:xfrm>
        <a:prstGeom prst="rightArrow">
          <a:avLst>
            <a:gd name="adj1" fmla="val 50000"/>
            <a:gd name="adj2" fmla="val 50000"/>
          </a:avLst>
        </a:prstGeom>
        <a:solidFill>
          <a:srgbClr val="BFBFBF"/>
        </a:solidFill>
        <a:ln>
          <a:noFill/>
        </a:ln>
      </xdr:spPr>
      <xdr:txBody>
        <a:bodyPr vertOverflow="overflow" horzOverflow="overflow" wrap="square" lIns="38100" tIns="19050" rIns="38100" bIns="19050" rtlCol="0" anchor="ctr">
          <a:noAutofit/>
        </a:bodyPr>
        <a:lstStyle/>
        <a:p>
          <a:pPr algn="ctr"/>
          <a:endParaRPr lang="ja-JP" altLang="en-US" sz="600" dirty="0">
            <a:latin typeface="Meiryo UI"/>
            <a:ea typeface="Meiryo UI"/>
          </a:endParaRPr>
        </a:p>
      </xdr:txBody>
    </xdr:sp>
    <xdr:clientData/>
  </xdr:twoCellAnchor>
  <xdr:twoCellAnchor editAs="oneCell">
    <xdr:from>
      <xdr:col>62</xdr:col>
      <xdr:colOff>0</xdr:colOff>
      <xdr:row>40</xdr:row>
      <xdr:rowOff>0</xdr:rowOff>
    </xdr:from>
    <xdr:to>
      <xdr:col>74</xdr:col>
      <xdr:colOff>0</xdr:colOff>
      <xdr:row>44</xdr:row>
      <xdr:rowOff>0</xdr:rowOff>
    </xdr:to>
    <xdr:sp macro="" textlink="">
      <xdr:nvSpPr>
        <xdr:cNvPr id="14" name="作成の流れ: 5">
          <a:extLst>
            <a:ext uri="{FF2B5EF4-FFF2-40B4-BE49-F238E27FC236}">
              <a16:creationId xmlns:a16="http://schemas.microsoft.com/office/drawing/2014/main" id="{00000000-0008-0000-0000-00000E000000}"/>
            </a:ext>
          </a:extLst>
        </xdr:cNvPr>
        <xdr:cNvSpPr/>
      </xdr:nvSpPr>
      <xdr:spPr>
        <a:xfrm>
          <a:off x="11811000" y="7620000"/>
          <a:ext cx="2286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2700" cap="flat">
          <a:solidFill>
            <a:srgbClr val="404040"/>
          </a:solidFill>
          <a:round/>
        </a:ln>
      </xdr:spPr>
      <xdr:txBody>
        <a:bodyPr vertOverflow="overflow" horzOverflow="overflow" wrap="square" lIns="50800" tIns="25400" rIns="50800" bIns="25400" rtlCol="0" anchor="ctr">
          <a:noAutofit/>
        </a:bodyPr>
        <a:lstStyle/>
        <a:p>
          <a:pPr algn="ctr"/>
          <a:r>
            <a:rPr lang="ja-JP" altLang="en-US" sz="1000" b="1" dirty="0">
              <a:solidFill>
                <a:srgbClr val="262626"/>
              </a:solidFill>
              <a:latin typeface="Meiryo UI"/>
              <a:ea typeface="Meiryo UI"/>
              <a:cs typeface="Meiryo UI"/>
            </a:rPr>
            <a:t>一覧に詳細・印刷</a:t>
          </a:r>
          <a:endParaRPr lang="ja-JP" altLang="en-US" sz="1000" dirty="0">
            <a:latin typeface="Meiryo UI"/>
            <a:ea typeface="Meiryo UI"/>
          </a:endParaRPr>
        </a:p>
        <a:p>
          <a:pPr algn="ctr">
            <a:spcBef>
              <a:spcPts val="100"/>
            </a:spcBef>
          </a:pPr>
          <a:r>
            <a:rPr lang="ja-JP" altLang="en-US" sz="750" b="0" dirty="0">
              <a:solidFill>
                <a:srgbClr val="595959"/>
              </a:solidFill>
              <a:latin typeface="Meiryo UI"/>
              <a:ea typeface="Meiryo UI"/>
              <a:cs typeface="Meiryo UI"/>
            </a:rPr>
            <a:t>連携一覧・構成要素一覧</a:t>
          </a:r>
          <a:endParaRPr lang="ja-JP" altLang="en-US" sz="750" dirty="0">
            <a:latin typeface="Meiryo UI"/>
            <a:ea typeface="Meiryo UI"/>
          </a:endParaRPr>
        </a:p>
        <a:p>
          <a:pPr algn="ctr">
            <a:spcBef>
              <a:spcPts val="100"/>
            </a:spcBef>
          </a:pPr>
          <a:r>
            <a:rPr lang="ja-JP" altLang="en-US" sz="750" b="0" dirty="0">
              <a:solidFill>
                <a:srgbClr val="595959"/>
              </a:solidFill>
              <a:latin typeface="Meiryo UI"/>
              <a:ea typeface="Meiryo UI"/>
              <a:cs typeface="Meiryo UI"/>
            </a:rPr>
            <a:t>A3横1ページ</a:t>
          </a:r>
          <a:endParaRPr lang="ja-JP" altLang="en-US" sz="750" dirty="0">
            <a:latin typeface="Meiryo UI"/>
            <a:ea typeface="Meiryo UI"/>
          </a:endParaRPr>
        </a:p>
      </xdr:txBody>
    </xdr:sp>
    <xdr:clientData/>
  </xdr:twoCellAnchor>
  <xdr:twoCellAnchor editAs="oneCell">
    <xdr:from>
      <xdr:col>61</xdr:col>
      <xdr:colOff>95250</xdr:colOff>
      <xdr:row>39</xdr:row>
      <xdr:rowOff>95250</xdr:rowOff>
    </xdr:from>
    <xdr:to>
      <xdr:col>62</xdr:col>
      <xdr:colOff>95250</xdr:colOff>
      <xdr:row>40</xdr:row>
      <xdr:rowOff>95250</xdr:rowOff>
    </xdr:to>
    <xdr:sp macro="" textlink="">
      <xdr:nvSpPr>
        <xdr:cNvPr id="15" name="作成の流れ: 番号5">
          <a:extLst>
            <a:ext uri="{FF2B5EF4-FFF2-40B4-BE49-F238E27FC236}">
              <a16:creationId xmlns:a16="http://schemas.microsoft.com/office/drawing/2014/main" id="{00000000-0008-0000-0000-00000F000000}"/>
            </a:ext>
          </a:extLst>
        </xdr:cNvPr>
        <xdr:cNvSpPr/>
      </xdr:nvSpPr>
      <xdr:spPr>
        <a:xfrm>
          <a:off x="11715750" y="7524750"/>
          <a:ext cx="190500" cy="190500"/>
        </a:xfrm>
        <a:prstGeom prst="ellipse">
          <a:avLst/>
        </a:prstGeom>
        <a:solidFill>
          <a:srgbClr val="404040"/>
        </a:solidFill>
        <a:ln>
          <a:noFill/>
        </a:ln>
      </xdr:spPr>
      <xdr:txBody>
        <a:bodyPr vertOverflow="overflow" horzOverflow="overflow" wrap="none" lIns="0" tIns="0" rIns="0" bIns="0" rtlCol="0" anchor="ctr">
          <a:noAutofit/>
        </a:bodyPr>
        <a:lstStyle/>
        <a:p>
          <a:pPr algn="ctr"/>
          <a:r>
            <a:rPr lang="ja-JP" altLang="en-US" sz="800" b="1" dirty="0">
              <a:solidFill>
                <a:srgbClr val="FFFFFF"/>
              </a:solidFill>
              <a:latin typeface="Meiryo UI"/>
              <a:ea typeface="Meiryo UI"/>
              <a:cs typeface="Meiryo UI"/>
            </a:rPr>
            <a:t>5</a:t>
          </a:r>
          <a:endParaRPr lang="ja-JP" altLang="en-US" sz="800" dirty="0">
            <a:latin typeface="Meiryo UI"/>
            <a:ea typeface="Meiryo UI"/>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19</xdr:col>
      <xdr:colOff>0</xdr:colOff>
      <xdr:row>12</xdr:row>
      <xdr:rowOff>0</xdr:rowOff>
    </xdr:to>
    <xdr:sp macro="" textlink="">
      <xdr:nvSpPr>
        <xdr:cNvPr id="2" name="特長1">
          <a:extLst>
            <a:ext uri="{FF2B5EF4-FFF2-40B4-BE49-F238E27FC236}">
              <a16:creationId xmlns:a16="http://schemas.microsoft.com/office/drawing/2014/main" id="{00000000-0008-0000-0100-000002000000}"/>
            </a:ext>
          </a:extLst>
        </xdr:cNvPr>
        <xdr:cNvSpPr/>
      </xdr:nvSpPr>
      <xdr:spPr>
        <a:xfrm>
          <a:off x="381000" y="1143000"/>
          <a:ext cx="3238500" cy="1143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7F7F7"/>
        </a:solidFill>
        <a:ln w="9525" cap="flat">
          <a:solidFill>
            <a:srgbClr val="D9D9D9"/>
          </a:solidFill>
          <a:round/>
        </a:ln>
      </xdr:spPr>
      <xdr:txBody>
        <a:bodyPr vertOverflow="overflow" horzOverflow="overflow" wrap="square" lIns="101600" tIns="63500" rIns="76200" bIns="50800" rtlCol="0" anchor="t">
          <a:noAutofit/>
        </a:bodyPr>
        <a:lstStyle/>
        <a:p>
          <a:pPr algn="l"/>
          <a:r>
            <a:rPr lang="ja-JP" altLang="en-US" sz="1050" b="1" dirty="0">
              <a:solidFill>
                <a:srgbClr val="262626"/>
              </a:solidFill>
              <a:latin typeface="Meiryo UI"/>
              <a:ea typeface="Meiryo UI"/>
              <a:cs typeface="Meiryo UI"/>
            </a:rPr>
            <a:t>① 方眼に吸着</a:t>
          </a:r>
          <a:endParaRPr lang="ja-JP" altLang="en-US" sz="1050" dirty="0">
            <a:latin typeface="Meiryo UI"/>
            <a:ea typeface="Meiryo UI"/>
          </a:endParaRPr>
        </a:p>
        <a:p>
          <a:pPr algn="l">
            <a:spcBef>
              <a:spcPts val="150"/>
            </a:spcBef>
          </a:pPr>
          <a:r>
            <a:rPr lang="ja-JP" altLang="en-US" sz="800" b="0" dirty="0">
              <a:solidFill>
                <a:srgbClr val="404040"/>
              </a:solidFill>
              <a:latin typeface="Meiryo UI"/>
              <a:ea typeface="Meiryo UI"/>
              <a:cs typeface="Meiryo UI"/>
            </a:rPr>
            <a:t>1マス＝15pt（約5.3mm）の方眼紙。</a:t>
          </a:r>
          <a:endParaRPr lang="ja-JP" altLang="en-US" sz="800" dirty="0">
            <a:latin typeface="Meiryo UI"/>
            <a:ea typeface="Meiryo UI"/>
          </a:endParaRPr>
        </a:p>
        <a:p>
          <a:pPr algn="l"/>
          <a:r>
            <a:rPr lang="ja-JP" altLang="en-US" sz="800" b="0" dirty="0">
              <a:solidFill>
                <a:srgbClr val="404040"/>
              </a:solidFill>
              <a:latin typeface="Meiryo UI"/>
              <a:ea typeface="Meiryo UI"/>
              <a:cs typeface="Meiryo UI"/>
            </a:rPr>
            <a:t>図形は4マス単位で作成済み。</a:t>
          </a:r>
          <a:endParaRPr lang="ja-JP" altLang="en-US" sz="800" dirty="0">
            <a:latin typeface="Meiryo UI"/>
            <a:ea typeface="Meiryo UI"/>
          </a:endParaRPr>
        </a:p>
        <a:p>
          <a:pPr algn="l"/>
          <a:r>
            <a:rPr lang="ja-JP" altLang="en-US" sz="800" b="0" dirty="0">
              <a:solidFill>
                <a:srgbClr val="404040"/>
              </a:solidFill>
              <a:latin typeface="Meiryo UI"/>
              <a:ea typeface="Meiryo UI"/>
              <a:cs typeface="Meiryo UI"/>
            </a:rPr>
            <a:t>Alt＋ドラッグでマス目に吸着し、</a:t>
          </a:r>
          <a:endParaRPr lang="ja-JP" altLang="en-US" sz="800" dirty="0">
            <a:latin typeface="Meiryo UI"/>
            <a:ea typeface="Meiryo UI"/>
          </a:endParaRPr>
        </a:p>
        <a:p>
          <a:pPr algn="l"/>
          <a:r>
            <a:rPr lang="ja-JP" altLang="en-US" sz="800" b="0" dirty="0">
              <a:solidFill>
                <a:srgbClr val="404040"/>
              </a:solidFill>
              <a:latin typeface="Meiryo UI"/>
              <a:ea typeface="Meiryo UI"/>
              <a:cs typeface="Meiryo UI"/>
            </a:rPr>
            <a:t>縦横がきれいに揃います。</a:t>
          </a:r>
          <a:endParaRPr lang="ja-JP" altLang="en-US" sz="800" dirty="0">
            <a:latin typeface="Meiryo UI"/>
            <a:ea typeface="Meiryo UI"/>
          </a:endParaRPr>
        </a:p>
      </xdr:txBody>
    </xdr:sp>
    <xdr:clientData/>
  </xdr:twoCellAnchor>
  <xdr:twoCellAnchor editAs="oneCell">
    <xdr:from>
      <xdr:col>2</xdr:col>
      <xdr:colOff>0</xdr:colOff>
      <xdr:row>6</xdr:row>
      <xdr:rowOff>0</xdr:rowOff>
    </xdr:from>
    <xdr:to>
      <xdr:col>19</xdr:col>
      <xdr:colOff>0</xdr:colOff>
      <xdr:row>6</xdr:row>
      <xdr:rowOff>47625</xdr:rowOff>
    </xdr:to>
    <xdr:sp macro="" textlink="">
      <xdr:nvSpPr>
        <xdr:cNvPr id="3" name="特長1: 上線">
          <a:extLst>
            <a:ext uri="{FF2B5EF4-FFF2-40B4-BE49-F238E27FC236}">
              <a16:creationId xmlns:a16="http://schemas.microsoft.com/office/drawing/2014/main" id="{00000000-0008-0000-0100-000003000000}"/>
            </a:ext>
          </a:extLst>
        </xdr:cNvPr>
        <xdr:cNvSpPr/>
      </xdr:nvSpPr>
      <xdr:spPr>
        <a:xfrm>
          <a:off x="381000" y="1143000"/>
          <a:ext cx="3238500" cy="47625"/>
        </a:xfrm>
        <a:prstGeom prst="rect">
          <a:avLst/>
        </a:prstGeom>
        <a:solidFill>
          <a:srgbClr val="404040"/>
        </a:solidFill>
        <a:ln>
          <a:noFill/>
        </a:ln>
      </xdr:spPr>
      <xdr:txBody>
        <a:bodyPr vertOverflow="overflow" horzOverflow="overflow" wrap="square" lIns="38100" tIns="19050" rIns="38100" bIns="19050" rtlCol="0" anchor="ctr">
          <a:noAutofit/>
        </a:bodyPr>
        <a:lstStyle/>
        <a:p>
          <a:pPr algn="l"/>
          <a:endParaRPr lang="ja-JP" altLang="en-US" sz="500" dirty="0">
            <a:latin typeface="Meiryo UI"/>
            <a:ea typeface="Meiryo UI"/>
          </a:endParaRPr>
        </a:p>
      </xdr:txBody>
    </xdr:sp>
    <xdr:clientData/>
  </xdr:twoCellAnchor>
  <xdr:twoCellAnchor editAs="oneCell">
    <xdr:from>
      <xdr:col>20</xdr:col>
      <xdr:colOff>47625</xdr:colOff>
      <xdr:row>6</xdr:row>
      <xdr:rowOff>0</xdr:rowOff>
    </xdr:from>
    <xdr:to>
      <xdr:col>37</xdr:col>
      <xdr:colOff>47625</xdr:colOff>
      <xdr:row>12</xdr:row>
      <xdr:rowOff>0</xdr:rowOff>
    </xdr:to>
    <xdr:sp macro="" textlink="">
      <xdr:nvSpPr>
        <xdr:cNvPr id="4" name="特長2">
          <a:extLst>
            <a:ext uri="{FF2B5EF4-FFF2-40B4-BE49-F238E27FC236}">
              <a16:creationId xmlns:a16="http://schemas.microsoft.com/office/drawing/2014/main" id="{00000000-0008-0000-0100-000004000000}"/>
            </a:ext>
          </a:extLst>
        </xdr:cNvPr>
        <xdr:cNvSpPr/>
      </xdr:nvSpPr>
      <xdr:spPr>
        <a:xfrm>
          <a:off x="3857625" y="1143000"/>
          <a:ext cx="3238500" cy="1143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3F8FF"/>
        </a:solidFill>
        <a:ln w="9525" cap="flat">
          <a:solidFill>
            <a:srgbClr val="BCD3F2"/>
          </a:solidFill>
          <a:round/>
        </a:ln>
      </xdr:spPr>
      <xdr:txBody>
        <a:bodyPr vertOverflow="overflow" horzOverflow="overflow" wrap="square" lIns="101600" tIns="63500" rIns="76200" bIns="50800" rtlCol="0" anchor="t">
          <a:noAutofit/>
        </a:bodyPr>
        <a:lstStyle/>
        <a:p>
          <a:pPr algn="l"/>
          <a:r>
            <a:rPr lang="ja-JP" altLang="en-US" sz="1050" b="1" dirty="0">
              <a:solidFill>
                <a:srgbClr val="113866"/>
              </a:solidFill>
              <a:latin typeface="Meiryo UI"/>
              <a:ea typeface="Meiryo UI"/>
              <a:cs typeface="Meiryo UI"/>
            </a:rPr>
            <a:t>② 16か所で接続</a:t>
          </a:r>
          <a:endParaRPr lang="ja-JP" altLang="en-US" sz="1050" dirty="0">
            <a:latin typeface="Meiryo UI"/>
            <a:ea typeface="Meiryo UI"/>
          </a:endParaRPr>
        </a:p>
        <a:p>
          <a:pPr algn="l">
            <a:spcBef>
              <a:spcPts val="150"/>
            </a:spcBef>
          </a:pPr>
          <a:r>
            <a:rPr lang="ja-JP" altLang="en-US" sz="800" b="0" dirty="0">
              <a:solidFill>
                <a:srgbClr val="404040"/>
              </a:solidFill>
              <a:latin typeface="Meiryo UI"/>
              <a:ea typeface="Meiryo UI"/>
              <a:cs typeface="Meiryo UI"/>
            </a:rPr>
            <a:t>四角も円も円柱も、各辺の両端と</a:t>
          </a:r>
          <a:endParaRPr lang="ja-JP" altLang="en-US" sz="800" dirty="0">
            <a:latin typeface="Meiryo UI"/>
            <a:ea typeface="Meiryo UI"/>
          </a:endParaRPr>
        </a:p>
        <a:p>
          <a:pPr algn="l"/>
          <a:r>
            <a:rPr lang="ja-JP" altLang="en-US" sz="800" b="0" dirty="0">
              <a:solidFill>
                <a:srgbClr val="404040"/>
              </a:solidFill>
              <a:latin typeface="Meiryo UI"/>
              <a:ea typeface="Meiryo UI"/>
              <a:cs typeface="Meiryo UI"/>
            </a:rPr>
            <a:t>4等分点・計16か所（方眼の線上）。</a:t>
          </a:r>
          <a:endParaRPr lang="ja-JP" altLang="en-US" sz="800" dirty="0">
            <a:latin typeface="Meiryo UI"/>
            <a:ea typeface="Meiryo UI"/>
          </a:endParaRPr>
        </a:p>
        <a:p>
          <a:pPr algn="l"/>
          <a:r>
            <a:rPr lang="ja-JP" altLang="en-US" sz="800" b="0" dirty="0">
              <a:solidFill>
                <a:srgbClr val="404040"/>
              </a:solidFill>
              <a:latin typeface="Meiryo UI"/>
              <a:ea typeface="Meiryo UI"/>
              <a:cs typeface="Meiryo UI"/>
            </a:rPr>
            <a:t>1つの図形に複数の線を</a:t>
          </a:r>
          <a:endParaRPr lang="ja-JP" altLang="en-US" sz="800" dirty="0">
            <a:latin typeface="Meiryo UI"/>
            <a:ea typeface="Meiryo UI"/>
          </a:endParaRPr>
        </a:p>
        <a:p>
          <a:pPr algn="l"/>
          <a:r>
            <a:rPr lang="ja-JP" altLang="en-US" sz="800" b="0" dirty="0">
              <a:solidFill>
                <a:srgbClr val="404040"/>
              </a:solidFill>
              <a:latin typeface="Meiryo UI"/>
              <a:ea typeface="Meiryo UI"/>
              <a:cs typeface="Meiryo UI"/>
            </a:rPr>
            <a:t>重ならずにつなげます。</a:t>
          </a:r>
          <a:endParaRPr lang="ja-JP" altLang="en-US" sz="800" dirty="0">
            <a:latin typeface="Meiryo UI"/>
            <a:ea typeface="Meiryo UI"/>
          </a:endParaRPr>
        </a:p>
      </xdr:txBody>
    </xdr:sp>
    <xdr:clientData/>
  </xdr:twoCellAnchor>
  <xdr:twoCellAnchor editAs="oneCell">
    <xdr:from>
      <xdr:col>20</xdr:col>
      <xdr:colOff>47625</xdr:colOff>
      <xdr:row>6</xdr:row>
      <xdr:rowOff>0</xdr:rowOff>
    </xdr:from>
    <xdr:to>
      <xdr:col>37</xdr:col>
      <xdr:colOff>47625</xdr:colOff>
      <xdr:row>6</xdr:row>
      <xdr:rowOff>47625</xdr:rowOff>
    </xdr:to>
    <xdr:sp macro="" textlink="">
      <xdr:nvSpPr>
        <xdr:cNvPr id="5" name="特長2: 上線">
          <a:extLst>
            <a:ext uri="{FF2B5EF4-FFF2-40B4-BE49-F238E27FC236}">
              <a16:creationId xmlns:a16="http://schemas.microsoft.com/office/drawing/2014/main" id="{00000000-0008-0000-0100-000005000000}"/>
            </a:ext>
          </a:extLst>
        </xdr:cNvPr>
        <xdr:cNvSpPr/>
      </xdr:nvSpPr>
      <xdr:spPr>
        <a:xfrm>
          <a:off x="3857625" y="1143000"/>
          <a:ext cx="3238500" cy="47625"/>
        </a:xfrm>
        <a:prstGeom prst="rect">
          <a:avLst/>
        </a:prstGeom>
        <a:solidFill>
          <a:srgbClr val="315C92"/>
        </a:solidFill>
        <a:ln>
          <a:noFill/>
        </a:ln>
      </xdr:spPr>
      <xdr:txBody>
        <a:bodyPr vertOverflow="overflow" horzOverflow="overflow" wrap="square" lIns="38100" tIns="19050" rIns="38100" bIns="19050" rtlCol="0" anchor="ctr">
          <a:noAutofit/>
        </a:bodyPr>
        <a:lstStyle/>
        <a:p>
          <a:pPr algn="l"/>
          <a:endParaRPr lang="ja-JP" altLang="en-US" sz="500" dirty="0">
            <a:latin typeface="Meiryo UI"/>
            <a:ea typeface="Meiryo UI"/>
          </a:endParaRPr>
        </a:p>
      </xdr:txBody>
    </xdr:sp>
    <xdr:clientData/>
  </xdr:twoCellAnchor>
  <xdr:twoCellAnchor editAs="oneCell">
    <xdr:from>
      <xdr:col>38</xdr:col>
      <xdr:colOff>95250</xdr:colOff>
      <xdr:row>6</xdr:row>
      <xdr:rowOff>0</xdr:rowOff>
    </xdr:from>
    <xdr:to>
      <xdr:col>55</xdr:col>
      <xdr:colOff>95250</xdr:colOff>
      <xdr:row>12</xdr:row>
      <xdr:rowOff>0</xdr:rowOff>
    </xdr:to>
    <xdr:sp macro="" textlink="">
      <xdr:nvSpPr>
        <xdr:cNvPr id="6" name="特長3">
          <a:extLst>
            <a:ext uri="{FF2B5EF4-FFF2-40B4-BE49-F238E27FC236}">
              <a16:creationId xmlns:a16="http://schemas.microsoft.com/office/drawing/2014/main" id="{00000000-0008-0000-0100-000006000000}"/>
            </a:ext>
          </a:extLst>
        </xdr:cNvPr>
        <xdr:cNvSpPr/>
      </xdr:nvSpPr>
      <xdr:spPr>
        <a:xfrm>
          <a:off x="7334250" y="1143000"/>
          <a:ext cx="3238500" cy="1143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1FAF7"/>
        </a:solidFill>
        <a:ln w="9525" cap="flat">
          <a:solidFill>
            <a:srgbClr val="B0DCCF"/>
          </a:solidFill>
          <a:round/>
        </a:ln>
      </xdr:spPr>
      <xdr:txBody>
        <a:bodyPr vertOverflow="overflow" horzOverflow="overflow" wrap="square" lIns="101600" tIns="63500" rIns="76200" bIns="50800" rtlCol="0" anchor="t">
          <a:noAutofit/>
        </a:bodyPr>
        <a:lstStyle/>
        <a:p>
          <a:pPr algn="l"/>
          <a:r>
            <a:rPr lang="ja-JP" altLang="en-US" sz="1050" b="1" dirty="0">
              <a:solidFill>
                <a:srgbClr val="005243"/>
              </a:solidFill>
              <a:latin typeface="Meiryo UI"/>
              <a:ea typeface="Meiryo UI"/>
              <a:cs typeface="Meiryo UI"/>
            </a:rPr>
            <a:t>③ 7色でルート分け</a:t>
          </a:r>
          <a:endParaRPr lang="ja-JP" altLang="en-US" sz="1050" dirty="0">
            <a:latin typeface="Meiryo UI"/>
            <a:ea typeface="Meiryo UI"/>
          </a:endParaRPr>
        </a:p>
        <a:p>
          <a:pPr algn="l">
            <a:spcBef>
              <a:spcPts val="150"/>
            </a:spcBef>
          </a:pPr>
          <a:r>
            <a:rPr lang="ja-JP" altLang="en-US" sz="800" b="0" dirty="0">
              <a:solidFill>
                <a:srgbClr val="404040"/>
              </a:solidFill>
              <a:latin typeface="Meiryo UI"/>
              <a:ea typeface="Meiryo UI"/>
              <a:cs typeface="Meiryo UI"/>
            </a:rPr>
            <a:t>モノトーンを基本に、接続経路ごとに</a:t>
          </a:r>
          <a:endParaRPr lang="ja-JP" altLang="en-US" sz="800" dirty="0">
            <a:latin typeface="Meiryo UI"/>
            <a:ea typeface="Meiryo UI"/>
          </a:endParaRPr>
        </a:p>
        <a:p>
          <a:pPr algn="l"/>
          <a:r>
            <a:rPr lang="ja-JP" altLang="en-US" sz="800" b="0" dirty="0">
              <a:solidFill>
                <a:srgbClr val="404040"/>
              </a:solidFill>
              <a:latin typeface="Meiryo UI"/>
              <a:ea typeface="Meiryo UI"/>
              <a:cs typeface="Meiryo UI"/>
            </a:rPr>
            <a:t>藍・青緑・橙・紫・ローズ・オリーブの6色で</a:t>
          </a:r>
          <a:endParaRPr lang="ja-JP" altLang="en-US" sz="800" dirty="0">
            <a:latin typeface="Meiryo UI"/>
            <a:ea typeface="Meiryo UI"/>
          </a:endParaRPr>
        </a:p>
        <a:p>
          <a:pPr algn="l"/>
          <a:r>
            <a:rPr lang="ja-JP" altLang="en-US" sz="800" b="0" dirty="0">
              <a:solidFill>
                <a:srgbClr val="404040"/>
              </a:solidFill>
              <a:latin typeface="Meiryo UI"/>
              <a:ea typeface="Meiryo UI"/>
              <a:cs typeface="Meiryo UI"/>
            </a:rPr>
            <a:t>図形・線・コメントを色分け。</a:t>
          </a:r>
          <a:endParaRPr lang="ja-JP" altLang="en-US" sz="800" dirty="0">
            <a:latin typeface="Meiryo UI"/>
            <a:ea typeface="Meiryo UI"/>
          </a:endParaRPr>
        </a:p>
        <a:p>
          <a:pPr algn="l"/>
          <a:r>
            <a:rPr lang="ja-JP" altLang="en-US" sz="800" b="0" dirty="0">
              <a:solidFill>
                <a:srgbClr val="404040"/>
              </a:solidFill>
              <a:latin typeface="Meiryo UI"/>
              <a:ea typeface="Meiryo UI"/>
              <a:cs typeface="Meiryo UI"/>
            </a:rPr>
            <a:t>データの流れが一目で分かります。</a:t>
          </a:r>
          <a:endParaRPr lang="ja-JP" altLang="en-US" sz="800" dirty="0">
            <a:latin typeface="Meiryo UI"/>
            <a:ea typeface="Meiryo UI"/>
          </a:endParaRPr>
        </a:p>
      </xdr:txBody>
    </xdr:sp>
    <xdr:clientData/>
  </xdr:twoCellAnchor>
  <xdr:twoCellAnchor editAs="oneCell">
    <xdr:from>
      <xdr:col>38</xdr:col>
      <xdr:colOff>95250</xdr:colOff>
      <xdr:row>6</xdr:row>
      <xdr:rowOff>0</xdr:rowOff>
    </xdr:from>
    <xdr:to>
      <xdr:col>55</xdr:col>
      <xdr:colOff>95250</xdr:colOff>
      <xdr:row>6</xdr:row>
      <xdr:rowOff>47625</xdr:rowOff>
    </xdr:to>
    <xdr:sp macro="" textlink="">
      <xdr:nvSpPr>
        <xdr:cNvPr id="7" name="特長3: 上線">
          <a:extLst>
            <a:ext uri="{FF2B5EF4-FFF2-40B4-BE49-F238E27FC236}">
              <a16:creationId xmlns:a16="http://schemas.microsoft.com/office/drawing/2014/main" id="{00000000-0008-0000-0100-000007000000}"/>
            </a:ext>
          </a:extLst>
        </xdr:cNvPr>
        <xdr:cNvSpPr/>
      </xdr:nvSpPr>
      <xdr:spPr>
        <a:xfrm>
          <a:off x="7334250" y="1143000"/>
          <a:ext cx="3238500" cy="47625"/>
        </a:xfrm>
        <a:prstGeom prst="rect">
          <a:avLst/>
        </a:prstGeom>
        <a:solidFill>
          <a:srgbClr val="247966"/>
        </a:solidFill>
        <a:ln>
          <a:noFill/>
        </a:ln>
      </xdr:spPr>
      <xdr:txBody>
        <a:bodyPr vertOverflow="overflow" horzOverflow="overflow" wrap="square" lIns="38100" tIns="19050" rIns="38100" bIns="19050" rtlCol="0" anchor="ctr">
          <a:noAutofit/>
        </a:bodyPr>
        <a:lstStyle/>
        <a:p>
          <a:pPr algn="l"/>
          <a:endParaRPr lang="ja-JP" altLang="en-US" sz="500" dirty="0">
            <a:latin typeface="Meiryo UI"/>
            <a:ea typeface="Meiryo UI"/>
          </a:endParaRPr>
        </a:p>
      </xdr:txBody>
    </xdr:sp>
    <xdr:clientData/>
  </xdr:twoCellAnchor>
  <xdr:twoCellAnchor editAs="oneCell">
    <xdr:from>
      <xdr:col>56</xdr:col>
      <xdr:colOff>142875</xdr:colOff>
      <xdr:row>6</xdr:row>
      <xdr:rowOff>0</xdr:rowOff>
    </xdr:from>
    <xdr:to>
      <xdr:col>73</xdr:col>
      <xdr:colOff>142875</xdr:colOff>
      <xdr:row>12</xdr:row>
      <xdr:rowOff>0</xdr:rowOff>
    </xdr:to>
    <xdr:sp macro="" textlink="">
      <xdr:nvSpPr>
        <xdr:cNvPr id="8" name="特長4">
          <a:extLst>
            <a:ext uri="{FF2B5EF4-FFF2-40B4-BE49-F238E27FC236}">
              <a16:creationId xmlns:a16="http://schemas.microsoft.com/office/drawing/2014/main" id="{00000000-0008-0000-0100-000008000000}"/>
            </a:ext>
          </a:extLst>
        </xdr:cNvPr>
        <xdr:cNvSpPr/>
      </xdr:nvSpPr>
      <xdr:spPr>
        <a:xfrm>
          <a:off x="10810875" y="1143000"/>
          <a:ext cx="3238500" cy="1143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EF6F2"/>
        </a:solidFill>
        <a:ln w="9525" cap="flat">
          <a:solidFill>
            <a:srgbClr val="EEC8B5"/>
          </a:solidFill>
          <a:round/>
        </a:ln>
      </xdr:spPr>
      <xdr:txBody>
        <a:bodyPr vertOverflow="overflow" horzOverflow="overflow" wrap="square" lIns="101600" tIns="63500" rIns="76200" bIns="50800" rtlCol="0" anchor="t">
          <a:noAutofit/>
        </a:bodyPr>
        <a:lstStyle/>
        <a:p>
          <a:pPr algn="l"/>
          <a:r>
            <a:rPr lang="ja-JP" altLang="en-US" sz="1050" b="1" dirty="0">
              <a:solidFill>
                <a:srgbClr val="954717"/>
              </a:solidFill>
              <a:latin typeface="Meiryo UI"/>
              <a:ea typeface="Meiryo UI"/>
              <a:cs typeface="Meiryo UI"/>
            </a:rPr>
            <a:t>④ ポイント・付記</a:t>
          </a:r>
          <a:endParaRPr lang="ja-JP" altLang="en-US" sz="1050" dirty="0">
            <a:latin typeface="Meiryo UI"/>
            <a:ea typeface="Meiryo UI"/>
          </a:endParaRPr>
        </a:p>
        <a:p>
          <a:pPr algn="l">
            <a:spcBef>
              <a:spcPts val="150"/>
            </a:spcBef>
          </a:pPr>
          <a:r>
            <a:rPr lang="ja-JP" altLang="en-US" sz="800" b="0" dirty="0">
              <a:solidFill>
                <a:srgbClr val="404040"/>
              </a:solidFill>
              <a:latin typeface="Meiryo UI"/>
              <a:ea typeface="Meiryo UI"/>
              <a:cs typeface="Meiryo UI"/>
            </a:rPr>
            <a:t>ポイント・付記・吹き出し・付箋を</a:t>
          </a:r>
          <a:endParaRPr lang="ja-JP" altLang="en-US" sz="800" dirty="0">
            <a:latin typeface="Meiryo UI"/>
            <a:ea typeface="Meiryo UI"/>
          </a:endParaRPr>
        </a:p>
        <a:p>
          <a:pPr algn="l"/>
          <a:r>
            <a:rPr lang="ja-JP" altLang="en-US" sz="800" b="0" dirty="0">
              <a:solidFill>
                <a:srgbClr val="404040"/>
              </a:solidFill>
              <a:latin typeface="Meiryo UI"/>
              <a:ea typeface="Meiryo UI"/>
              <a:cs typeface="Meiryo UI"/>
            </a:rPr>
            <a:t>ルートの色で用意。</a:t>
          </a:r>
          <a:endParaRPr lang="ja-JP" altLang="en-US" sz="800" dirty="0">
            <a:latin typeface="Meiryo UI"/>
            <a:ea typeface="Meiryo UI"/>
          </a:endParaRPr>
        </a:p>
        <a:p>
          <a:pPr algn="l"/>
          <a:r>
            <a:rPr lang="ja-JP" altLang="en-US" sz="800" b="0" dirty="0">
              <a:solidFill>
                <a:srgbClr val="404040"/>
              </a:solidFill>
              <a:latin typeface="Meiryo UI"/>
              <a:ea typeface="Meiryo UI"/>
              <a:cs typeface="Meiryo UI"/>
            </a:rPr>
            <a:t>設計の要点や注意点を</a:t>
          </a:r>
          <a:endParaRPr lang="ja-JP" altLang="en-US" sz="800" dirty="0">
            <a:latin typeface="Meiryo UI"/>
            <a:ea typeface="Meiryo UI"/>
          </a:endParaRPr>
        </a:p>
        <a:p>
          <a:pPr algn="l"/>
          <a:r>
            <a:rPr lang="ja-JP" altLang="en-US" sz="800" b="0" dirty="0">
              <a:solidFill>
                <a:srgbClr val="404040"/>
              </a:solidFill>
              <a:latin typeface="Meiryo UI"/>
              <a:ea typeface="Meiryo UI"/>
              <a:cs typeface="Meiryo UI"/>
            </a:rPr>
            <a:t>図の上に美しく書き込めます。</a:t>
          </a:r>
          <a:endParaRPr lang="ja-JP" altLang="en-US" sz="800" dirty="0">
            <a:latin typeface="Meiryo UI"/>
            <a:ea typeface="Meiryo UI"/>
          </a:endParaRPr>
        </a:p>
      </xdr:txBody>
    </xdr:sp>
    <xdr:clientData/>
  </xdr:twoCellAnchor>
  <xdr:twoCellAnchor editAs="oneCell">
    <xdr:from>
      <xdr:col>56</xdr:col>
      <xdr:colOff>142875</xdr:colOff>
      <xdr:row>6</xdr:row>
      <xdr:rowOff>0</xdr:rowOff>
    </xdr:from>
    <xdr:to>
      <xdr:col>73</xdr:col>
      <xdr:colOff>142875</xdr:colOff>
      <xdr:row>6</xdr:row>
      <xdr:rowOff>47625</xdr:rowOff>
    </xdr:to>
    <xdr:sp macro="" textlink="">
      <xdr:nvSpPr>
        <xdr:cNvPr id="9" name="特長4: 上線">
          <a:extLst>
            <a:ext uri="{FF2B5EF4-FFF2-40B4-BE49-F238E27FC236}">
              <a16:creationId xmlns:a16="http://schemas.microsoft.com/office/drawing/2014/main" id="{00000000-0008-0000-0100-000009000000}"/>
            </a:ext>
          </a:extLst>
        </xdr:cNvPr>
        <xdr:cNvSpPr/>
      </xdr:nvSpPr>
      <xdr:spPr>
        <a:xfrm>
          <a:off x="10810875" y="1143000"/>
          <a:ext cx="3238500" cy="47625"/>
        </a:xfrm>
        <a:prstGeom prst="rect">
          <a:avLst/>
        </a:prstGeom>
        <a:solidFill>
          <a:srgbClr val="C46B39"/>
        </a:solidFill>
        <a:ln>
          <a:noFill/>
        </a:ln>
      </xdr:spPr>
      <xdr:txBody>
        <a:bodyPr vertOverflow="overflow" horzOverflow="overflow" wrap="square" lIns="38100" tIns="19050" rIns="38100" bIns="19050" rtlCol="0" anchor="ctr">
          <a:noAutofit/>
        </a:bodyPr>
        <a:lstStyle/>
        <a:p>
          <a:pPr algn="l"/>
          <a:endParaRPr lang="ja-JP" altLang="en-US" sz="500" dirty="0">
            <a:latin typeface="Meiryo UI"/>
            <a:ea typeface="Meiryo UI"/>
          </a:endParaRPr>
        </a:p>
      </xdr:txBody>
    </xdr:sp>
    <xdr:clientData/>
  </xdr:twoCellAnchor>
  <xdr:twoCellAnchor editAs="oneCell">
    <xdr:from>
      <xdr:col>6</xdr:col>
      <xdr:colOff>0</xdr:colOff>
      <xdr:row>51</xdr:row>
      <xdr:rowOff>0</xdr:rowOff>
    </xdr:from>
    <xdr:to>
      <xdr:col>22</xdr:col>
      <xdr:colOff>0</xdr:colOff>
      <xdr:row>59</xdr:row>
      <xdr:rowOff>0</xdr:rowOff>
    </xdr:to>
    <xdr:sp macro="" textlink="">
      <xdr:nvSpPr>
        <xdr:cNvPr id="10" name="使い方: 接続点の見本">
          <a:extLst>
            <a:ext uri="{FF2B5EF4-FFF2-40B4-BE49-F238E27FC236}">
              <a16:creationId xmlns:a16="http://schemas.microsoft.com/office/drawing/2014/main" id="{00000000-0008-0000-0100-00000A000000}"/>
            </a:ext>
          </a:extLst>
        </xdr:cNvPr>
        <xdr:cNvSpPr/>
      </xdr:nvSpPr>
      <xdr:spPr>
        <a:xfrm>
          <a:off x="1143000" y="9715500"/>
          <a:ext cx="3048000" cy="1524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2700" cap="flat">
          <a:solidFill>
            <a:srgbClr val="404040"/>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ノード（16×8マス）</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各辺の両端（角）と4等分点＝16か所</a:t>
          </a:r>
          <a:endParaRPr lang="ja-JP" altLang="en-US" sz="750" dirty="0">
            <a:latin typeface="Meiryo UI"/>
            <a:ea typeface="Meiryo UI"/>
          </a:endParaRPr>
        </a:p>
      </xdr:txBody>
    </xdr:sp>
    <xdr:clientData/>
  </xdr:twoCellAnchor>
  <xdr:twoCellAnchor editAs="oneCell">
    <xdr:from>
      <xdr:col>5</xdr:col>
      <xdr:colOff>152400</xdr:colOff>
      <xdr:row>50</xdr:row>
      <xdr:rowOff>152400</xdr:rowOff>
    </xdr:from>
    <xdr:to>
      <xdr:col>6</xdr:col>
      <xdr:colOff>38100</xdr:colOff>
      <xdr:row>51</xdr:row>
      <xdr:rowOff>38100</xdr:rowOff>
    </xdr:to>
    <xdr:sp macro="" textlink="">
      <xdr:nvSpPr>
        <xdr:cNvPr id="51" name="使い方: 接続点1">
          <a:extLst>
            <a:ext uri="{FF2B5EF4-FFF2-40B4-BE49-F238E27FC236}">
              <a16:creationId xmlns:a16="http://schemas.microsoft.com/office/drawing/2014/main" id="{2BBC928D-05D7-42F3-9820-1908191BB4AB}"/>
            </a:ext>
          </a:extLst>
        </xdr:cNvPr>
        <xdr:cNvSpPr/>
      </xdr:nvSpPr>
      <xdr:spPr>
        <a:xfrm>
          <a:off x="1104900" y="9677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4</xdr:col>
      <xdr:colOff>182400</xdr:colOff>
      <xdr:row>49</xdr:row>
      <xdr:rowOff>133350</xdr:rowOff>
    </xdr:from>
    <xdr:to>
      <xdr:col>6</xdr:col>
      <xdr:colOff>30000</xdr:colOff>
      <xdr:row>50</xdr:row>
      <xdr:rowOff>114300</xdr:rowOff>
    </xdr:to>
    <xdr:sp macro="" textlink="">
      <xdr:nvSpPr>
        <xdr:cNvPr id="52" name="使い方: 番号1">
          <a:extLst>
            <a:ext uri="{FF2B5EF4-FFF2-40B4-BE49-F238E27FC236}">
              <a16:creationId xmlns:a16="http://schemas.microsoft.com/office/drawing/2014/main" id="{379C7A6A-8F97-4DE1-A0E9-DC0CD74A9639}"/>
            </a:ext>
          </a:extLst>
        </xdr:cNvPr>
        <xdr:cNvSpPr/>
      </xdr:nvSpPr>
      <xdr:spPr>
        <a:xfrm>
          <a:off x="944400" y="946785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800" b="1" dirty="0">
              <a:solidFill>
                <a:srgbClr val="262626"/>
              </a:solidFill>
              <a:latin typeface="Meiryo UI"/>
              <a:ea typeface="Meiryo UI"/>
              <a:cs typeface="Meiryo UI"/>
            </a:rPr>
            <a:t>1</a:t>
          </a:r>
          <a:endParaRPr lang="ja-JP" altLang="en-US" sz="800" dirty="0">
            <a:latin typeface="Meiryo UI"/>
            <a:ea typeface="Meiryo UI"/>
          </a:endParaRPr>
        </a:p>
      </xdr:txBody>
    </xdr:sp>
    <xdr:clientData/>
  </xdr:twoCellAnchor>
  <xdr:twoCellAnchor editAs="oneCell">
    <xdr:from>
      <xdr:col>9</xdr:col>
      <xdr:colOff>152400</xdr:colOff>
      <xdr:row>50</xdr:row>
      <xdr:rowOff>152400</xdr:rowOff>
    </xdr:from>
    <xdr:to>
      <xdr:col>10</xdr:col>
      <xdr:colOff>38100</xdr:colOff>
      <xdr:row>51</xdr:row>
      <xdr:rowOff>38100</xdr:rowOff>
    </xdr:to>
    <xdr:sp macro="" textlink="">
      <xdr:nvSpPr>
        <xdr:cNvPr id="53" name="使い方: 接続点2">
          <a:extLst>
            <a:ext uri="{FF2B5EF4-FFF2-40B4-BE49-F238E27FC236}">
              <a16:creationId xmlns:a16="http://schemas.microsoft.com/office/drawing/2014/main" id="{AA269EC6-4956-4C67-9D73-1B2BB36BAA9E}"/>
            </a:ext>
          </a:extLst>
        </xdr:cNvPr>
        <xdr:cNvSpPr/>
      </xdr:nvSpPr>
      <xdr:spPr>
        <a:xfrm>
          <a:off x="1866900" y="9677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9</xdr:col>
      <xdr:colOff>76200</xdr:colOff>
      <xdr:row>49</xdr:row>
      <xdr:rowOff>133350</xdr:rowOff>
    </xdr:from>
    <xdr:to>
      <xdr:col>10</xdr:col>
      <xdr:colOff>114300</xdr:colOff>
      <xdr:row>50</xdr:row>
      <xdr:rowOff>114300</xdr:rowOff>
    </xdr:to>
    <xdr:sp macro="" textlink="">
      <xdr:nvSpPr>
        <xdr:cNvPr id="54" name="使い方: 番号2">
          <a:extLst>
            <a:ext uri="{FF2B5EF4-FFF2-40B4-BE49-F238E27FC236}">
              <a16:creationId xmlns:a16="http://schemas.microsoft.com/office/drawing/2014/main" id="{BA73E891-BE8E-41F1-B829-2C2C72F64F0E}"/>
            </a:ext>
          </a:extLst>
        </xdr:cNvPr>
        <xdr:cNvSpPr/>
      </xdr:nvSpPr>
      <xdr:spPr>
        <a:xfrm>
          <a:off x="1790700" y="946785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800" b="1" dirty="0">
              <a:solidFill>
                <a:srgbClr val="262626"/>
              </a:solidFill>
              <a:latin typeface="Meiryo UI"/>
              <a:ea typeface="Meiryo UI"/>
              <a:cs typeface="Meiryo UI"/>
            </a:rPr>
            <a:t>2</a:t>
          </a:r>
          <a:endParaRPr lang="ja-JP" altLang="en-US" sz="800" dirty="0">
            <a:latin typeface="Meiryo UI"/>
            <a:ea typeface="Meiryo UI"/>
          </a:endParaRPr>
        </a:p>
      </xdr:txBody>
    </xdr:sp>
    <xdr:clientData/>
  </xdr:twoCellAnchor>
  <xdr:twoCellAnchor editAs="oneCell">
    <xdr:from>
      <xdr:col>13</xdr:col>
      <xdr:colOff>152400</xdr:colOff>
      <xdr:row>50</xdr:row>
      <xdr:rowOff>152400</xdr:rowOff>
    </xdr:from>
    <xdr:to>
      <xdr:col>14</xdr:col>
      <xdr:colOff>38100</xdr:colOff>
      <xdr:row>51</xdr:row>
      <xdr:rowOff>38100</xdr:rowOff>
    </xdr:to>
    <xdr:sp macro="" textlink="">
      <xdr:nvSpPr>
        <xdr:cNvPr id="55" name="使い方: 接続点3">
          <a:extLst>
            <a:ext uri="{FF2B5EF4-FFF2-40B4-BE49-F238E27FC236}">
              <a16:creationId xmlns:a16="http://schemas.microsoft.com/office/drawing/2014/main" id="{BFB89BA4-14AF-401C-A433-B2E4DA04201E}"/>
            </a:ext>
          </a:extLst>
        </xdr:cNvPr>
        <xdr:cNvSpPr/>
      </xdr:nvSpPr>
      <xdr:spPr>
        <a:xfrm>
          <a:off x="2628900" y="9677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13</xdr:col>
      <xdr:colOff>76200</xdr:colOff>
      <xdr:row>49</xdr:row>
      <xdr:rowOff>133350</xdr:rowOff>
    </xdr:from>
    <xdr:to>
      <xdr:col>14</xdr:col>
      <xdr:colOff>114300</xdr:colOff>
      <xdr:row>50</xdr:row>
      <xdr:rowOff>114300</xdr:rowOff>
    </xdr:to>
    <xdr:sp macro="" textlink="">
      <xdr:nvSpPr>
        <xdr:cNvPr id="56" name="使い方: 番号3">
          <a:extLst>
            <a:ext uri="{FF2B5EF4-FFF2-40B4-BE49-F238E27FC236}">
              <a16:creationId xmlns:a16="http://schemas.microsoft.com/office/drawing/2014/main" id="{346791DE-889E-43E9-9380-7CF5A5FF955A}"/>
            </a:ext>
          </a:extLst>
        </xdr:cNvPr>
        <xdr:cNvSpPr/>
      </xdr:nvSpPr>
      <xdr:spPr>
        <a:xfrm>
          <a:off x="2552700" y="946785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800" b="1" dirty="0">
              <a:solidFill>
                <a:srgbClr val="262626"/>
              </a:solidFill>
              <a:latin typeface="Meiryo UI"/>
              <a:ea typeface="Meiryo UI"/>
              <a:cs typeface="Meiryo UI"/>
            </a:rPr>
            <a:t>3</a:t>
          </a:r>
          <a:endParaRPr lang="ja-JP" altLang="en-US" sz="800" dirty="0">
            <a:latin typeface="Meiryo UI"/>
            <a:ea typeface="Meiryo UI"/>
          </a:endParaRPr>
        </a:p>
      </xdr:txBody>
    </xdr:sp>
    <xdr:clientData/>
  </xdr:twoCellAnchor>
  <xdr:twoCellAnchor editAs="oneCell">
    <xdr:from>
      <xdr:col>17</xdr:col>
      <xdr:colOff>152400</xdr:colOff>
      <xdr:row>50</xdr:row>
      <xdr:rowOff>152400</xdr:rowOff>
    </xdr:from>
    <xdr:to>
      <xdr:col>18</xdr:col>
      <xdr:colOff>38100</xdr:colOff>
      <xdr:row>51</xdr:row>
      <xdr:rowOff>38100</xdr:rowOff>
    </xdr:to>
    <xdr:sp macro="" textlink="">
      <xdr:nvSpPr>
        <xdr:cNvPr id="57" name="使い方: 接続点4">
          <a:extLst>
            <a:ext uri="{FF2B5EF4-FFF2-40B4-BE49-F238E27FC236}">
              <a16:creationId xmlns:a16="http://schemas.microsoft.com/office/drawing/2014/main" id="{B6EDA65A-F93C-4098-AB48-B34D63FC028D}"/>
            </a:ext>
          </a:extLst>
        </xdr:cNvPr>
        <xdr:cNvSpPr/>
      </xdr:nvSpPr>
      <xdr:spPr>
        <a:xfrm>
          <a:off x="3390900" y="9677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17</xdr:col>
      <xdr:colOff>76200</xdr:colOff>
      <xdr:row>49</xdr:row>
      <xdr:rowOff>133350</xdr:rowOff>
    </xdr:from>
    <xdr:to>
      <xdr:col>18</xdr:col>
      <xdr:colOff>114300</xdr:colOff>
      <xdr:row>50</xdr:row>
      <xdr:rowOff>114300</xdr:rowOff>
    </xdr:to>
    <xdr:sp macro="" textlink="">
      <xdr:nvSpPr>
        <xdr:cNvPr id="58" name="使い方: 番号4">
          <a:extLst>
            <a:ext uri="{FF2B5EF4-FFF2-40B4-BE49-F238E27FC236}">
              <a16:creationId xmlns:a16="http://schemas.microsoft.com/office/drawing/2014/main" id="{9FE6B5EB-8281-431F-A042-CFA635CD87CC}"/>
            </a:ext>
          </a:extLst>
        </xdr:cNvPr>
        <xdr:cNvSpPr/>
      </xdr:nvSpPr>
      <xdr:spPr>
        <a:xfrm>
          <a:off x="3314700" y="946785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800" b="1" dirty="0">
              <a:solidFill>
                <a:srgbClr val="262626"/>
              </a:solidFill>
              <a:latin typeface="Meiryo UI"/>
              <a:ea typeface="Meiryo UI"/>
              <a:cs typeface="Meiryo UI"/>
            </a:rPr>
            <a:t>4</a:t>
          </a:r>
          <a:endParaRPr lang="ja-JP" altLang="en-US" sz="800" dirty="0">
            <a:latin typeface="Meiryo UI"/>
            <a:ea typeface="Meiryo UI"/>
          </a:endParaRPr>
        </a:p>
      </xdr:txBody>
    </xdr:sp>
    <xdr:clientData/>
  </xdr:twoCellAnchor>
  <xdr:twoCellAnchor editAs="oneCell">
    <xdr:from>
      <xdr:col>21</xdr:col>
      <xdr:colOff>152400</xdr:colOff>
      <xdr:row>50</xdr:row>
      <xdr:rowOff>152400</xdr:rowOff>
    </xdr:from>
    <xdr:to>
      <xdr:col>22</xdr:col>
      <xdr:colOff>38100</xdr:colOff>
      <xdr:row>51</xdr:row>
      <xdr:rowOff>38100</xdr:rowOff>
    </xdr:to>
    <xdr:sp macro="" textlink="">
      <xdr:nvSpPr>
        <xdr:cNvPr id="59" name="使い方: 接続点5">
          <a:extLst>
            <a:ext uri="{FF2B5EF4-FFF2-40B4-BE49-F238E27FC236}">
              <a16:creationId xmlns:a16="http://schemas.microsoft.com/office/drawing/2014/main" id="{555AF81F-6489-4ABD-9368-16EC259B5ADA}"/>
            </a:ext>
          </a:extLst>
        </xdr:cNvPr>
        <xdr:cNvSpPr/>
      </xdr:nvSpPr>
      <xdr:spPr>
        <a:xfrm>
          <a:off x="4152900" y="9677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21</xdr:col>
      <xdr:colOff>160500</xdr:colOff>
      <xdr:row>49</xdr:row>
      <xdr:rowOff>133350</xdr:rowOff>
    </xdr:from>
    <xdr:to>
      <xdr:col>23</xdr:col>
      <xdr:colOff>8100</xdr:colOff>
      <xdr:row>50</xdr:row>
      <xdr:rowOff>114300</xdr:rowOff>
    </xdr:to>
    <xdr:sp macro="" textlink="">
      <xdr:nvSpPr>
        <xdr:cNvPr id="60" name="使い方: 番号5">
          <a:extLst>
            <a:ext uri="{FF2B5EF4-FFF2-40B4-BE49-F238E27FC236}">
              <a16:creationId xmlns:a16="http://schemas.microsoft.com/office/drawing/2014/main" id="{95B9A3B7-2ECE-4C22-B26C-E45D1FD26253}"/>
            </a:ext>
          </a:extLst>
        </xdr:cNvPr>
        <xdr:cNvSpPr/>
      </xdr:nvSpPr>
      <xdr:spPr>
        <a:xfrm>
          <a:off x="4161000" y="946785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800" b="1" dirty="0">
              <a:solidFill>
                <a:srgbClr val="262626"/>
              </a:solidFill>
              <a:latin typeface="Meiryo UI"/>
              <a:ea typeface="Meiryo UI"/>
              <a:cs typeface="Meiryo UI"/>
            </a:rPr>
            <a:t>5</a:t>
          </a:r>
          <a:endParaRPr lang="ja-JP" altLang="en-US" sz="800" dirty="0">
            <a:latin typeface="Meiryo UI"/>
            <a:ea typeface="Meiryo UI"/>
          </a:endParaRPr>
        </a:p>
      </xdr:txBody>
    </xdr:sp>
    <xdr:clientData/>
  </xdr:twoCellAnchor>
  <xdr:twoCellAnchor editAs="oneCell">
    <xdr:from>
      <xdr:col>21</xdr:col>
      <xdr:colOff>152400</xdr:colOff>
      <xdr:row>52</xdr:row>
      <xdr:rowOff>152400</xdr:rowOff>
    </xdr:from>
    <xdr:to>
      <xdr:col>22</xdr:col>
      <xdr:colOff>38100</xdr:colOff>
      <xdr:row>53</xdr:row>
      <xdr:rowOff>38100</xdr:rowOff>
    </xdr:to>
    <xdr:sp macro="" textlink="">
      <xdr:nvSpPr>
        <xdr:cNvPr id="61" name="使い方: 接続点6">
          <a:extLst>
            <a:ext uri="{FF2B5EF4-FFF2-40B4-BE49-F238E27FC236}">
              <a16:creationId xmlns:a16="http://schemas.microsoft.com/office/drawing/2014/main" id="{12EB3B32-1BF5-4AAB-8445-B0C549D3635A}"/>
            </a:ext>
          </a:extLst>
        </xdr:cNvPr>
        <xdr:cNvSpPr/>
      </xdr:nvSpPr>
      <xdr:spPr>
        <a:xfrm>
          <a:off x="4152900" y="10058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22</xdr:col>
      <xdr:colOff>76200</xdr:colOff>
      <xdr:row>52</xdr:row>
      <xdr:rowOff>104775</xdr:rowOff>
    </xdr:from>
    <xdr:to>
      <xdr:col>23</xdr:col>
      <xdr:colOff>114300</xdr:colOff>
      <xdr:row>53</xdr:row>
      <xdr:rowOff>85725</xdr:rowOff>
    </xdr:to>
    <xdr:sp macro="" textlink="">
      <xdr:nvSpPr>
        <xdr:cNvPr id="62" name="使い方: 番号6">
          <a:extLst>
            <a:ext uri="{FF2B5EF4-FFF2-40B4-BE49-F238E27FC236}">
              <a16:creationId xmlns:a16="http://schemas.microsoft.com/office/drawing/2014/main" id="{40C77D3B-D67E-43E2-B902-94957721E007}"/>
            </a:ext>
          </a:extLst>
        </xdr:cNvPr>
        <xdr:cNvSpPr/>
      </xdr:nvSpPr>
      <xdr:spPr>
        <a:xfrm>
          <a:off x="4267200" y="10010775"/>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800" b="1" dirty="0">
              <a:solidFill>
                <a:srgbClr val="262626"/>
              </a:solidFill>
              <a:latin typeface="Meiryo UI"/>
              <a:ea typeface="Meiryo UI"/>
              <a:cs typeface="Meiryo UI"/>
            </a:rPr>
            <a:t>6</a:t>
          </a:r>
          <a:endParaRPr lang="ja-JP" altLang="en-US" sz="800" dirty="0">
            <a:latin typeface="Meiryo UI"/>
            <a:ea typeface="Meiryo UI"/>
          </a:endParaRPr>
        </a:p>
      </xdr:txBody>
    </xdr:sp>
    <xdr:clientData/>
  </xdr:twoCellAnchor>
  <xdr:twoCellAnchor editAs="oneCell">
    <xdr:from>
      <xdr:col>21</xdr:col>
      <xdr:colOff>152400</xdr:colOff>
      <xdr:row>54</xdr:row>
      <xdr:rowOff>152400</xdr:rowOff>
    </xdr:from>
    <xdr:to>
      <xdr:col>22</xdr:col>
      <xdr:colOff>38100</xdr:colOff>
      <xdr:row>55</xdr:row>
      <xdr:rowOff>38100</xdr:rowOff>
    </xdr:to>
    <xdr:sp macro="" textlink="">
      <xdr:nvSpPr>
        <xdr:cNvPr id="63" name="使い方: 接続点7">
          <a:extLst>
            <a:ext uri="{FF2B5EF4-FFF2-40B4-BE49-F238E27FC236}">
              <a16:creationId xmlns:a16="http://schemas.microsoft.com/office/drawing/2014/main" id="{403A0E5E-CF6C-4077-B9F0-98832C506778}"/>
            </a:ext>
          </a:extLst>
        </xdr:cNvPr>
        <xdr:cNvSpPr/>
      </xdr:nvSpPr>
      <xdr:spPr>
        <a:xfrm>
          <a:off x="4152900" y="10439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22</xdr:col>
      <xdr:colOff>76200</xdr:colOff>
      <xdr:row>54</xdr:row>
      <xdr:rowOff>104775</xdr:rowOff>
    </xdr:from>
    <xdr:to>
      <xdr:col>23</xdr:col>
      <xdr:colOff>114300</xdr:colOff>
      <xdr:row>55</xdr:row>
      <xdr:rowOff>85725</xdr:rowOff>
    </xdr:to>
    <xdr:sp macro="" textlink="">
      <xdr:nvSpPr>
        <xdr:cNvPr id="64" name="使い方: 番号7">
          <a:extLst>
            <a:ext uri="{FF2B5EF4-FFF2-40B4-BE49-F238E27FC236}">
              <a16:creationId xmlns:a16="http://schemas.microsoft.com/office/drawing/2014/main" id="{7210182F-8FA4-4E0B-9861-3937177865DF}"/>
            </a:ext>
          </a:extLst>
        </xdr:cNvPr>
        <xdr:cNvSpPr/>
      </xdr:nvSpPr>
      <xdr:spPr>
        <a:xfrm>
          <a:off x="4267200" y="10391775"/>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800" b="1" dirty="0">
              <a:solidFill>
                <a:srgbClr val="262626"/>
              </a:solidFill>
              <a:latin typeface="Meiryo UI"/>
              <a:ea typeface="Meiryo UI"/>
              <a:cs typeface="Meiryo UI"/>
            </a:rPr>
            <a:t>7</a:t>
          </a:r>
          <a:endParaRPr lang="ja-JP" altLang="en-US" sz="800" dirty="0">
            <a:latin typeface="Meiryo UI"/>
            <a:ea typeface="Meiryo UI"/>
          </a:endParaRPr>
        </a:p>
      </xdr:txBody>
    </xdr:sp>
    <xdr:clientData/>
  </xdr:twoCellAnchor>
  <xdr:twoCellAnchor editAs="oneCell">
    <xdr:from>
      <xdr:col>21</xdr:col>
      <xdr:colOff>152400</xdr:colOff>
      <xdr:row>56</xdr:row>
      <xdr:rowOff>152400</xdr:rowOff>
    </xdr:from>
    <xdr:to>
      <xdr:col>22</xdr:col>
      <xdr:colOff>38100</xdr:colOff>
      <xdr:row>57</xdr:row>
      <xdr:rowOff>38100</xdr:rowOff>
    </xdr:to>
    <xdr:sp macro="" textlink="">
      <xdr:nvSpPr>
        <xdr:cNvPr id="65" name="使い方: 接続点8">
          <a:extLst>
            <a:ext uri="{FF2B5EF4-FFF2-40B4-BE49-F238E27FC236}">
              <a16:creationId xmlns:a16="http://schemas.microsoft.com/office/drawing/2014/main" id="{45916239-E7D0-4A79-B091-384CB3A5CB9E}"/>
            </a:ext>
          </a:extLst>
        </xdr:cNvPr>
        <xdr:cNvSpPr/>
      </xdr:nvSpPr>
      <xdr:spPr>
        <a:xfrm>
          <a:off x="4152900" y="10820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22</xdr:col>
      <xdr:colOff>76200</xdr:colOff>
      <xdr:row>56</xdr:row>
      <xdr:rowOff>104775</xdr:rowOff>
    </xdr:from>
    <xdr:to>
      <xdr:col>23</xdr:col>
      <xdr:colOff>114300</xdr:colOff>
      <xdr:row>57</xdr:row>
      <xdr:rowOff>85725</xdr:rowOff>
    </xdr:to>
    <xdr:sp macro="" textlink="">
      <xdr:nvSpPr>
        <xdr:cNvPr id="66" name="使い方: 番号8">
          <a:extLst>
            <a:ext uri="{FF2B5EF4-FFF2-40B4-BE49-F238E27FC236}">
              <a16:creationId xmlns:a16="http://schemas.microsoft.com/office/drawing/2014/main" id="{FD635B46-4D2D-4BF4-BCD1-45574DC838C1}"/>
            </a:ext>
          </a:extLst>
        </xdr:cNvPr>
        <xdr:cNvSpPr/>
      </xdr:nvSpPr>
      <xdr:spPr>
        <a:xfrm>
          <a:off x="4267200" y="10772775"/>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800" b="1" dirty="0">
              <a:solidFill>
                <a:srgbClr val="262626"/>
              </a:solidFill>
              <a:latin typeface="Meiryo UI"/>
              <a:ea typeface="Meiryo UI"/>
              <a:cs typeface="Meiryo UI"/>
            </a:rPr>
            <a:t>8</a:t>
          </a:r>
          <a:endParaRPr lang="ja-JP" altLang="en-US" sz="800" dirty="0">
            <a:latin typeface="Meiryo UI"/>
            <a:ea typeface="Meiryo UI"/>
          </a:endParaRPr>
        </a:p>
      </xdr:txBody>
    </xdr:sp>
    <xdr:clientData/>
  </xdr:twoCellAnchor>
  <xdr:twoCellAnchor editAs="oneCell">
    <xdr:from>
      <xdr:col>21</xdr:col>
      <xdr:colOff>152400</xdr:colOff>
      <xdr:row>58</xdr:row>
      <xdr:rowOff>152400</xdr:rowOff>
    </xdr:from>
    <xdr:to>
      <xdr:col>22</xdr:col>
      <xdr:colOff>38100</xdr:colOff>
      <xdr:row>59</xdr:row>
      <xdr:rowOff>38100</xdr:rowOff>
    </xdr:to>
    <xdr:sp macro="" textlink="">
      <xdr:nvSpPr>
        <xdr:cNvPr id="67" name="使い方: 接続点9">
          <a:extLst>
            <a:ext uri="{FF2B5EF4-FFF2-40B4-BE49-F238E27FC236}">
              <a16:creationId xmlns:a16="http://schemas.microsoft.com/office/drawing/2014/main" id="{888CEC4D-1F3F-491E-A8BE-3D09EB171A7A}"/>
            </a:ext>
          </a:extLst>
        </xdr:cNvPr>
        <xdr:cNvSpPr/>
      </xdr:nvSpPr>
      <xdr:spPr>
        <a:xfrm>
          <a:off x="4152900" y="11201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21</xdr:col>
      <xdr:colOff>160500</xdr:colOff>
      <xdr:row>59</xdr:row>
      <xdr:rowOff>76200</xdr:rowOff>
    </xdr:from>
    <xdr:to>
      <xdr:col>23</xdr:col>
      <xdr:colOff>8100</xdr:colOff>
      <xdr:row>60</xdr:row>
      <xdr:rowOff>57150</xdr:rowOff>
    </xdr:to>
    <xdr:sp macro="" textlink="">
      <xdr:nvSpPr>
        <xdr:cNvPr id="68" name="使い方: 番号9">
          <a:extLst>
            <a:ext uri="{FF2B5EF4-FFF2-40B4-BE49-F238E27FC236}">
              <a16:creationId xmlns:a16="http://schemas.microsoft.com/office/drawing/2014/main" id="{670C3614-E854-44A4-9C88-462AC2DF00A9}"/>
            </a:ext>
          </a:extLst>
        </xdr:cNvPr>
        <xdr:cNvSpPr/>
      </xdr:nvSpPr>
      <xdr:spPr>
        <a:xfrm>
          <a:off x="4161000" y="1131570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800" b="1" dirty="0">
              <a:solidFill>
                <a:srgbClr val="262626"/>
              </a:solidFill>
              <a:latin typeface="Meiryo UI"/>
              <a:ea typeface="Meiryo UI"/>
              <a:cs typeface="Meiryo UI"/>
            </a:rPr>
            <a:t>9</a:t>
          </a:r>
          <a:endParaRPr lang="ja-JP" altLang="en-US" sz="800" dirty="0">
            <a:latin typeface="Meiryo UI"/>
            <a:ea typeface="Meiryo UI"/>
          </a:endParaRPr>
        </a:p>
      </xdr:txBody>
    </xdr:sp>
    <xdr:clientData/>
  </xdr:twoCellAnchor>
  <xdr:twoCellAnchor editAs="oneCell">
    <xdr:from>
      <xdr:col>17</xdr:col>
      <xdr:colOff>152400</xdr:colOff>
      <xdr:row>58</xdr:row>
      <xdr:rowOff>152400</xdr:rowOff>
    </xdr:from>
    <xdr:to>
      <xdr:col>18</xdr:col>
      <xdr:colOff>38100</xdr:colOff>
      <xdr:row>59</xdr:row>
      <xdr:rowOff>38100</xdr:rowOff>
    </xdr:to>
    <xdr:sp macro="" textlink="">
      <xdr:nvSpPr>
        <xdr:cNvPr id="69" name="使い方: 接続点10">
          <a:extLst>
            <a:ext uri="{FF2B5EF4-FFF2-40B4-BE49-F238E27FC236}">
              <a16:creationId xmlns:a16="http://schemas.microsoft.com/office/drawing/2014/main" id="{D19D8D06-417E-4E30-A9E3-9228D377025E}"/>
            </a:ext>
          </a:extLst>
        </xdr:cNvPr>
        <xdr:cNvSpPr/>
      </xdr:nvSpPr>
      <xdr:spPr>
        <a:xfrm>
          <a:off x="3390900" y="11201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17</xdr:col>
      <xdr:colOff>76200</xdr:colOff>
      <xdr:row>59</xdr:row>
      <xdr:rowOff>76200</xdr:rowOff>
    </xdr:from>
    <xdr:to>
      <xdr:col>18</xdr:col>
      <xdr:colOff>114300</xdr:colOff>
      <xdr:row>60</xdr:row>
      <xdr:rowOff>57150</xdr:rowOff>
    </xdr:to>
    <xdr:sp macro="" textlink="">
      <xdr:nvSpPr>
        <xdr:cNvPr id="70" name="使い方: 番号10">
          <a:extLst>
            <a:ext uri="{FF2B5EF4-FFF2-40B4-BE49-F238E27FC236}">
              <a16:creationId xmlns:a16="http://schemas.microsoft.com/office/drawing/2014/main" id="{10E84CD1-5DE7-4F66-8641-65BA676EAC7D}"/>
            </a:ext>
          </a:extLst>
        </xdr:cNvPr>
        <xdr:cNvSpPr/>
      </xdr:nvSpPr>
      <xdr:spPr>
        <a:xfrm>
          <a:off x="3314700" y="1131570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800" b="1" dirty="0">
              <a:solidFill>
                <a:srgbClr val="262626"/>
              </a:solidFill>
              <a:latin typeface="Meiryo UI"/>
              <a:ea typeface="Meiryo UI"/>
              <a:cs typeface="Meiryo UI"/>
            </a:rPr>
            <a:t>10</a:t>
          </a:r>
          <a:endParaRPr lang="ja-JP" altLang="en-US" sz="800" dirty="0">
            <a:latin typeface="Meiryo UI"/>
            <a:ea typeface="Meiryo UI"/>
          </a:endParaRPr>
        </a:p>
      </xdr:txBody>
    </xdr:sp>
    <xdr:clientData/>
  </xdr:twoCellAnchor>
  <xdr:twoCellAnchor editAs="oneCell">
    <xdr:from>
      <xdr:col>13</xdr:col>
      <xdr:colOff>152400</xdr:colOff>
      <xdr:row>58</xdr:row>
      <xdr:rowOff>152400</xdr:rowOff>
    </xdr:from>
    <xdr:to>
      <xdr:col>14</xdr:col>
      <xdr:colOff>38100</xdr:colOff>
      <xdr:row>59</xdr:row>
      <xdr:rowOff>38100</xdr:rowOff>
    </xdr:to>
    <xdr:sp macro="" textlink="">
      <xdr:nvSpPr>
        <xdr:cNvPr id="71" name="使い方: 接続点11">
          <a:extLst>
            <a:ext uri="{FF2B5EF4-FFF2-40B4-BE49-F238E27FC236}">
              <a16:creationId xmlns:a16="http://schemas.microsoft.com/office/drawing/2014/main" id="{BB196C27-A3D7-426D-A96B-A083ED142E56}"/>
            </a:ext>
          </a:extLst>
        </xdr:cNvPr>
        <xdr:cNvSpPr/>
      </xdr:nvSpPr>
      <xdr:spPr>
        <a:xfrm>
          <a:off x="2628900" y="11201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13</xdr:col>
      <xdr:colOff>76200</xdr:colOff>
      <xdr:row>59</xdr:row>
      <xdr:rowOff>76200</xdr:rowOff>
    </xdr:from>
    <xdr:to>
      <xdr:col>14</xdr:col>
      <xdr:colOff>114300</xdr:colOff>
      <xdr:row>60</xdr:row>
      <xdr:rowOff>57150</xdr:rowOff>
    </xdr:to>
    <xdr:sp macro="" textlink="">
      <xdr:nvSpPr>
        <xdr:cNvPr id="72" name="使い方: 番号11">
          <a:extLst>
            <a:ext uri="{FF2B5EF4-FFF2-40B4-BE49-F238E27FC236}">
              <a16:creationId xmlns:a16="http://schemas.microsoft.com/office/drawing/2014/main" id="{449AA3B0-92E3-4DEB-B7E3-2486D8820A7F}"/>
            </a:ext>
          </a:extLst>
        </xdr:cNvPr>
        <xdr:cNvSpPr/>
      </xdr:nvSpPr>
      <xdr:spPr>
        <a:xfrm>
          <a:off x="2552700" y="1131570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800" b="1" dirty="0">
              <a:solidFill>
                <a:srgbClr val="262626"/>
              </a:solidFill>
              <a:latin typeface="Meiryo UI"/>
              <a:ea typeface="Meiryo UI"/>
              <a:cs typeface="Meiryo UI"/>
            </a:rPr>
            <a:t>11</a:t>
          </a:r>
          <a:endParaRPr lang="ja-JP" altLang="en-US" sz="800" dirty="0">
            <a:latin typeface="Meiryo UI"/>
            <a:ea typeface="Meiryo UI"/>
          </a:endParaRPr>
        </a:p>
      </xdr:txBody>
    </xdr:sp>
    <xdr:clientData/>
  </xdr:twoCellAnchor>
  <xdr:twoCellAnchor editAs="oneCell">
    <xdr:from>
      <xdr:col>9</xdr:col>
      <xdr:colOff>152400</xdr:colOff>
      <xdr:row>58</xdr:row>
      <xdr:rowOff>152400</xdr:rowOff>
    </xdr:from>
    <xdr:to>
      <xdr:col>10</xdr:col>
      <xdr:colOff>38100</xdr:colOff>
      <xdr:row>59</xdr:row>
      <xdr:rowOff>38100</xdr:rowOff>
    </xdr:to>
    <xdr:sp macro="" textlink="">
      <xdr:nvSpPr>
        <xdr:cNvPr id="73" name="使い方: 接続点12">
          <a:extLst>
            <a:ext uri="{FF2B5EF4-FFF2-40B4-BE49-F238E27FC236}">
              <a16:creationId xmlns:a16="http://schemas.microsoft.com/office/drawing/2014/main" id="{B8AB5D42-02C6-4F5A-A19A-F2F36DD0711C}"/>
            </a:ext>
          </a:extLst>
        </xdr:cNvPr>
        <xdr:cNvSpPr/>
      </xdr:nvSpPr>
      <xdr:spPr>
        <a:xfrm>
          <a:off x="1866900" y="11201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9</xdr:col>
      <xdr:colOff>76200</xdr:colOff>
      <xdr:row>59</xdr:row>
      <xdr:rowOff>76200</xdr:rowOff>
    </xdr:from>
    <xdr:to>
      <xdr:col>10</xdr:col>
      <xdr:colOff>114300</xdr:colOff>
      <xdr:row>60</xdr:row>
      <xdr:rowOff>57150</xdr:rowOff>
    </xdr:to>
    <xdr:sp macro="" textlink="">
      <xdr:nvSpPr>
        <xdr:cNvPr id="74" name="使い方: 番号12">
          <a:extLst>
            <a:ext uri="{FF2B5EF4-FFF2-40B4-BE49-F238E27FC236}">
              <a16:creationId xmlns:a16="http://schemas.microsoft.com/office/drawing/2014/main" id="{24FD9716-06A5-4BE3-917C-F3603CDB066A}"/>
            </a:ext>
          </a:extLst>
        </xdr:cNvPr>
        <xdr:cNvSpPr/>
      </xdr:nvSpPr>
      <xdr:spPr>
        <a:xfrm>
          <a:off x="1790700" y="1131570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800" b="1" dirty="0">
              <a:solidFill>
                <a:srgbClr val="262626"/>
              </a:solidFill>
              <a:latin typeface="Meiryo UI"/>
              <a:ea typeface="Meiryo UI"/>
              <a:cs typeface="Meiryo UI"/>
            </a:rPr>
            <a:t>12</a:t>
          </a:r>
          <a:endParaRPr lang="ja-JP" altLang="en-US" sz="800" dirty="0">
            <a:latin typeface="Meiryo UI"/>
            <a:ea typeface="Meiryo UI"/>
          </a:endParaRPr>
        </a:p>
      </xdr:txBody>
    </xdr:sp>
    <xdr:clientData/>
  </xdr:twoCellAnchor>
  <xdr:twoCellAnchor editAs="oneCell">
    <xdr:from>
      <xdr:col>5</xdr:col>
      <xdr:colOff>152400</xdr:colOff>
      <xdr:row>58</xdr:row>
      <xdr:rowOff>152400</xdr:rowOff>
    </xdr:from>
    <xdr:to>
      <xdr:col>6</xdr:col>
      <xdr:colOff>38100</xdr:colOff>
      <xdr:row>59</xdr:row>
      <xdr:rowOff>38100</xdr:rowOff>
    </xdr:to>
    <xdr:sp macro="" textlink="">
      <xdr:nvSpPr>
        <xdr:cNvPr id="75" name="使い方: 接続点13">
          <a:extLst>
            <a:ext uri="{FF2B5EF4-FFF2-40B4-BE49-F238E27FC236}">
              <a16:creationId xmlns:a16="http://schemas.microsoft.com/office/drawing/2014/main" id="{06B2C491-BDA7-4F8F-9850-50E59FF18507}"/>
            </a:ext>
          </a:extLst>
        </xdr:cNvPr>
        <xdr:cNvSpPr/>
      </xdr:nvSpPr>
      <xdr:spPr>
        <a:xfrm>
          <a:off x="1104900" y="11201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4</xdr:col>
      <xdr:colOff>182400</xdr:colOff>
      <xdr:row>59</xdr:row>
      <xdr:rowOff>76200</xdr:rowOff>
    </xdr:from>
    <xdr:to>
      <xdr:col>6</xdr:col>
      <xdr:colOff>30000</xdr:colOff>
      <xdr:row>60</xdr:row>
      <xdr:rowOff>57150</xdr:rowOff>
    </xdr:to>
    <xdr:sp macro="" textlink="">
      <xdr:nvSpPr>
        <xdr:cNvPr id="76" name="使い方: 番号13">
          <a:extLst>
            <a:ext uri="{FF2B5EF4-FFF2-40B4-BE49-F238E27FC236}">
              <a16:creationId xmlns:a16="http://schemas.microsoft.com/office/drawing/2014/main" id="{6F2464CC-6F75-439B-B9ED-9EA53D34521D}"/>
            </a:ext>
          </a:extLst>
        </xdr:cNvPr>
        <xdr:cNvSpPr/>
      </xdr:nvSpPr>
      <xdr:spPr>
        <a:xfrm>
          <a:off x="944400" y="1131570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800" b="1" dirty="0">
              <a:solidFill>
                <a:srgbClr val="262626"/>
              </a:solidFill>
              <a:latin typeface="Meiryo UI"/>
              <a:ea typeface="Meiryo UI"/>
              <a:cs typeface="Meiryo UI"/>
            </a:rPr>
            <a:t>13</a:t>
          </a:r>
          <a:endParaRPr lang="ja-JP" altLang="en-US" sz="800" dirty="0">
            <a:latin typeface="Meiryo UI"/>
            <a:ea typeface="Meiryo UI"/>
          </a:endParaRPr>
        </a:p>
      </xdr:txBody>
    </xdr:sp>
    <xdr:clientData/>
  </xdr:twoCellAnchor>
  <xdr:twoCellAnchor editAs="oneCell">
    <xdr:from>
      <xdr:col>5</xdr:col>
      <xdr:colOff>152400</xdr:colOff>
      <xdr:row>56</xdr:row>
      <xdr:rowOff>152400</xdr:rowOff>
    </xdr:from>
    <xdr:to>
      <xdr:col>6</xdr:col>
      <xdr:colOff>38100</xdr:colOff>
      <xdr:row>57</xdr:row>
      <xdr:rowOff>38100</xdr:rowOff>
    </xdr:to>
    <xdr:sp macro="" textlink="">
      <xdr:nvSpPr>
        <xdr:cNvPr id="77" name="使い方: 接続点14">
          <a:extLst>
            <a:ext uri="{FF2B5EF4-FFF2-40B4-BE49-F238E27FC236}">
              <a16:creationId xmlns:a16="http://schemas.microsoft.com/office/drawing/2014/main" id="{1AC7E974-0520-404B-BBAC-58C0AD7D9777}"/>
            </a:ext>
          </a:extLst>
        </xdr:cNvPr>
        <xdr:cNvSpPr/>
      </xdr:nvSpPr>
      <xdr:spPr>
        <a:xfrm>
          <a:off x="1104900" y="10820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4</xdr:col>
      <xdr:colOff>76200</xdr:colOff>
      <xdr:row>56</xdr:row>
      <xdr:rowOff>104775</xdr:rowOff>
    </xdr:from>
    <xdr:to>
      <xdr:col>5</xdr:col>
      <xdr:colOff>114300</xdr:colOff>
      <xdr:row>57</xdr:row>
      <xdr:rowOff>85725</xdr:rowOff>
    </xdr:to>
    <xdr:sp macro="" textlink="">
      <xdr:nvSpPr>
        <xdr:cNvPr id="78" name="使い方: 番号14">
          <a:extLst>
            <a:ext uri="{FF2B5EF4-FFF2-40B4-BE49-F238E27FC236}">
              <a16:creationId xmlns:a16="http://schemas.microsoft.com/office/drawing/2014/main" id="{13F08733-4CEC-4023-BE60-78BEF2F9CB57}"/>
            </a:ext>
          </a:extLst>
        </xdr:cNvPr>
        <xdr:cNvSpPr/>
      </xdr:nvSpPr>
      <xdr:spPr>
        <a:xfrm>
          <a:off x="838200" y="10772775"/>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800" b="1" dirty="0">
              <a:solidFill>
                <a:srgbClr val="262626"/>
              </a:solidFill>
              <a:latin typeface="Meiryo UI"/>
              <a:ea typeface="Meiryo UI"/>
              <a:cs typeface="Meiryo UI"/>
            </a:rPr>
            <a:t>14</a:t>
          </a:r>
          <a:endParaRPr lang="ja-JP" altLang="en-US" sz="800" dirty="0">
            <a:latin typeface="Meiryo UI"/>
            <a:ea typeface="Meiryo UI"/>
          </a:endParaRPr>
        </a:p>
      </xdr:txBody>
    </xdr:sp>
    <xdr:clientData/>
  </xdr:twoCellAnchor>
  <xdr:twoCellAnchor editAs="oneCell">
    <xdr:from>
      <xdr:col>5</xdr:col>
      <xdr:colOff>152400</xdr:colOff>
      <xdr:row>54</xdr:row>
      <xdr:rowOff>152400</xdr:rowOff>
    </xdr:from>
    <xdr:to>
      <xdr:col>6</xdr:col>
      <xdr:colOff>38100</xdr:colOff>
      <xdr:row>55</xdr:row>
      <xdr:rowOff>38100</xdr:rowOff>
    </xdr:to>
    <xdr:sp macro="" textlink="">
      <xdr:nvSpPr>
        <xdr:cNvPr id="79" name="使い方: 接続点15">
          <a:extLst>
            <a:ext uri="{FF2B5EF4-FFF2-40B4-BE49-F238E27FC236}">
              <a16:creationId xmlns:a16="http://schemas.microsoft.com/office/drawing/2014/main" id="{5E9DBE73-7992-4F74-B29F-16D5A5D8263F}"/>
            </a:ext>
          </a:extLst>
        </xdr:cNvPr>
        <xdr:cNvSpPr/>
      </xdr:nvSpPr>
      <xdr:spPr>
        <a:xfrm>
          <a:off x="1104900" y="10439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4</xdr:col>
      <xdr:colOff>76200</xdr:colOff>
      <xdr:row>54</xdr:row>
      <xdr:rowOff>104775</xdr:rowOff>
    </xdr:from>
    <xdr:to>
      <xdr:col>5</xdr:col>
      <xdr:colOff>114300</xdr:colOff>
      <xdr:row>55</xdr:row>
      <xdr:rowOff>85725</xdr:rowOff>
    </xdr:to>
    <xdr:sp macro="" textlink="">
      <xdr:nvSpPr>
        <xdr:cNvPr id="80" name="使い方: 番号15">
          <a:extLst>
            <a:ext uri="{FF2B5EF4-FFF2-40B4-BE49-F238E27FC236}">
              <a16:creationId xmlns:a16="http://schemas.microsoft.com/office/drawing/2014/main" id="{32984B89-CD8C-4D7F-BCC5-A75B7281B7F8}"/>
            </a:ext>
          </a:extLst>
        </xdr:cNvPr>
        <xdr:cNvSpPr/>
      </xdr:nvSpPr>
      <xdr:spPr>
        <a:xfrm>
          <a:off x="838200" y="10391775"/>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800" b="1" dirty="0">
              <a:solidFill>
                <a:srgbClr val="262626"/>
              </a:solidFill>
              <a:latin typeface="Meiryo UI"/>
              <a:ea typeface="Meiryo UI"/>
              <a:cs typeface="Meiryo UI"/>
            </a:rPr>
            <a:t>15</a:t>
          </a:r>
          <a:endParaRPr lang="ja-JP" altLang="en-US" sz="800" dirty="0">
            <a:latin typeface="Meiryo UI"/>
            <a:ea typeface="Meiryo UI"/>
          </a:endParaRPr>
        </a:p>
      </xdr:txBody>
    </xdr:sp>
    <xdr:clientData/>
  </xdr:twoCellAnchor>
  <xdr:twoCellAnchor editAs="oneCell">
    <xdr:from>
      <xdr:col>5</xdr:col>
      <xdr:colOff>152400</xdr:colOff>
      <xdr:row>52</xdr:row>
      <xdr:rowOff>152400</xdr:rowOff>
    </xdr:from>
    <xdr:to>
      <xdr:col>6</xdr:col>
      <xdr:colOff>38100</xdr:colOff>
      <xdr:row>53</xdr:row>
      <xdr:rowOff>38100</xdr:rowOff>
    </xdr:to>
    <xdr:sp macro="" textlink="">
      <xdr:nvSpPr>
        <xdr:cNvPr id="81" name="使い方: 接続点16">
          <a:extLst>
            <a:ext uri="{FF2B5EF4-FFF2-40B4-BE49-F238E27FC236}">
              <a16:creationId xmlns:a16="http://schemas.microsoft.com/office/drawing/2014/main" id="{5909E267-5741-4058-9CE6-2C00C17585DE}"/>
            </a:ext>
          </a:extLst>
        </xdr:cNvPr>
        <xdr:cNvSpPr/>
      </xdr:nvSpPr>
      <xdr:spPr>
        <a:xfrm>
          <a:off x="1104900" y="10058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4</xdr:col>
      <xdr:colOff>76200</xdr:colOff>
      <xdr:row>52</xdr:row>
      <xdr:rowOff>104775</xdr:rowOff>
    </xdr:from>
    <xdr:to>
      <xdr:col>5</xdr:col>
      <xdr:colOff>114300</xdr:colOff>
      <xdr:row>53</xdr:row>
      <xdr:rowOff>85725</xdr:rowOff>
    </xdr:to>
    <xdr:sp macro="" textlink="">
      <xdr:nvSpPr>
        <xdr:cNvPr id="82" name="使い方: 番号16">
          <a:extLst>
            <a:ext uri="{FF2B5EF4-FFF2-40B4-BE49-F238E27FC236}">
              <a16:creationId xmlns:a16="http://schemas.microsoft.com/office/drawing/2014/main" id="{86B8BADA-E5CC-4EDD-8FF5-50894FA70359}"/>
            </a:ext>
          </a:extLst>
        </xdr:cNvPr>
        <xdr:cNvSpPr/>
      </xdr:nvSpPr>
      <xdr:spPr>
        <a:xfrm>
          <a:off x="838200" y="10010775"/>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800" b="1" dirty="0">
              <a:solidFill>
                <a:srgbClr val="262626"/>
              </a:solidFill>
              <a:latin typeface="Meiryo UI"/>
              <a:ea typeface="Meiryo UI"/>
              <a:cs typeface="Meiryo UI"/>
            </a:rPr>
            <a:t>16</a:t>
          </a:r>
          <a:endParaRPr lang="ja-JP" altLang="en-US" sz="800" dirty="0">
            <a:latin typeface="Meiryo UI"/>
            <a:ea typeface="Meiryo UI"/>
          </a:endParaRPr>
        </a:p>
      </xdr:txBody>
    </xdr:sp>
    <xdr:clientData/>
  </xdr:twoCellAnchor>
  <xdr:twoCellAnchor editAs="oneCell">
    <xdr:from>
      <xdr:col>60</xdr:col>
      <xdr:colOff>0</xdr:colOff>
      <xdr:row>50</xdr:row>
      <xdr:rowOff>0</xdr:rowOff>
    </xdr:from>
    <xdr:to>
      <xdr:col>68</xdr:col>
      <xdr:colOff>0</xdr:colOff>
      <xdr:row>62</xdr:row>
      <xdr:rowOff>0</xdr:rowOff>
    </xdr:to>
    <xdr:sp macro="" textlink="">
      <xdr:nvSpPr>
        <xdr:cNvPr id="35" name="使い方: 共通ノード">
          <a:extLst>
            <a:ext uri="{FF2B5EF4-FFF2-40B4-BE49-F238E27FC236}">
              <a16:creationId xmlns:a16="http://schemas.microsoft.com/office/drawing/2014/main" id="{00000000-0008-0000-0100-000023000000}"/>
            </a:ext>
          </a:extLst>
        </xdr:cNvPr>
        <xdr:cNvSpPr/>
      </xdr:nvSpPr>
      <xdr:spPr>
        <a:xfrm>
          <a:off x="11430000" y="9525000"/>
          <a:ext cx="1524000" cy="2286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2700" cap="flat">
          <a:solidFill>
            <a:srgbClr val="404040"/>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共通のノード</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8×12マス</a:t>
          </a:r>
          <a:endParaRPr lang="ja-JP" altLang="en-US" sz="750" dirty="0">
            <a:latin typeface="Meiryo UI"/>
            <a:ea typeface="Meiryo UI"/>
          </a:endParaRPr>
        </a:p>
      </xdr:txBody>
    </xdr:sp>
    <xdr:clientData/>
  </xdr:twoCellAnchor>
  <xdr:twoCellAnchor editAs="oneCell">
    <xdr:from>
      <xdr:col>38</xdr:col>
      <xdr:colOff>0</xdr:colOff>
      <xdr:row>49</xdr:row>
      <xdr:rowOff>0</xdr:rowOff>
    </xdr:from>
    <xdr:to>
      <xdr:col>46</xdr:col>
      <xdr:colOff>0</xdr:colOff>
      <xdr:row>53</xdr:row>
      <xdr:rowOff>0</xdr:rowOff>
    </xdr:to>
    <xdr:sp macro="" textlink="">
      <xdr:nvSpPr>
        <xdr:cNvPr id="36" name="使い方: 接続元A">
          <a:extLst>
            <a:ext uri="{FF2B5EF4-FFF2-40B4-BE49-F238E27FC236}">
              <a16:creationId xmlns:a16="http://schemas.microsoft.com/office/drawing/2014/main" id="{00000000-0008-0000-0100-000024000000}"/>
            </a:ext>
          </a:extLst>
        </xdr:cNvPr>
        <xdr:cNvSpPr/>
      </xdr:nvSpPr>
      <xdr:spPr>
        <a:xfrm>
          <a:off x="7239000" y="93345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315C92"/>
        </a:solidFill>
        <a:ln w="15875" cap="flat">
          <a:solidFill>
            <a:srgbClr val="315C92"/>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ルートA</a:t>
          </a:r>
          <a:endParaRPr lang="ja-JP" altLang="en-US" sz="950" dirty="0">
            <a:latin typeface="Meiryo UI"/>
            <a:ea typeface="Meiryo UI"/>
          </a:endParaRPr>
        </a:p>
      </xdr:txBody>
    </xdr:sp>
    <xdr:clientData/>
  </xdr:twoCellAnchor>
  <xdr:twoCellAnchor editAs="oneCell">
    <xdr:from>
      <xdr:col>38</xdr:col>
      <xdr:colOff>0</xdr:colOff>
      <xdr:row>54</xdr:row>
      <xdr:rowOff>0</xdr:rowOff>
    </xdr:from>
    <xdr:to>
      <xdr:col>46</xdr:col>
      <xdr:colOff>0</xdr:colOff>
      <xdr:row>58</xdr:row>
      <xdr:rowOff>0</xdr:rowOff>
    </xdr:to>
    <xdr:sp macro="" textlink="">
      <xdr:nvSpPr>
        <xdr:cNvPr id="37" name="使い方: 接続元B">
          <a:extLst>
            <a:ext uri="{FF2B5EF4-FFF2-40B4-BE49-F238E27FC236}">
              <a16:creationId xmlns:a16="http://schemas.microsoft.com/office/drawing/2014/main" id="{00000000-0008-0000-0100-000025000000}"/>
            </a:ext>
          </a:extLst>
        </xdr:cNvPr>
        <xdr:cNvSpPr/>
      </xdr:nvSpPr>
      <xdr:spPr>
        <a:xfrm>
          <a:off x="7239000" y="10287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247966"/>
        </a:solidFill>
        <a:ln w="15875" cap="flat">
          <a:solidFill>
            <a:srgbClr val="24796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ルートB</a:t>
          </a:r>
          <a:endParaRPr lang="ja-JP" altLang="en-US" sz="950" dirty="0">
            <a:latin typeface="Meiryo UI"/>
            <a:ea typeface="Meiryo UI"/>
          </a:endParaRPr>
        </a:p>
      </xdr:txBody>
    </xdr:sp>
    <xdr:clientData/>
  </xdr:twoCellAnchor>
  <xdr:twoCellAnchor editAs="oneCell">
    <xdr:from>
      <xdr:col>38</xdr:col>
      <xdr:colOff>0</xdr:colOff>
      <xdr:row>59</xdr:row>
      <xdr:rowOff>0</xdr:rowOff>
    </xdr:from>
    <xdr:to>
      <xdr:col>46</xdr:col>
      <xdr:colOff>0</xdr:colOff>
      <xdr:row>63</xdr:row>
      <xdr:rowOff>0</xdr:rowOff>
    </xdr:to>
    <xdr:sp macro="" textlink="">
      <xdr:nvSpPr>
        <xdr:cNvPr id="38" name="使い方: 接続元C">
          <a:extLst>
            <a:ext uri="{FF2B5EF4-FFF2-40B4-BE49-F238E27FC236}">
              <a16:creationId xmlns:a16="http://schemas.microsoft.com/office/drawing/2014/main" id="{00000000-0008-0000-0100-000026000000}"/>
            </a:ext>
          </a:extLst>
        </xdr:cNvPr>
        <xdr:cNvSpPr/>
      </xdr:nvSpPr>
      <xdr:spPr>
        <a:xfrm>
          <a:off x="7239000" y="112395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C46B39"/>
        </a:solidFill>
        <a:ln w="15875" cap="flat">
          <a:solidFill>
            <a:srgbClr val="C46B39"/>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ルートC</a:t>
          </a:r>
          <a:endParaRPr lang="ja-JP" altLang="en-US" sz="950" dirty="0">
            <a:latin typeface="Meiryo UI"/>
            <a:ea typeface="Meiryo UI"/>
          </a:endParaRPr>
        </a:p>
      </xdr:txBody>
    </xdr:sp>
    <xdr:clientData/>
  </xdr:twoCellAnchor>
  <xdr:twoCellAnchor editAs="oneCell">
    <xdr:from>
      <xdr:col>46</xdr:col>
      <xdr:colOff>0</xdr:colOff>
      <xdr:row>51</xdr:row>
      <xdr:rowOff>0</xdr:rowOff>
    </xdr:from>
    <xdr:to>
      <xdr:col>60</xdr:col>
      <xdr:colOff>0</xdr:colOff>
      <xdr:row>53</xdr:row>
      <xdr:rowOff>0</xdr:rowOff>
    </xdr:to>
    <xdr:cxnSp macro="">
      <xdr:nvCxnSpPr>
        <xdr:cNvPr id="39" name="使い方: 線A">
          <a:extLst>
            <a:ext uri="{FF2B5EF4-FFF2-40B4-BE49-F238E27FC236}">
              <a16:creationId xmlns:a16="http://schemas.microsoft.com/office/drawing/2014/main" id="{00000000-0008-0000-0100-000027000000}"/>
            </a:ext>
          </a:extLst>
        </xdr:cNvPr>
        <xdr:cNvCxnSpPr>
          <a:stCxn id="36" idx="6"/>
          <a:endCxn id="35" idx="15"/>
        </xdr:cNvCxnSpPr>
      </xdr:nvCxnSpPr>
      <xdr:spPr>
        <a:xfrm>
          <a:off x="8763000" y="9648265"/>
          <a:ext cx="2667000" cy="381000"/>
        </a:xfrm>
        <a:prstGeom prst="bentConnector3">
          <a:avLst/>
        </a:prstGeom>
        <a:ln w="19050" cap="flat">
          <a:solidFill>
            <a:srgbClr val="315C92"/>
          </a:solidFill>
          <a:round/>
          <a:tailEnd type="triangle" w="med" len="med"/>
        </a:ln>
      </xdr:spPr>
    </xdr:cxnSp>
    <xdr:clientData/>
  </xdr:twoCellAnchor>
  <xdr:twoCellAnchor editAs="oneCell">
    <xdr:from>
      <xdr:col>46</xdr:col>
      <xdr:colOff>0</xdr:colOff>
      <xdr:row>56</xdr:row>
      <xdr:rowOff>0</xdr:rowOff>
    </xdr:from>
    <xdr:to>
      <xdr:col>60</xdr:col>
      <xdr:colOff>0</xdr:colOff>
      <xdr:row>56</xdr:row>
      <xdr:rowOff>0</xdr:rowOff>
    </xdr:to>
    <xdr:cxnSp macro="">
      <xdr:nvCxnSpPr>
        <xdr:cNvPr id="40" name="使い方: 線B">
          <a:extLst>
            <a:ext uri="{FF2B5EF4-FFF2-40B4-BE49-F238E27FC236}">
              <a16:creationId xmlns:a16="http://schemas.microsoft.com/office/drawing/2014/main" id="{00000000-0008-0000-0100-000028000000}"/>
            </a:ext>
          </a:extLst>
        </xdr:cNvPr>
        <xdr:cNvCxnSpPr>
          <a:stCxn id="37" idx="6"/>
          <a:endCxn id="35" idx="14"/>
        </xdr:cNvCxnSpPr>
      </xdr:nvCxnSpPr>
      <xdr:spPr>
        <a:xfrm>
          <a:off x="8763000" y="10600765"/>
          <a:ext cx="2667000" cy="0"/>
        </a:xfrm>
        <a:prstGeom prst="straightConnector1">
          <a:avLst/>
        </a:prstGeom>
        <a:ln w="19050" cap="flat">
          <a:solidFill>
            <a:srgbClr val="247966"/>
          </a:solidFill>
          <a:round/>
          <a:tailEnd type="triangle" w="med" len="med"/>
        </a:ln>
      </xdr:spPr>
    </xdr:cxnSp>
    <xdr:clientData/>
  </xdr:twoCellAnchor>
  <xdr:twoCellAnchor editAs="oneCell">
    <xdr:from>
      <xdr:col>46</xdr:col>
      <xdr:colOff>0</xdr:colOff>
      <xdr:row>59</xdr:row>
      <xdr:rowOff>0</xdr:rowOff>
    </xdr:from>
    <xdr:to>
      <xdr:col>60</xdr:col>
      <xdr:colOff>0</xdr:colOff>
      <xdr:row>61</xdr:row>
      <xdr:rowOff>0</xdr:rowOff>
    </xdr:to>
    <xdr:cxnSp macro="">
      <xdr:nvCxnSpPr>
        <xdr:cNvPr id="41" name="使い方: 線C">
          <a:extLst>
            <a:ext uri="{FF2B5EF4-FFF2-40B4-BE49-F238E27FC236}">
              <a16:creationId xmlns:a16="http://schemas.microsoft.com/office/drawing/2014/main" id="{00000000-0008-0000-0100-000029000000}"/>
            </a:ext>
          </a:extLst>
        </xdr:cNvPr>
        <xdr:cNvCxnSpPr>
          <a:stCxn id="38" idx="6"/>
          <a:endCxn id="35" idx="13"/>
        </xdr:cNvCxnSpPr>
      </xdr:nvCxnSpPr>
      <xdr:spPr>
        <a:xfrm flipV="1">
          <a:off x="8763000" y="11172265"/>
          <a:ext cx="2667000" cy="381000"/>
        </a:xfrm>
        <a:prstGeom prst="bentConnector3">
          <a:avLst/>
        </a:prstGeom>
        <a:ln w="19050" cap="flat">
          <a:solidFill>
            <a:srgbClr val="C46B39"/>
          </a:solidFill>
          <a:round/>
          <a:tailEnd type="triangle" w="med" len="med"/>
        </a:ln>
      </xdr:spPr>
    </xdr:cxnSp>
    <xdr:clientData/>
  </xdr:twoCellAnchor>
  <xdr:twoCellAnchor editAs="oneCell">
    <xdr:from>
      <xdr:col>38</xdr:col>
      <xdr:colOff>0</xdr:colOff>
      <xdr:row>63</xdr:row>
      <xdr:rowOff>0</xdr:rowOff>
    </xdr:from>
    <xdr:to>
      <xdr:col>70</xdr:col>
      <xdr:colOff>0</xdr:colOff>
      <xdr:row>64</xdr:row>
      <xdr:rowOff>0</xdr:rowOff>
    </xdr:to>
    <xdr:sp macro="" textlink="">
      <xdr:nvSpPr>
        <xdr:cNvPr id="42" name="使い方: 説明">
          <a:extLst>
            <a:ext uri="{FF2B5EF4-FFF2-40B4-BE49-F238E27FC236}">
              <a16:creationId xmlns:a16="http://schemas.microsoft.com/office/drawing/2014/main" id="{00000000-0008-0000-0100-00002A000000}"/>
            </a:ext>
          </a:extLst>
        </xdr:cNvPr>
        <xdr:cNvSpPr/>
      </xdr:nvSpPr>
      <xdr:spPr>
        <a:xfrm>
          <a:off x="7239000" y="12001500"/>
          <a:ext cx="6096000" cy="190500"/>
        </a:xfrm>
        <a:prstGeom prst="rect">
          <a:avLst/>
        </a:prstGeom>
        <a:noFill/>
        <a:ln>
          <a:noFill/>
        </a:ln>
      </xdr:spPr>
      <xdr:txBody>
        <a:bodyPr vertOverflow="overflow" horzOverflow="overflow" wrap="square" lIns="12700" tIns="0" rIns="12700" bIns="0" rtlCol="0" anchor="ctr">
          <a:noAutofit/>
        </a:bodyPr>
        <a:lstStyle/>
        <a:p>
          <a:pPr algn="l"/>
          <a:r>
            <a:rPr lang="ja-JP" altLang="en-US" sz="800" b="0" dirty="0">
              <a:solidFill>
                <a:srgbClr val="595959"/>
              </a:solidFill>
              <a:latin typeface="Meiryo UI"/>
              <a:ea typeface="Meiryo UI"/>
              <a:cs typeface="Meiryo UI"/>
            </a:rPr>
            <a:t>↑ 左辺の16・15・14番の接続点に3ルートの線を入れた例（線が重なりません）</a:t>
          </a:r>
          <a:endParaRPr lang="ja-JP" altLang="en-US" sz="800" dirty="0">
            <a:latin typeface="Meiryo UI"/>
            <a:ea typeface="Meiryo UI"/>
          </a:endParaRPr>
        </a:p>
      </xdr:txBody>
    </xdr:sp>
    <xdr:clientData/>
  </xdr:twoCellAnchor>
  <xdr:twoCellAnchor editAs="oneCell">
    <xdr:from>
      <xdr:col>3</xdr:col>
      <xdr:colOff>0</xdr:colOff>
      <xdr:row>95</xdr:row>
      <xdr:rowOff>95250</xdr:rowOff>
    </xdr:from>
    <xdr:to>
      <xdr:col>10</xdr:col>
      <xdr:colOff>95250</xdr:colOff>
      <xdr:row>95</xdr:row>
      <xdr:rowOff>95250</xdr:rowOff>
    </xdr:to>
    <xdr:cxnSp macro="">
      <xdr:nvCxnSpPr>
        <xdr:cNvPr id="43" name="使い方: 線の見本 data">
          <a:extLst>
            <a:ext uri="{FF2B5EF4-FFF2-40B4-BE49-F238E27FC236}">
              <a16:creationId xmlns:a16="http://schemas.microsoft.com/office/drawing/2014/main" id="{00000000-0008-0000-0100-00002B000000}"/>
            </a:ext>
          </a:extLst>
        </xdr:cNvPr>
        <xdr:cNvCxnSpPr/>
      </xdr:nvCxnSpPr>
      <xdr:spPr>
        <a:xfrm>
          <a:off x="571500" y="18192750"/>
          <a:ext cx="1428750" cy="0"/>
        </a:xfrm>
        <a:prstGeom prst="bentConnector3">
          <a:avLst/>
        </a:prstGeom>
        <a:ln w="19050" cap="flat">
          <a:solidFill>
            <a:srgbClr val="404040"/>
          </a:solidFill>
          <a:round/>
          <a:tailEnd type="triangle" w="med" len="med"/>
        </a:ln>
      </xdr:spPr>
    </xdr:cxnSp>
    <xdr:clientData/>
  </xdr:twoCellAnchor>
  <xdr:twoCellAnchor editAs="oneCell">
    <xdr:from>
      <xdr:col>3</xdr:col>
      <xdr:colOff>0</xdr:colOff>
      <xdr:row>96</xdr:row>
      <xdr:rowOff>95250</xdr:rowOff>
    </xdr:from>
    <xdr:to>
      <xdr:col>10</xdr:col>
      <xdr:colOff>95250</xdr:colOff>
      <xdr:row>96</xdr:row>
      <xdr:rowOff>95250</xdr:rowOff>
    </xdr:to>
    <xdr:cxnSp macro="">
      <xdr:nvCxnSpPr>
        <xdr:cNvPr id="44" name="使い方: 線の見本 both">
          <a:extLst>
            <a:ext uri="{FF2B5EF4-FFF2-40B4-BE49-F238E27FC236}">
              <a16:creationId xmlns:a16="http://schemas.microsoft.com/office/drawing/2014/main" id="{00000000-0008-0000-0100-00002C000000}"/>
            </a:ext>
          </a:extLst>
        </xdr:cNvPr>
        <xdr:cNvCxnSpPr/>
      </xdr:nvCxnSpPr>
      <xdr:spPr>
        <a:xfrm>
          <a:off x="571500" y="18383250"/>
          <a:ext cx="1428750" cy="0"/>
        </a:xfrm>
        <a:prstGeom prst="bentConnector3">
          <a:avLst/>
        </a:prstGeom>
        <a:ln w="19050" cap="flat">
          <a:solidFill>
            <a:srgbClr val="404040"/>
          </a:solidFill>
          <a:round/>
          <a:headEnd type="triangle" w="med" len="med"/>
          <a:tailEnd type="triangle" w="med" len="med"/>
        </a:ln>
      </xdr:spPr>
    </xdr:cxnSp>
    <xdr:clientData/>
  </xdr:twoCellAnchor>
  <xdr:twoCellAnchor editAs="oneCell">
    <xdr:from>
      <xdr:col>3</xdr:col>
      <xdr:colOff>0</xdr:colOff>
      <xdr:row>97</xdr:row>
      <xdr:rowOff>95250</xdr:rowOff>
    </xdr:from>
    <xdr:to>
      <xdr:col>10</xdr:col>
      <xdr:colOff>95250</xdr:colOff>
      <xdr:row>97</xdr:row>
      <xdr:rowOff>95250</xdr:rowOff>
    </xdr:to>
    <xdr:cxnSp macro="">
      <xdr:nvCxnSpPr>
        <xdr:cNvPr id="45" name="使い方: 線の見本 batch">
          <a:extLst>
            <a:ext uri="{FF2B5EF4-FFF2-40B4-BE49-F238E27FC236}">
              <a16:creationId xmlns:a16="http://schemas.microsoft.com/office/drawing/2014/main" id="{00000000-0008-0000-0100-00002D000000}"/>
            </a:ext>
          </a:extLst>
        </xdr:cNvPr>
        <xdr:cNvCxnSpPr/>
      </xdr:nvCxnSpPr>
      <xdr:spPr>
        <a:xfrm>
          <a:off x="571500" y="18573750"/>
          <a:ext cx="1428750" cy="0"/>
        </a:xfrm>
        <a:prstGeom prst="bentConnector3">
          <a:avLst/>
        </a:prstGeom>
        <a:ln w="19050" cap="flat">
          <a:solidFill>
            <a:srgbClr val="404040"/>
          </a:solidFill>
          <a:prstDash val="dash"/>
          <a:round/>
          <a:tailEnd type="triangle" w="med" len="med"/>
        </a:ln>
      </xdr:spPr>
    </xdr:cxnSp>
    <xdr:clientData/>
  </xdr:twoCellAnchor>
  <xdr:twoCellAnchor editAs="oneCell">
    <xdr:from>
      <xdr:col>3</xdr:col>
      <xdr:colOff>0</xdr:colOff>
      <xdr:row>98</xdr:row>
      <xdr:rowOff>95250</xdr:rowOff>
    </xdr:from>
    <xdr:to>
      <xdr:col>10</xdr:col>
      <xdr:colOff>95250</xdr:colOff>
      <xdr:row>98</xdr:row>
      <xdr:rowOff>95250</xdr:rowOff>
    </xdr:to>
    <xdr:cxnSp macro="">
      <xdr:nvCxnSpPr>
        <xdr:cNvPr id="46" name="使い方: 線の見本 monitor">
          <a:extLst>
            <a:ext uri="{FF2B5EF4-FFF2-40B4-BE49-F238E27FC236}">
              <a16:creationId xmlns:a16="http://schemas.microsoft.com/office/drawing/2014/main" id="{00000000-0008-0000-0100-00002E000000}"/>
            </a:ext>
          </a:extLst>
        </xdr:cNvPr>
        <xdr:cNvCxnSpPr/>
      </xdr:nvCxnSpPr>
      <xdr:spPr>
        <a:xfrm>
          <a:off x="571500" y="18764250"/>
          <a:ext cx="1428750" cy="0"/>
        </a:xfrm>
        <a:prstGeom prst="bentConnector3">
          <a:avLst/>
        </a:prstGeom>
        <a:ln w="12700" cap="flat">
          <a:solidFill>
            <a:srgbClr val="404040"/>
          </a:solidFill>
          <a:prstDash val="sysDot"/>
          <a:round/>
          <a:tailEnd type="triangle" w="med" len="med"/>
        </a:ln>
      </xdr:spPr>
    </xdr:cxnSp>
    <xdr:clientData/>
  </xdr:twoCellAnchor>
  <xdr:twoCellAnchor editAs="oneCell">
    <xdr:from>
      <xdr:col>3</xdr:col>
      <xdr:colOff>0</xdr:colOff>
      <xdr:row>99</xdr:row>
      <xdr:rowOff>95250</xdr:rowOff>
    </xdr:from>
    <xdr:to>
      <xdr:col>10</xdr:col>
      <xdr:colOff>95250</xdr:colOff>
      <xdr:row>99</xdr:row>
      <xdr:rowOff>95250</xdr:rowOff>
    </xdr:to>
    <xdr:cxnSp macro="">
      <xdr:nvCxnSpPr>
        <xdr:cNvPr id="47" name="使い方: 線の見本 net">
          <a:extLst>
            <a:ext uri="{FF2B5EF4-FFF2-40B4-BE49-F238E27FC236}">
              <a16:creationId xmlns:a16="http://schemas.microsoft.com/office/drawing/2014/main" id="{00000000-0008-0000-0100-00002F000000}"/>
            </a:ext>
          </a:extLst>
        </xdr:cNvPr>
        <xdr:cNvCxnSpPr/>
      </xdr:nvCxnSpPr>
      <xdr:spPr>
        <a:xfrm>
          <a:off x="571500" y="18954750"/>
          <a:ext cx="1428750" cy="0"/>
        </a:xfrm>
        <a:prstGeom prst="bentConnector3">
          <a:avLst/>
        </a:prstGeom>
        <a:ln w="12700" cap="flat">
          <a:solidFill>
            <a:srgbClr val="404040"/>
          </a:solidFill>
          <a:round/>
        </a:ln>
      </xdr:spPr>
    </xdr:cxnSp>
    <xdr:clientData/>
  </xdr:twoCellAnchor>
  <xdr:twoCellAnchor editAs="oneCell">
    <xdr:from>
      <xdr:col>3</xdr:col>
      <xdr:colOff>0</xdr:colOff>
      <xdr:row>100</xdr:row>
      <xdr:rowOff>95250</xdr:rowOff>
    </xdr:from>
    <xdr:to>
      <xdr:col>10</xdr:col>
      <xdr:colOff>95250</xdr:colOff>
      <xdr:row>100</xdr:row>
      <xdr:rowOff>95250</xdr:rowOff>
    </xdr:to>
    <xdr:cxnSp macro="">
      <xdr:nvCxnSpPr>
        <xdr:cNvPr id="48" name="使い方: 線の見本 lease">
          <a:extLst>
            <a:ext uri="{FF2B5EF4-FFF2-40B4-BE49-F238E27FC236}">
              <a16:creationId xmlns:a16="http://schemas.microsoft.com/office/drawing/2014/main" id="{00000000-0008-0000-0100-000030000000}"/>
            </a:ext>
          </a:extLst>
        </xdr:cNvPr>
        <xdr:cNvCxnSpPr/>
      </xdr:nvCxnSpPr>
      <xdr:spPr>
        <a:xfrm>
          <a:off x="571500" y="19145250"/>
          <a:ext cx="1428750" cy="0"/>
        </a:xfrm>
        <a:prstGeom prst="bentConnector3">
          <a:avLst/>
        </a:prstGeom>
        <a:ln w="38100" cap="flat">
          <a:solidFill>
            <a:srgbClr val="404040"/>
          </a:solidFill>
          <a:round/>
        </a:ln>
      </xdr:spPr>
    </xdr:cxnSp>
    <xdr:clientData/>
  </xdr:twoCellAnchor>
  <xdr:twoCellAnchor editAs="oneCell">
    <xdr:from>
      <xdr:col>3</xdr:col>
      <xdr:colOff>0</xdr:colOff>
      <xdr:row>101</xdr:row>
      <xdr:rowOff>95250</xdr:rowOff>
    </xdr:from>
    <xdr:to>
      <xdr:col>10</xdr:col>
      <xdr:colOff>95250</xdr:colOff>
      <xdr:row>101</xdr:row>
      <xdr:rowOff>95250</xdr:rowOff>
    </xdr:to>
    <xdr:cxnSp macro="">
      <xdr:nvCxnSpPr>
        <xdr:cNvPr id="49" name="使い方: 線の見本 vpn">
          <a:extLst>
            <a:ext uri="{FF2B5EF4-FFF2-40B4-BE49-F238E27FC236}">
              <a16:creationId xmlns:a16="http://schemas.microsoft.com/office/drawing/2014/main" id="{00000000-0008-0000-0100-000031000000}"/>
            </a:ext>
          </a:extLst>
        </xdr:cNvPr>
        <xdr:cNvCxnSpPr/>
      </xdr:nvCxnSpPr>
      <xdr:spPr>
        <a:xfrm>
          <a:off x="571500" y="19335750"/>
          <a:ext cx="1428750" cy="0"/>
        </a:xfrm>
        <a:prstGeom prst="bentConnector3">
          <a:avLst/>
        </a:prstGeom>
        <a:ln w="12700" cap="flat">
          <a:solidFill>
            <a:srgbClr val="404040"/>
          </a:solidFill>
          <a:prstDash val="dash"/>
          <a:round/>
        </a:ln>
      </xdr:spPr>
    </xdr:cxnSp>
    <xdr:clientData/>
  </xdr:twoCellAnchor>
  <xdr:twoCellAnchor editAs="oneCell">
    <xdr:from>
      <xdr:col>3</xdr:col>
      <xdr:colOff>0</xdr:colOff>
      <xdr:row>102</xdr:row>
      <xdr:rowOff>95250</xdr:rowOff>
    </xdr:from>
    <xdr:to>
      <xdr:col>10</xdr:col>
      <xdr:colOff>95250</xdr:colOff>
      <xdr:row>102</xdr:row>
      <xdr:rowOff>95250</xdr:rowOff>
    </xdr:to>
    <xdr:cxnSp macro="">
      <xdr:nvCxnSpPr>
        <xdr:cNvPr id="50" name="使い方: 線の見本 既存">
          <a:extLst>
            <a:ext uri="{FF2B5EF4-FFF2-40B4-BE49-F238E27FC236}">
              <a16:creationId xmlns:a16="http://schemas.microsoft.com/office/drawing/2014/main" id="{00000000-0008-0000-0100-000032000000}"/>
            </a:ext>
          </a:extLst>
        </xdr:cNvPr>
        <xdr:cNvCxnSpPr/>
      </xdr:nvCxnSpPr>
      <xdr:spPr>
        <a:xfrm>
          <a:off x="571500" y="19526250"/>
          <a:ext cx="1428750" cy="0"/>
        </a:xfrm>
        <a:prstGeom prst="bentConnector3">
          <a:avLst/>
        </a:prstGeom>
        <a:ln w="19050" cap="flat">
          <a:solidFill>
            <a:srgbClr val="7F7F7F"/>
          </a:solidFill>
          <a:round/>
          <a:tailEnd type="triangle" w="med" len="med"/>
        </a:ln>
      </xdr:spPr>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14</xdr:col>
      <xdr:colOff>0</xdr:colOff>
      <xdr:row>15</xdr:row>
      <xdr:rowOff>0</xdr:rowOff>
    </xdr:to>
    <xdr:sp macro="" textlink="">
      <xdr:nvSpPr>
        <xdr:cNvPr id="2" name="ゾーン: ルートA">
          <a:extLst>
            <a:ext uri="{FF2B5EF4-FFF2-40B4-BE49-F238E27FC236}">
              <a16:creationId xmlns:a16="http://schemas.microsoft.com/office/drawing/2014/main" id="{00000000-0008-0000-0200-000002000000}"/>
            </a:ext>
          </a:extLst>
        </xdr:cNvPr>
        <xdr:cNvSpPr/>
      </xdr:nvSpPr>
      <xdr:spPr>
        <a:xfrm>
          <a:off x="381000" y="1143000"/>
          <a:ext cx="2286000" cy="1714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3F8FF"/>
        </a:solidFill>
        <a:ln w="9525" cap="flat">
          <a:solidFill>
            <a:srgbClr val="BCD3F2"/>
          </a:solidFill>
          <a:round/>
        </a:ln>
      </xdr:spPr>
      <xdr:txBody>
        <a:bodyPr vertOverflow="overflow" horzOverflow="overflow" wrap="square" lIns="76200" tIns="50800" rIns="76200" bIns="50800" rtlCol="0" anchor="t">
          <a:noAutofit/>
        </a:bodyPr>
        <a:lstStyle/>
        <a:p>
          <a:pPr algn="l"/>
          <a:r>
            <a:rPr lang="ja-JP" altLang="en-US" sz="950" b="1" dirty="0">
              <a:solidFill>
                <a:srgbClr val="113866"/>
              </a:solidFill>
              <a:latin typeface="Meiryo UI"/>
              <a:ea typeface="Meiryo UI"/>
              <a:cs typeface="Meiryo UI"/>
            </a:rPr>
            <a:t>ルートA｜（接続元の名称）</a:t>
          </a:r>
          <a:endParaRPr lang="ja-JP" altLang="en-US" sz="950" dirty="0">
            <a:latin typeface="Meiryo UI"/>
            <a:ea typeface="Meiryo UI"/>
          </a:endParaRPr>
        </a:p>
        <a:p>
          <a:pPr algn="l"/>
          <a:r>
            <a:rPr lang="ja-JP" altLang="en-US" sz="750" b="0" dirty="0">
              <a:solidFill>
                <a:srgbClr val="595959"/>
              </a:solidFill>
              <a:latin typeface="Meiryo UI"/>
              <a:ea typeface="Meiryo UI"/>
              <a:cs typeface="Meiryo UI"/>
            </a:rPr>
            <a:t>ゾーン名は直接編集。不要なら削除</a:t>
          </a:r>
          <a:endParaRPr lang="ja-JP" altLang="en-US" sz="750" dirty="0">
            <a:latin typeface="Meiryo UI"/>
            <a:ea typeface="Meiryo UI"/>
          </a:endParaRPr>
        </a:p>
      </xdr:txBody>
    </xdr:sp>
    <xdr:clientData/>
  </xdr:twoCellAnchor>
  <xdr:twoCellAnchor editAs="oneCell">
    <xdr:from>
      <xdr:col>2</xdr:col>
      <xdr:colOff>0</xdr:colOff>
      <xdr:row>17</xdr:row>
      <xdr:rowOff>0</xdr:rowOff>
    </xdr:from>
    <xdr:to>
      <xdr:col>14</xdr:col>
      <xdr:colOff>0</xdr:colOff>
      <xdr:row>30</xdr:row>
      <xdr:rowOff>0</xdr:rowOff>
    </xdr:to>
    <xdr:sp macro="" textlink="">
      <xdr:nvSpPr>
        <xdr:cNvPr id="3" name="ゾーン: ルートB">
          <a:extLst>
            <a:ext uri="{FF2B5EF4-FFF2-40B4-BE49-F238E27FC236}">
              <a16:creationId xmlns:a16="http://schemas.microsoft.com/office/drawing/2014/main" id="{00000000-0008-0000-0200-000003000000}"/>
            </a:ext>
          </a:extLst>
        </xdr:cNvPr>
        <xdr:cNvSpPr/>
      </xdr:nvSpPr>
      <xdr:spPr>
        <a:xfrm>
          <a:off x="381000" y="3238500"/>
          <a:ext cx="2286000" cy="2476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1FAF7"/>
        </a:solidFill>
        <a:ln w="9525" cap="flat">
          <a:solidFill>
            <a:srgbClr val="B0DCCF"/>
          </a:solidFill>
          <a:round/>
        </a:ln>
      </xdr:spPr>
      <xdr:txBody>
        <a:bodyPr vertOverflow="overflow" horzOverflow="overflow" wrap="square" lIns="76200" tIns="50800" rIns="76200" bIns="50800" rtlCol="0" anchor="t">
          <a:noAutofit/>
        </a:bodyPr>
        <a:lstStyle/>
        <a:p>
          <a:pPr algn="l"/>
          <a:r>
            <a:rPr lang="ja-JP" altLang="en-US" sz="950" b="1" dirty="0">
              <a:solidFill>
                <a:srgbClr val="005243"/>
              </a:solidFill>
              <a:latin typeface="Meiryo UI"/>
              <a:ea typeface="Meiryo UI"/>
              <a:cs typeface="Meiryo UI"/>
            </a:rPr>
            <a:t>ルートB｜（接続元の名称）</a:t>
          </a:r>
          <a:endParaRPr lang="ja-JP" altLang="en-US" sz="950" dirty="0">
            <a:latin typeface="Meiryo UI"/>
            <a:ea typeface="Meiryo UI"/>
          </a:endParaRPr>
        </a:p>
        <a:p>
          <a:pPr algn="l"/>
          <a:r>
            <a:rPr lang="ja-JP" altLang="en-US" sz="750" b="0" dirty="0">
              <a:solidFill>
                <a:srgbClr val="595959"/>
              </a:solidFill>
              <a:latin typeface="Meiryo UI"/>
              <a:ea typeface="Meiryo UI"/>
              <a:cs typeface="Meiryo UI"/>
            </a:rPr>
            <a:t>ゾーン名は直接編集。不要なら削除</a:t>
          </a:r>
          <a:endParaRPr lang="ja-JP" altLang="en-US" sz="750" dirty="0">
            <a:latin typeface="Meiryo UI"/>
            <a:ea typeface="Meiryo UI"/>
          </a:endParaRPr>
        </a:p>
      </xdr:txBody>
    </xdr:sp>
    <xdr:clientData/>
  </xdr:twoCellAnchor>
  <xdr:twoCellAnchor editAs="oneCell">
    <xdr:from>
      <xdr:col>2</xdr:col>
      <xdr:colOff>0</xdr:colOff>
      <xdr:row>32</xdr:row>
      <xdr:rowOff>0</xdr:rowOff>
    </xdr:from>
    <xdr:to>
      <xdr:col>14</xdr:col>
      <xdr:colOff>0</xdr:colOff>
      <xdr:row>41</xdr:row>
      <xdr:rowOff>0</xdr:rowOff>
    </xdr:to>
    <xdr:sp macro="" textlink="">
      <xdr:nvSpPr>
        <xdr:cNvPr id="4" name="ゾーン: ルートC">
          <a:extLst>
            <a:ext uri="{FF2B5EF4-FFF2-40B4-BE49-F238E27FC236}">
              <a16:creationId xmlns:a16="http://schemas.microsoft.com/office/drawing/2014/main" id="{00000000-0008-0000-0200-000004000000}"/>
            </a:ext>
          </a:extLst>
        </xdr:cNvPr>
        <xdr:cNvSpPr/>
      </xdr:nvSpPr>
      <xdr:spPr>
        <a:xfrm>
          <a:off x="381000" y="6096000"/>
          <a:ext cx="2286000" cy="1714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EF6F2"/>
        </a:solidFill>
        <a:ln w="9525" cap="flat">
          <a:solidFill>
            <a:srgbClr val="EEC8B5"/>
          </a:solidFill>
          <a:round/>
        </a:ln>
      </xdr:spPr>
      <xdr:txBody>
        <a:bodyPr vertOverflow="overflow" horzOverflow="overflow" wrap="square" lIns="76200" tIns="50800" rIns="76200" bIns="50800" rtlCol="0" anchor="t">
          <a:noAutofit/>
        </a:bodyPr>
        <a:lstStyle/>
        <a:p>
          <a:pPr algn="l"/>
          <a:r>
            <a:rPr lang="ja-JP" altLang="en-US" sz="950" b="1" dirty="0">
              <a:solidFill>
                <a:srgbClr val="954717"/>
              </a:solidFill>
              <a:latin typeface="Meiryo UI"/>
              <a:ea typeface="Meiryo UI"/>
              <a:cs typeface="Meiryo UI"/>
            </a:rPr>
            <a:t>ルートC｜（接続元の名称）</a:t>
          </a:r>
          <a:endParaRPr lang="ja-JP" altLang="en-US" sz="950" dirty="0">
            <a:latin typeface="Meiryo UI"/>
            <a:ea typeface="Meiryo UI"/>
          </a:endParaRPr>
        </a:p>
        <a:p>
          <a:pPr algn="l"/>
          <a:r>
            <a:rPr lang="ja-JP" altLang="en-US" sz="750" b="0" dirty="0">
              <a:solidFill>
                <a:srgbClr val="595959"/>
              </a:solidFill>
              <a:latin typeface="Meiryo UI"/>
              <a:ea typeface="Meiryo UI"/>
              <a:cs typeface="Meiryo UI"/>
            </a:rPr>
            <a:t>ゾーン名は直接編集。不要なら削除</a:t>
          </a:r>
          <a:endParaRPr lang="ja-JP" altLang="en-US" sz="750" dirty="0">
            <a:latin typeface="Meiryo UI"/>
            <a:ea typeface="Meiryo UI"/>
          </a:endParaRPr>
        </a:p>
      </xdr:txBody>
    </xdr:sp>
    <xdr:clientData/>
  </xdr:twoCellAnchor>
  <xdr:twoCellAnchor editAs="oneCell">
    <xdr:from>
      <xdr:col>27</xdr:col>
      <xdr:colOff>0</xdr:colOff>
      <xdr:row>6</xdr:row>
      <xdr:rowOff>0</xdr:rowOff>
    </xdr:from>
    <xdr:to>
      <xdr:col>74</xdr:col>
      <xdr:colOff>0</xdr:colOff>
      <xdr:row>41</xdr:row>
      <xdr:rowOff>0</xdr:rowOff>
    </xdr:to>
    <xdr:grpSp>
      <xdr:nvGrpSpPr>
        <xdr:cNvPr id="7" name="ゾーン: AWS Cloud">
          <a:extLst>
            <a:ext uri="{FF2B5EF4-FFF2-40B4-BE49-F238E27FC236}">
              <a16:creationId xmlns:a16="http://schemas.microsoft.com/office/drawing/2014/main" id="{00000000-0008-0000-0200-000007000000}"/>
            </a:ext>
          </a:extLst>
        </xdr:cNvPr>
        <xdr:cNvGrpSpPr/>
      </xdr:nvGrpSpPr>
      <xdr:grpSpPr>
        <a:xfrm>
          <a:off x="5143500" y="1143000"/>
          <a:ext cx="8953500" cy="6667500"/>
          <a:chOff x="5143500" y="1143000"/>
          <a:chExt cx="8953500" cy="6667500"/>
        </a:xfrm>
      </xdr:grpSpPr>
      <xdr:sp macro="" textlink="">
        <xdr:nvSpPr>
          <xdr:cNvPr id="5" name="枠: AWS Cloud">
            <a:extLst>
              <a:ext uri="{FF2B5EF4-FFF2-40B4-BE49-F238E27FC236}">
                <a16:creationId xmlns:a16="http://schemas.microsoft.com/office/drawing/2014/main" id="{00000000-0008-0000-0200-000005000000}"/>
              </a:ext>
            </a:extLst>
          </xdr:cNvPr>
          <xdr:cNvSpPr/>
        </xdr:nvSpPr>
        <xdr:spPr>
          <a:xfrm>
            <a:off x="5143500" y="1143000"/>
            <a:ext cx="8953500" cy="6667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FFFFF"/>
          </a:solidFill>
          <a:ln w="15875" cap="flat">
            <a:solidFill>
              <a:srgbClr val="262626"/>
            </a:solidFill>
            <a:round/>
          </a:ln>
        </xdr:spPr>
        <xdr:txBody>
          <a:bodyPr vertOverflow="overflow" horzOverflow="overflow" wrap="square" lIns="330200" tIns="44450" rIns="76200" bIns="38100" rtlCol="0" anchor="t">
            <a:noAutofit/>
          </a:bodyPr>
          <a:lstStyle/>
          <a:p>
            <a:pPr algn="l"/>
            <a:r>
              <a:rPr lang="ja-JP" altLang="en-US" sz="1000" b="1" dirty="0">
                <a:solidFill>
                  <a:srgbClr val="262626"/>
                </a:solidFill>
                <a:latin typeface="Meiryo UI"/>
                <a:ea typeface="Meiryo UI"/>
                <a:cs typeface="Meiryo UI"/>
              </a:rPr>
              <a:t>AWS Cloud</a:t>
            </a:r>
            <a:endParaRPr lang="ja-JP" altLang="en-US" sz="1000" dirty="0">
              <a:latin typeface="Meiryo UI"/>
              <a:ea typeface="Meiryo UI"/>
            </a:endParaRPr>
          </a:p>
        </xdr:txBody>
      </xdr:sp>
      <xdr:pic>
        <xdr:nvPicPr>
          <xdr:cNvPr id="6" name="ロゴ: AWS Cloud" descr="AWS Cloud">
            <a:extLst>
              <a:ext uri="{FF2B5EF4-FFF2-40B4-BE49-F238E27FC236}">
                <a16:creationId xmlns:a16="http://schemas.microsoft.com/office/drawing/2014/main" id="{00000000-0008-0000-0200-000006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143500" y="1143000"/>
            <a:ext cx="254000" cy="254000"/>
          </a:xfrm>
          <a:prstGeom prst="rect">
            <a:avLst/>
          </a:prstGeom>
        </xdr:spPr>
      </xdr:pic>
    </xdr:grpSp>
    <xdr:clientData/>
  </xdr:twoCellAnchor>
  <xdr:twoCellAnchor editAs="oneCell">
    <xdr:from>
      <xdr:col>2</xdr:col>
      <xdr:colOff>0</xdr:colOff>
      <xdr:row>42</xdr:row>
      <xdr:rowOff>95250</xdr:rowOff>
    </xdr:from>
    <xdr:to>
      <xdr:col>50</xdr:col>
      <xdr:colOff>0</xdr:colOff>
      <xdr:row>48</xdr:row>
      <xdr:rowOff>95250</xdr:rowOff>
    </xdr:to>
    <xdr:grpSp>
      <xdr:nvGrpSpPr>
        <xdr:cNvPr id="40" name="凡例">
          <a:extLst>
            <a:ext uri="{FF2B5EF4-FFF2-40B4-BE49-F238E27FC236}">
              <a16:creationId xmlns:a16="http://schemas.microsoft.com/office/drawing/2014/main" id="{00000000-0008-0000-0200-000028000000}"/>
            </a:ext>
          </a:extLst>
        </xdr:cNvPr>
        <xdr:cNvGrpSpPr/>
      </xdr:nvGrpSpPr>
      <xdr:grpSpPr>
        <a:xfrm>
          <a:off x="381000" y="8096250"/>
          <a:ext cx="9144000" cy="1143000"/>
          <a:chOff x="381000" y="8096250"/>
          <a:chExt cx="9144000" cy="1143000"/>
        </a:xfrm>
      </xdr:grpSpPr>
      <xdr:sp macro="" textlink="">
        <xdr:nvSpPr>
          <xdr:cNvPr id="8" name="凡例: 背景">
            <a:extLst>
              <a:ext uri="{FF2B5EF4-FFF2-40B4-BE49-F238E27FC236}">
                <a16:creationId xmlns:a16="http://schemas.microsoft.com/office/drawing/2014/main" id="{00000000-0008-0000-0200-000008000000}"/>
              </a:ext>
            </a:extLst>
          </xdr:cNvPr>
          <xdr:cNvSpPr/>
        </xdr:nvSpPr>
        <xdr:spPr>
          <a:xfrm>
            <a:off x="381000" y="8096250"/>
            <a:ext cx="9144000" cy="1143000"/>
          </a:xfrm>
          <a:prstGeom prst="rect">
            <a:avLst/>
          </a:prstGeom>
          <a:solidFill>
            <a:srgbClr val="FFFFFF"/>
          </a:solidFill>
          <a:ln w="9525" cap="flat">
            <a:solidFill>
              <a:srgbClr val="A6A6A6"/>
            </a:solidFill>
            <a:round/>
          </a:ln>
        </xdr:spPr>
        <xdr:txBody>
          <a:bodyPr vertOverflow="overflow" horzOverflow="overflow" wrap="square" lIns="63500" tIns="38100" rIns="63500" bIns="38100" rtlCol="0" anchor="t">
            <a:noAutofit/>
          </a:bodyPr>
          <a:lstStyle/>
          <a:p>
            <a:pPr algn="l"/>
            <a:r>
              <a:rPr lang="ja-JP" altLang="en-US" sz="850" b="1" dirty="0">
                <a:solidFill>
                  <a:srgbClr val="262626"/>
                </a:solidFill>
                <a:latin typeface="Meiryo UI"/>
                <a:ea typeface="Meiryo UI"/>
                <a:cs typeface="Meiryo UI"/>
              </a:rPr>
              <a:t>凡例</a:t>
            </a:r>
            <a:endParaRPr lang="ja-JP" altLang="en-US" sz="850" dirty="0">
              <a:latin typeface="Meiryo UI"/>
              <a:ea typeface="Meiryo UI"/>
            </a:endParaRPr>
          </a:p>
        </xdr:txBody>
      </xdr:sp>
      <xdr:sp macro="" textlink="">
        <xdr:nvSpPr>
          <xdr:cNvPr id="9" name="凡例: 見出し">
            <a:extLst>
              <a:ext uri="{FF2B5EF4-FFF2-40B4-BE49-F238E27FC236}">
                <a16:creationId xmlns:a16="http://schemas.microsoft.com/office/drawing/2014/main" id="{00000000-0008-0000-0200-000009000000}"/>
              </a:ext>
            </a:extLst>
          </xdr:cNvPr>
          <xdr:cNvSpPr/>
        </xdr:nvSpPr>
        <xdr:spPr>
          <a:xfrm>
            <a:off x="495300" y="8277225"/>
            <a:ext cx="800100" cy="190500"/>
          </a:xfrm>
          <a:prstGeom prst="rect">
            <a:avLst/>
          </a:prstGeom>
          <a:noFill/>
          <a:ln>
            <a:noFill/>
          </a:ln>
        </xdr:spPr>
        <xdr:txBody>
          <a:bodyPr vertOverflow="overflow" horzOverflow="overflow" wrap="square" lIns="0" tIns="0" rIns="0" bIns="0" rtlCol="0" anchor="ctr">
            <a:noAutofit/>
          </a:bodyPr>
          <a:lstStyle/>
          <a:p>
            <a:pPr algn="l"/>
            <a:r>
              <a:rPr lang="ja-JP" altLang="en-US" sz="750" b="1" dirty="0">
                <a:solidFill>
                  <a:srgbClr val="595959"/>
                </a:solidFill>
                <a:latin typeface="Meiryo UI"/>
                <a:ea typeface="Meiryo UI"/>
                <a:cs typeface="Meiryo UI"/>
              </a:rPr>
              <a:t>ルート（色）</a:t>
            </a:r>
            <a:endParaRPr lang="ja-JP" altLang="en-US" sz="750" dirty="0">
              <a:latin typeface="Meiryo UI"/>
              <a:ea typeface="Meiryo UI"/>
            </a:endParaRPr>
          </a:p>
        </xdr:txBody>
      </xdr:sp>
      <xdr:sp macro="" textlink="">
        <xdr:nvSpPr>
          <xdr:cNvPr id="10" name="凡例: 見出し">
            <a:extLst>
              <a:ext uri="{FF2B5EF4-FFF2-40B4-BE49-F238E27FC236}">
                <a16:creationId xmlns:a16="http://schemas.microsoft.com/office/drawing/2014/main" id="{00000000-0008-0000-0200-00000A000000}"/>
              </a:ext>
            </a:extLst>
          </xdr:cNvPr>
          <xdr:cNvSpPr/>
        </xdr:nvSpPr>
        <xdr:spPr>
          <a:xfrm>
            <a:off x="495300" y="8734425"/>
            <a:ext cx="800100" cy="190500"/>
          </a:xfrm>
          <a:prstGeom prst="rect">
            <a:avLst/>
          </a:prstGeom>
          <a:noFill/>
          <a:ln>
            <a:noFill/>
          </a:ln>
        </xdr:spPr>
        <xdr:txBody>
          <a:bodyPr vertOverflow="overflow" horzOverflow="overflow" wrap="square" lIns="0" tIns="0" rIns="0" bIns="0" rtlCol="0" anchor="ctr">
            <a:noAutofit/>
          </a:bodyPr>
          <a:lstStyle/>
          <a:p>
            <a:pPr algn="l"/>
            <a:r>
              <a:rPr lang="ja-JP" altLang="en-US" sz="750" b="1" dirty="0">
                <a:solidFill>
                  <a:srgbClr val="595959"/>
                </a:solidFill>
                <a:latin typeface="Meiryo UI"/>
                <a:ea typeface="Meiryo UI"/>
                <a:cs typeface="Meiryo UI"/>
              </a:rPr>
              <a:t>線の種類</a:t>
            </a:r>
            <a:endParaRPr lang="ja-JP" altLang="en-US" sz="750" dirty="0">
              <a:latin typeface="Meiryo UI"/>
              <a:ea typeface="Meiryo UI"/>
            </a:endParaRPr>
          </a:p>
        </xdr:txBody>
      </xdr:sp>
      <xdr:sp macro="" textlink="">
        <xdr:nvSpPr>
          <xdr:cNvPr id="11" name="凡例: 見出し">
            <a:extLst>
              <a:ext uri="{FF2B5EF4-FFF2-40B4-BE49-F238E27FC236}">
                <a16:creationId xmlns:a16="http://schemas.microsoft.com/office/drawing/2014/main" id="{00000000-0008-0000-0200-00000B000000}"/>
              </a:ext>
            </a:extLst>
          </xdr:cNvPr>
          <xdr:cNvSpPr/>
        </xdr:nvSpPr>
        <xdr:spPr>
          <a:xfrm>
            <a:off x="495300" y="8963025"/>
            <a:ext cx="800100" cy="190500"/>
          </a:xfrm>
          <a:prstGeom prst="rect">
            <a:avLst/>
          </a:prstGeom>
          <a:noFill/>
          <a:ln>
            <a:noFill/>
          </a:ln>
        </xdr:spPr>
        <xdr:txBody>
          <a:bodyPr vertOverflow="overflow" horzOverflow="overflow" wrap="square" lIns="0" tIns="0" rIns="0" bIns="0" rtlCol="0" anchor="ctr">
            <a:noAutofit/>
          </a:bodyPr>
          <a:lstStyle/>
          <a:p>
            <a:pPr algn="l"/>
            <a:r>
              <a:rPr lang="ja-JP" altLang="en-US" sz="750" b="1" dirty="0">
                <a:solidFill>
                  <a:srgbClr val="595959"/>
                </a:solidFill>
                <a:latin typeface="Meiryo UI"/>
                <a:ea typeface="Meiryo UI"/>
                <a:cs typeface="Meiryo UI"/>
              </a:rPr>
              <a:t>図形・記号</a:t>
            </a:r>
            <a:endParaRPr lang="ja-JP" altLang="en-US" sz="750" dirty="0">
              <a:latin typeface="Meiryo UI"/>
              <a:ea typeface="Meiryo UI"/>
            </a:endParaRPr>
          </a:p>
        </xdr:txBody>
      </xdr:sp>
      <xdr:cxnSp macro="">
        <xdr:nvCxnSpPr>
          <xdr:cNvPr id="12" name="凡例: 線（ルートA）">
            <a:extLst>
              <a:ext uri="{FF2B5EF4-FFF2-40B4-BE49-F238E27FC236}">
                <a16:creationId xmlns:a16="http://schemas.microsoft.com/office/drawing/2014/main" id="{00000000-0008-0000-0200-00000C000000}"/>
              </a:ext>
            </a:extLst>
          </xdr:cNvPr>
          <xdr:cNvCxnSpPr/>
        </xdr:nvCxnSpPr>
        <xdr:spPr>
          <a:xfrm>
            <a:off x="1333500" y="8372475"/>
            <a:ext cx="419100" cy="0"/>
          </a:xfrm>
          <a:prstGeom prst="straightConnector1">
            <a:avLst/>
          </a:prstGeom>
          <a:ln w="19050" cap="flat">
            <a:solidFill>
              <a:srgbClr val="315C92"/>
            </a:solidFill>
            <a:round/>
            <a:tailEnd type="triangle" w="med" len="med"/>
          </a:ln>
        </xdr:spPr>
      </xdr:cxnSp>
      <xdr:sp macro="" textlink="">
        <xdr:nvSpPr>
          <xdr:cNvPr id="13" name="凡例: 記号A">
            <a:extLst>
              <a:ext uri="{FF2B5EF4-FFF2-40B4-BE49-F238E27FC236}">
                <a16:creationId xmlns:a16="http://schemas.microsoft.com/office/drawing/2014/main" id="{00000000-0008-0000-0200-00000D000000}"/>
              </a:ext>
            </a:extLst>
          </xdr:cNvPr>
          <xdr:cNvSpPr/>
        </xdr:nvSpPr>
        <xdr:spPr>
          <a:xfrm>
            <a:off x="1809750" y="8296275"/>
            <a:ext cx="152400" cy="152400"/>
          </a:xfrm>
          <a:prstGeom prst="ellipse">
            <a:avLst/>
          </a:prstGeom>
          <a:solidFill>
            <a:srgbClr val="315C92"/>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A</a:t>
            </a:r>
            <a:endParaRPr lang="ja-JP" altLang="en-US" sz="650" dirty="0">
              <a:latin typeface="Meiryo UI"/>
              <a:ea typeface="Meiryo UI"/>
            </a:endParaRPr>
          </a:p>
        </xdr:txBody>
      </xdr:sp>
      <xdr:sp macro="" textlink="表紙!$G$31">
        <xdr:nvSpPr>
          <xdr:cNvPr id="14" name="凡例: ルートA名（表紙と連動）">
            <a:extLst>
              <a:ext uri="{FF2B5EF4-FFF2-40B4-BE49-F238E27FC236}">
                <a16:creationId xmlns:a16="http://schemas.microsoft.com/office/drawing/2014/main" id="{00000000-0008-0000-0200-00000E000000}"/>
              </a:ext>
            </a:extLst>
          </xdr:cNvPr>
          <xdr:cNvSpPr/>
        </xdr:nvSpPr>
        <xdr:spPr>
          <a:xfrm>
            <a:off x="2000250" y="8277225"/>
            <a:ext cx="1338262" cy="190500"/>
          </a:xfrm>
          <a:prstGeom prst="rect">
            <a:avLst/>
          </a:prstGeom>
          <a:noFill/>
          <a:ln>
            <a:noFill/>
          </a:ln>
        </xdr:spPr>
        <xdr:txBody>
          <a:bodyPr vertOverflow="overflow" horzOverflow="overflow" wrap="square" lIns="12700" tIns="0" rIns="12700" bIns="0" rtlCol="0" anchor="ctr">
            <a:noAutofit/>
          </a:bodyPr>
          <a:lstStyle/>
          <a:p>
            <a:pPr algn="l"/>
            <a:fld id="{5A1C0F3E-7B2D-4C8A-9E41-000000000001}" type="TxLink">
              <a:rPr lang="ja-JP" altLang="en-US" sz="750" b="0">
                <a:solidFill>
                  <a:srgbClr val="404040"/>
                </a:solidFill>
                <a:latin typeface="Meiryo UI"/>
                <a:ea typeface="Meiryo UI"/>
                <a:cs typeface="Meiryo UI"/>
              </a:rPr>
              <a:pPr algn="l"/>
              <a:t>Salesforce連携</a:t>
            </a:fld>
            <a:endParaRPr lang="ja-JP" altLang="en-US" sz="750"/>
          </a:p>
        </xdr:txBody>
      </xdr:sp>
      <xdr:cxnSp macro="">
        <xdr:nvCxnSpPr>
          <xdr:cNvPr id="15" name="凡例: 線（ルートB）">
            <a:extLst>
              <a:ext uri="{FF2B5EF4-FFF2-40B4-BE49-F238E27FC236}">
                <a16:creationId xmlns:a16="http://schemas.microsoft.com/office/drawing/2014/main" id="{00000000-0008-0000-0200-00000F000000}"/>
              </a:ext>
            </a:extLst>
          </xdr:cNvPr>
          <xdr:cNvCxnSpPr/>
        </xdr:nvCxnSpPr>
        <xdr:spPr>
          <a:xfrm>
            <a:off x="3357562" y="8372475"/>
            <a:ext cx="419100" cy="0"/>
          </a:xfrm>
          <a:prstGeom prst="straightConnector1">
            <a:avLst/>
          </a:prstGeom>
          <a:ln w="19050" cap="flat">
            <a:solidFill>
              <a:srgbClr val="247966"/>
            </a:solidFill>
            <a:round/>
            <a:tailEnd type="triangle" w="med" len="med"/>
          </a:ln>
        </xdr:spPr>
      </xdr:cxnSp>
      <xdr:sp macro="" textlink="">
        <xdr:nvSpPr>
          <xdr:cNvPr id="16" name="凡例: 記号B">
            <a:extLst>
              <a:ext uri="{FF2B5EF4-FFF2-40B4-BE49-F238E27FC236}">
                <a16:creationId xmlns:a16="http://schemas.microsoft.com/office/drawing/2014/main" id="{00000000-0008-0000-0200-000010000000}"/>
              </a:ext>
            </a:extLst>
          </xdr:cNvPr>
          <xdr:cNvSpPr/>
        </xdr:nvSpPr>
        <xdr:spPr>
          <a:xfrm>
            <a:off x="3833812" y="8296275"/>
            <a:ext cx="152400" cy="152400"/>
          </a:xfrm>
          <a:prstGeom prst="ellipse">
            <a:avLst/>
          </a:prstGeom>
          <a:solidFill>
            <a:srgbClr val="247966"/>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B</a:t>
            </a:r>
            <a:endParaRPr lang="ja-JP" altLang="en-US" sz="650" dirty="0">
              <a:latin typeface="Meiryo UI"/>
              <a:ea typeface="Meiryo UI"/>
            </a:endParaRPr>
          </a:p>
        </xdr:txBody>
      </xdr:sp>
      <xdr:sp macro="" textlink="表紙!$G$32">
        <xdr:nvSpPr>
          <xdr:cNvPr id="17" name="凡例: ルートB名（表紙と連動）">
            <a:extLst>
              <a:ext uri="{FF2B5EF4-FFF2-40B4-BE49-F238E27FC236}">
                <a16:creationId xmlns:a16="http://schemas.microsoft.com/office/drawing/2014/main" id="{00000000-0008-0000-0200-000011000000}"/>
              </a:ext>
            </a:extLst>
          </xdr:cNvPr>
          <xdr:cNvSpPr/>
        </xdr:nvSpPr>
        <xdr:spPr>
          <a:xfrm>
            <a:off x="4024312" y="8277225"/>
            <a:ext cx="1338262" cy="190500"/>
          </a:xfrm>
          <a:prstGeom prst="rect">
            <a:avLst/>
          </a:prstGeom>
          <a:noFill/>
          <a:ln>
            <a:noFill/>
          </a:ln>
        </xdr:spPr>
        <xdr:txBody>
          <a:bodyPr vertOverflow="overflow" horzOverflow="overflow" wrap="square" lIns="12700" tIns="0" rIns="12700" bIns="0" rtlCol="0" anchor="ctr">
            <a:noAutofit/>
          </a:bodyPr>
          <a:lstStyle/>
          <a:p>
            <a:pPr algn="l"/>
            <a:fld id="{5A1C0F3E-7B2D-4C8A-9E41-000000000002}" type="TxLink">
              <a:rPr lang="ja-JP" altLang="en-US" sz="750" b="0">
                <a:solidFill>
                  <a:srgbClr val="404040"/>
                </a:solidFill>
                <a:latin typeface="Meiryo UI"/>
                <a:ea typeface="Meiryo UI"/>
                <a:cs typeface="Meiryo UI"/>
              </a:rPr>
              <a:pPr algn="l"/>
              <a:t>社内（イントラ）連携</a:t>
            </a:fld>
            <a:endParaRPr lang="ja-JP" altLang="en-US" sz="750"/>
          </a:p>
        </xdr:txBody>
      </xdr:sp>
      <xdr:cxnSp macro="">
        <xdr:nvCxnSpPr>
          <xdr:cNvPr id="18" name="凡例: 線（ルートC）">
            <a:extLst>
              <a:ext uri="{FF2B5EF4-FFF2-40B4-BE49-F238E27FC236}">
                <a16:creationId xmlns:a16="http://schemas.microsoft.com/office/drawing/2014/main" id="{00000000-0008-0000-0200-000012000000}"/>
              </a:ext>
            </a:extLst>
          </xdr:cNvPr>
          <xdr:cNvCxnSpPr/>
        </xdr:nvCxnSpPr>
        <xdr:spPr>
          <a:xfrm>
            <a:off x="5381625" y="8372475"/>
            <a:ext cx="419100" cy="0"/>
          </a:xfrm>
          <a:prstGeom prst="straightConnector1">
            <a:avLst/>
          </a:prstGeom>
          <a:ln w="19050" cap="flat">
            <a:solidFill>
              <a:srgbClr val="C46B39"/>
            </a:solidFill>
            <a:round/>
            <a:tailEnd type="triangle" w="med" len="med"/>
          </a:ln>
        </xdr:spPr>
      </xdr:cxnSp>
      <xdr:sp macro="" textlink="">
        <xdr:nvSpPr>
          <xdr:cNvPr id="19" name="凡例: 記号C">
            <a:extLst>
              <a:ext uri="{FF2B5EF4-FFF2-40B4-BE49-F238E27FC236}">
                <a16:creationId xmlns:a16="http://schemas.microsoft.com/office/drawing/2014/main" id="{00000000-0008-0000-0200-000013000000}"/>
              </a:ext>
            </a:extLst>
          </xdr:cNvPr>
          <xdr:cNvSpPr/>
        </xdr:nvSpPr>
        <xdr:spPr>
          <a:xfrm>
            <a:off x="5857875" y="8296275"/>
            <a:ext cx="152400" cy="152400"/>
          </a:xfrm>
          <a:prstGeom prst="ellipse">
            <a:avLst/>
          </a:prstGeom>
          <a:solidFill>
            <a:srgbClr val="C46B39"/>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C</a:t>
            </a:r>
            <a:endParaRPr lang="ja-JP" altLang="en-US" sz="650" dirty="0">
              <a:latin typeface="Meiryo UI"/>
              <a:ea typeface="Meiryo UI"/>
            </a:endParaRPr>
          </a:p>
        </xdr:txBody>
      </xdr:sp>
      <xdr:sp macro="" textlink="表紙!$G$33">
        <xdr:nvSpPr>
          <xdr:cNvPr id="20" name="凡例: ルートC名（表紙と連動）">
            <a:extLst>
              <a:ext uri="{FF2B5EF4-FFF2-40B4-BE49-F238E27FC236}">
                <a16:creationId xmlns:a16="http://schemas.microsoft.com/office/drawing/2014/main" id="{00000000-0008-0000-0200-000014000000}"/>
              </a:ext>
            </a:extLst>
          </xdr:cNvPr>
          <xdr:cNvSpPr/>
        </xdr:nvSpPr>
        <xdr:spPr>
          <a:xfrm>
            <a:off x="6048375" y="8277225"/>
            <a:ext cx="1338262" cy="190500"/>
          </a:xfrm>
          <a:prstGeom prst="rect">
            <a:avLst/>
          </a:prstGeom>
          <a:noFill/>
          <a:ln>
            <a:noFill/>
          </a:ln>
        </xdr:spPr>
        <xdr:txBody>
          <a:bodyPr vertOverflow="overflow" horzOverflow="overflow" wrap="square" lIns="12700" tIns="0" rIns="12700" bIns="0" rtlCol="0" anchor="ctr">
            <a:noAutofit/>
          </a:bodyPr>
          <a:lstStyle/>
          <a:p>
            <a:pPr algn="l"/>
            <a:fld id="{5A1C0F3E-7B2D-4C8A-9E41-000000000003}" type="TxLink">
              <a:rPr lang="ja-JP" altLang="en-US" sz="750" b="0">
                <a:solidFill>
                  <a:srgbClr val="404040"/>
                </a:solidFill>
                <a:latin typeface="Meiryo UI"/>
                <a:ea typeface="Meiryo UI"/>
                <a:cs typeface="Meiryo UI"/>
              </a:rPr>
              <a:pPr algn="l"/>
              <a:t>外部連携</a:t>
            </a:fld>
            <a:endParaRPr lang="ja-JP" altLang="en-US" sz="750"/>
          </a:p>
        </xdr:txBody>
      </xdr:sp>
      <xdr:cxnSp macro="">
        <xdr:nvCxnSpPr>
          <xdr:cNvPr id="176" name="凡例: 線（ルートD）">
            <a:extLst>
              <a:ext uri="{FF2B5EF4-FFF2-40B4-BE49-F238E27FC236}">
                <a16:creationId xmlns:a16="http://schemas.microsoft.com/office/drawing/2014/main" id="{ED6A5BFB-061B-4587-9DE3-DFEE224E02D5}"/>
              </a:ext>
            </a:extLst>
          </xdr:cNvPr>
          <xdr:cNvCxnSpPr/>
        </xdr:nvCxnSpPr>
        <xdr:spPr>
          <a:xfrm>
            <a:off x="7405687" y="8372475"/>
            <a:ext cx="419100" cy="0"/>
          </a:xfrm>
          <a:prstGeom prst="straightConnector1">
            <a:avLst/>
          </a:prstGeom>
          <a:ln w="19050" cap="flat">
            <a:solidFill>
              <a:srgbClr val="876BA6"/>
            </a:solidFill>
            <a:round/>
            <a:tailEnd type="triangle" w="med" len="med"/>
          </a:ln>
        </xdr:spPr>
      </xdr:cxnSp>
      <xdr:sp macro="" textlink="">
        <xdr:nvSpPr>
          <xdr:cNvPr id="177" name="凡例: 記号D">
            <a:extLst>
              <a:ext uri="{FF2B5EF4-FFF2-40B4-BE49-F238E27FC236}">
                <a16:creationId xmlns:a16="http://schemas.microsoft.com/office/drawing/2014/main" id="{DEBCE10B-C160-43F7-B4B9-A8184F27E5BB}"/>
              </a:ext>
            </a:extLst>
          </xdr:cNvPr>
          <xdr:cNvSpPr/>
        </xdr:nvSpPr>
        <xdr:spPr>
          <a:xfrm>
            <a:off x="7881937" y="8296275"/>
            <a:ext cx="152400" cy="152400"/>
          </a:xfrm>
          <a:prstGeom prst="ellipse">
            <a:avLst/>
          </a:prstGeom>
          <a:solidFill>
            <a:srgbClr val="876BA6"/>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D</a:t>
            </a:r>
            <a:endParaRPr lang="ja-JP" altLang="en-US" sz="650" dirty="0">
              <a:latin typeface="Meiryo UI"/>
              <a:ea typeface="Meiryo UI"/>
            </a:endParaRPr>
          </a:p>
        </xdr:txBody>
      </xdr:sp>
      <xdr:sp macro="" textlink="表紙!$G$34">
        <xdr:nvSpPr>
          <xdr:cNvPr id="178" name="凡例: ルートD名（表紙と連動）">
            <a:extLst>
              <a:ext uri="{FF2B5EF4-FFF2-40B4-BE49-F238E27FC236}">
                <a16:creationId xmlns:a16="http://schemas.microsoft.com/office/drawing/2014/main" id="{9F90F784-2D7D-47DE-962E-CA63784928DA}"/>
              </a:ext>
            </a:extLst>
          </xdr:cNvPr>
          <xdr:cNvSpPr/>
        </xdr:nvSpPr>
        <xdr:spPr>
          <a:xfrm>
            <a:off x="8072437" y="8277225"/>
            <a:ext cx="1338262" cy="190500"/>
          </a:xfrm>
          <a:prstGeom prst="rect">
            <a:avLst/>
          </a:prstGeom>
          <a:noFill/>
          <a:ln>
            <a:noFill/>
          </a:ln>
        </xdr:spPr>
        <xdr:txBody>
          <a:bodyPr vertOverflow="overflow" horzOverflow="overflow" wrap="square" lIns="12700" tIns="0" rIns="12700" bIns="0" rtlCol="0" anchor="ctr">
            <a:noAutofit/>
          </a:bodyPr>
          <a:lstStyle/>
          <a:p>
            <a:pPr algn="l"/>
            <a:fld id="{8D81BD5F-6EEF-4518-B579-6D0B23FA0BF0}" type="TxLink">
              <a:rPr lang="ja-JP" altLang="en-US" sz="750" b="0">
                <a:solidFill>
                  <a:srgbClr val="404040"/>
                </a:solidFill>
                <a:latin typeface="Meiryo UI"/>
                <a:ea typeface="Meiryo UI"/>
                <a:cs typeface="Meiryo UI"/>
              </a:rPr>
              <a:pPr algn="l"/>
              <a:t>現場・IoT連携</a:t>
            </a:fld>
            <a:endParaRPr lang="ja-JP" altLang="en-US" sz="750"/>
          </a:p>
        </xdr:txBody>
      </xdr:sp>
      <xdr:cxnSp macro="">
        <xdr:nvCxnSpPr>
          <xdr:cNvPr id="179" name="凡例: 線（ルートE）">
            <a:extLst>
              <a:ext uri="{FF2B5EF4-FFF2-40B4-BE49-F238E27FC236}">
                <a16:creationId xmlns:a16="http://schemas.microsoft.com/office/drawing/2014/main" id="{A7E691EC-7828-4CCD-843A-9A9D228102F9}"/>
              </a:ext>
            </a:extLst>
          </xdr:cNvPr>
          <xdr:cNvCxnSpPr/>
        </xdr:nvCxnSpPr>
        <xdr:spPr>
          <a:xfrm>
            <a:off x="1333500" y="8601075"/>
            <a:ext cx="419100" cy="0"/>
          </a:xfrm>
          <a:prstGeom prst="straightConnector1">
            <a:avLst/>
          </a:prstGeom>
          <a:ln w="19050" cap="flat">
            <a:solidFill>
              <a:srgbClr val="B04B68"/>
            </a:solidFill>
            <a:round/>
            <a:tailEnd type="triangle" w="med" len="med"/>
          </a:ln>
        </xdr:spPr>
      </xdr:cxnSp>
      <xdr:sp macro="" textlink="">
        <xdr:nvSpPr>
          <xdr:cNvPr id="180" name="凡例: 記号E">
            <a:extLst>
              <a:ext uri="{FF2B5EF4-FFF2-40B4-BE49-F238E27FC236}">
                <a16:creationId xmlns:a16="http://schemas.microsoft.com/office/drawing/2014/main" id="{2B31FEF3-6393-423B-90EA-DC166F87BE6F}"/>
              </a:ext>
            </a:extLst>
          </xdr:cNvPr>
          <xdr:cNvSpPr/>
        </xdr:nvSpPr>
        <xdr:spPr>
          <a:xfrm>
            <a:off x="1809750" y="8524875"/>
            <a:ext cx="152400" cy="152400"/>
          </a:xfrm>
          <a:prstGeom prst="ellipse">
            <a:avLst/>
          </a:prstGeom>
          <a:solidFill>
            <a:srgbClr val="B04B68"/>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E</a:t>
            </a:r>
            <a:endParaRPr lang="ja-JP" altLang="en-US" sz="650" dirty="0">
              <a:latin typeface="Meiryo UI"/>
              <a:ea typeface="Meiryo UI"/>
            </a:endParaRPr>
          </a:p>
        </xdr:txBody>
      </xdr:sp>
      <xdr:sp macro="" textlink="表紙!$G$35">
        <xdr:nvSpPr>
          <xdr:cNvPr id="181" name="凡例: ルートE名（表紙と連動）">
            <a:extLst>
              <a:ext uri="{FF2B5EF4-FFF2-40B4-BE49-F238E27FC236}">
                <a16:creationId xmlns:a16="http://schemas.microsoft.com/office/drawing/2014/main" id="{8C993E95-E010-4843-BF2C-78B3F55DDC4D}"/>
              </a:ext>
            </a:extLst>
          </xdr:cNvPr>
          <xdr:cNvSpPr/>
        </xdr:nvSpPr>
        <xdr:spPr>
          <a:xfrm>
            <a:off x="2000250" y="8505825"/>
            <a:ext cx="1338262" cy="190500"/>
          </a:xfrm>
          <a:prstGeom prst="rect">
            <a:avLst/>
          </a:prstGeom>
          <a:noFill/>
          <a:ln>
            <a:noFill/>
          </a:ln>
        </xdr:spPr>
        <xdr:txBody>
          <a:bodyPr vertOverflow="overflow" horzOverflow="overflow" wrap="square" lIns="12700" tIns="0" rIns="12700" bIns="0" rtlCol="0" anchor="ctr">
            <a:noAutofit/>
          </a:bodyPr>
          <a:lstStyle/>
          <a:p>
            <a:pPr algn="l"/>
            <a:fld id="{B986F3B4-E389-4CDB-A302-6C009C8FFD07}" type="TxLink">
              <a:rPr lang="ja-JP" altLang="en-US" sz="750" b="0">
                <a:solidFill>
                  <a:srgbClr val="404040"/>
                </a:solidFill>
                <a:latin typeface="Meiryo UI"/>
                <a:ea typeface="Meiryo UI"/>
                <a:cs typeface="Meiryo UI"/>
              </a:rPr>
              <a:pPr algn="l"/>
              <a:t>パートナー連携</a:t>
            </a:fld>
            <a:endParaRPr lang="ja-JP" altLang="en-US" sz="750"/>
          </a:p>
        </xdr:txBody>
      </xdr:sp>
      <xdr:cxnSp macro="">
        <xdr:nvCxnSpPr>
          <xdr:cNvPr id="182" name="凡例: 線（ルートF）">
            <a:extLst>
              <a:ext uri="{FF2B5EF4-FFF2-40B4-BE49-F238E27FC236}">
                <a16:creationId xmlns:a16="http://schemas.microsoft.com/office/drawing/2014/main" id="{036D965C-F474-477A-BE85-F354817583B4}"/>
              </a:ext>
            </a:extLst>
          </xdr:cNvPr>
          <xdr:cNvCxnSpPr/>
        </xdr:nvCxnSpPr>
        <xdr:spPr>
          <a:xfrm>
            <a:off x="3357562" y="8601075"/>
            <a:ext cx="419100" cy="0"/>
          </a:xfrm>
          <a:prstGeom prst="straightConnector1">
            <a:avLst/>
          </a:prstGeom>
          <a:ln w="19050" cap="flat">
            <a:solidFill>
              <a:srgbClr val="6B651D"/>
            </a:solidFill>
            <a:round/>
            <a:tailEnd type="triangle" w="med" len="med"/>
          </a:ln>
        </xdr:spPr>
      </xdr:cxnSp>
      <xdr:sp macro="" textlink="">
        <xdr:nvSpPr>
          <xdr:cNvPr id="183" name="凡例: 記号F">
            <a:extLst>
              <a:ext uri="{FF2B5EF4-FFF2-40B4-BE49-F238E27FC236}">
                <a16:creationId xmlns:a16="http://schemas.microsoft.com/office/drawing/2014/main" id="{2696B480-FA33-4198-85E1-3087C037792F}"/>
              </a:ext>
            </a:extLst>
          </xdr:cNvPr>
          <xdr:cNvSpPr/>
        </xdr:nvSpPr>
        <xdr:spPr>
          <a:xfrm>
            <a:off x="3833812" y="8524875"/>
            <a:ext cx="152400" cy="152400"/>
          </a:xfrm>
          <a:prstGeom prst="ellipse">
            <a:avLst/>
          </a:prstGeom>
          <a:solidFill>
            <a:srgbClr val="6B651D"/>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F</a:t>
            </a:r>
            <a:endParaRPr lang="ja-JP" altLang="en-US" sz="650" dirty="0">
              <a:latin typeface="Meiryo UI"/>
              <a:ea typeface="Meiryo UI"/>
            </a:endParaRPr>
          </a:p>
        </xdr:txBody>
      </xdr:sp>
      <xdr:sp macro="" textlink="表紙!$G$36">
        <xdr:nvSpPr>
          <xdr:cNvPr id="184" name="凡例: ルートF名（表紙と連動）">
            <a:extLst>
              <a:ext uri="{FF2B5EF4-FFF2-40B4-BE49-F238E27FC236}">
                <a16:creationId xmlns:a16="http://schemas.microsoft.com/office/drawing/2014/main" id="{23F06506-9D5E-45AA-9A01-695078FAD8BE}"/>
              </a:ext>
            </a:extLst>
          </xdr:cNvPr>
          <xdr:cNvSpPr/>
        </xdr:nvSpPr>
        <xdr:spPr>
          <a:xfrm>
            <a:off x="4024312" y="8505825"/>
            <a:ext cx="1338262" cy="190500"/>
          </a:xfrm>
          <a:prstGeom prst="rect">
            <a:avLst/>
          </a:prstGeom>
          <a:noFill/>
          <a:ln>
            <a:noFill/>
          </a:ln>
        </xdr:spPr>
        <xdr:txBody>
          <a:bodyPr vertOverflow="overflow" horzOverflow="overflow" wrap="square" lIns="12700" tIns="0" rIns="12700" bIns="0" rtlCol="0" anchor="ctr">
            <a:noAutofit/>
          </a:bodyPr>
          <a:lstStyle/>
          <a:p>
            <a:pPr algn="l"/>
            <a:fld id="{DA547989-18B4-447C-9171-89E99DB539AC}" type="TxLink">
              <a:rPr lang="ja-JP" altLang="en-US" sz="750" b="0">
                <a:solidFill>
                  <a:srgbClr val="404040"/>
                </a:solidFill>
                <a:latin typeface="Meiryo UI"/>
                <a:ea typeface="Meiryo UI"/>
                <a:cs typeface="Meiryo UI"/>
              </a:rPr>
              <a:pPr algn="l"/>
              <a:t>他クラウド連携</a:t>
            </a:fld>
            <a:endParaRPr lang="ja-JP" altLang="en-US" sz="750"/>
          </a:p>
        </xdr:txBody>
      </xdr:sp>
      <xdr:cxnSp macro="">
        <xdr:nvCxnSpPr>
          <xdr:cNvPr id="21" name="凡例: 線（共通）">
            <a:extLst>
              <a:ext uri="{FF2B5EF4-FFF2-40B4-BE49-F238E27FC236}">
                <a16:creationId xmlns:a16="http://schemas.microsoft.com/office/drawing/2014/main" id="{00000000-0008-0000-0200-000015000000}"/>
              </a:ext>
            </a:extLst>
          </xdr:cNvPr>
          <xdr:cNvCxnSpPr/>
        </xdr:nvCxnSpPr>
        <xdr:spPr>
          <a:xfrm>
            <a:off x="5381625" y="8601075"/>
            <a:ext cx="419100" cy="0"/>
          </a:xfrm>
          <a:prstGeom prst="straightConnector1">
            <a:avLst/>
          </a:prstGeom>
          <a:ln w="19050" cap="flat">
            <a:solidFill>
              <a:srgbClr val="404040"/>
            </a:solidFill>
            <a:round/>
            <a:tailEnd type="triangle" w="med" len="med"/>
          </a:ln>
        </xdr:spPr>
      </xdr:cxnSp>
      <xdr:sp macro="" textlink="">
        <xdr:nvSpPr>
          <xdr:cNvPr id="22" name="凡例: 共通">
            <a:extLst>
              <a:ext uri="{FF2B5EF4-FFF2-40B4-BE49-F238E27FC236}">
                <a16:creationId xmlns:a16="http://schemas.microsoft.com/office/drawing/2014/main" id="{00000000-0008-0000-0200-000016000000}"/>
              </a:ext>
            </a:extLst>
          </xdr:cNvPr>
          <xdr:cNvSpPr/>
        </xdr:nvSpPr>
        <xdr:spPr>
          <a:xfrm>
            <a:off x="5857875" y="8505825"/>
            <a:ext cx="15287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共通（複数ルート・基盤）</a:t>
            </a:r>
            <a:endParaRPr lang="ja-JP" altLang="en-US" sz="750" dirty="0">
              <a:latin typeface="Meiryo UI"/>
              <a:ea typeface="Meiryo UI"/>
            </a:endParaRPr>
          </a:p>
        </xdr:txBody>
      </xdr:sp>
      <xdr:cxnSp macro="">
        <xdr:nvCxnSpPr>
          <xdr:cNvPr id="23" name="凡例: オンライン連携">
            <a:extLst>
              <a:ext uri="{FF2B5EF4-FFF2-40B4-BE49-F238E27FC236}">
                <a16:creationId xmlns:a16="http://schemas.microsoft.com/office/drawing/2014/main" id="{00000000-0008-0000-0200-000017000000}"/>
              </a:ext>
            </a:extLst>
          </xdr:cNvPr>
          <xdr:cNvCxnSpPr/>
        </xdr:nvCxnSpPr>
        <xdr:spPr>
          <a:xfrm>
            <a:off x="1333500" y="8829675"/>
            <a:ext cx="419100" cy="0"/>
          </a:xfrm>
          <a:prstGeom prst="straightConnector1">
            <a:avLst/>
          </a:prstGeom>
          <a:ln w="19050" cap="flat">
            <a:solidFill>
              <a:srgbClr val="404040"/>
            </a:solidFill>
            <a:round/>
            <a:tailEnd type="triangle" w="med" len="med"/>
          </a:ln>
        </xdr:spPr>
      </xdr:cxnSp>
      <xdr:sp macro="" textlink="">
        <xdr:nvSpPr>
          <xdr:cNvPr id="24" name="凡例: 実線矢印：オンライン・イベント">
            <a:extLst>
              <a:ext uri="{FF2B5EF4-FFF2-40B4-BE49-F238E27FC236}">
                <a16:creationId xmlns:a16="http://schemas.microsoft.com/office/drawing/2014/main" id="{00000000-0008-0000-0200-000018000000}"/>
              </a:ext>
            </a:extLst>
          </xdr:cNvPr>
          <xdr:cNvSpPr/>
        </xdr:nvSpPr>
        <xdr:spPr>
          <a:xfrm>
            <a:off x="1809750" y="8734425"/>
            <a:ext cx="15287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実線矢印：オンライン・イベント</a:t>
            </a:r>
            <a:endParaRPr lang="ja-JP" altLang="en-US" sz="750" dirty="0">
              <a:latin typeface="Meiryo UI"/>
              <a:ea typeface="Meiryo UI"/>
            </a:endParaRPr>
          </a:p>
        </xdr:txBody>
      </xdr:sp>
      <xdr:cxnSp macro="">
        <xdr:nvCxnSpPr>
          <xdr:cNvPr id="25" name="凡例: バッチ・ファイル">
            <a:extLst>
              <a:ext uri="{FF2B5EF4-FFF2-40B4-BE49-F238E27FC236}">
                <a16:creationId xmlns:a16="http://schemas.microsoft.com/office/drawing/2014/main" id="{00000000-0008-0000-0200-000019000000}"/>
              </a:ext>
            </a:extLst>
          </xdr:cNvPr>
          <xdr:cNvCxnSpPr/>
        </xdr:nvCxnSpPr>
        <xdr:spPr>
          <a:xfrm>
            <a:off x="3357562" y="8829675"/>
            <a:ext cx="419100" cy="0"/>
          </a:xfrm>
          <a:prstGeom prst="straightConnector1">
            <a:avLst/>
          </a:prstGeom>
          <a:ln w="19050" cap="flat">
            <a:solidFill>
              <a:srgbClr val="404040"/>
            </a:solidFill>
            <a:prstDash val="dash"/>
            <a:round/>
            <a:tailEnd type="triangle" w="med" len="med"/>
          </a:ln>
        </xdr:spPr>
      </xdr:cxnSp>
      <xdr:sp macro="" textlink="">
        <xdr:nvSpPr>
          <xdr:cNvPr id="26" name="凡例: 破線矢印：バッチ・ファイル">
            <a:extLst>
              <a:ext uri="{FF2B5EF4-FFF2-40B4-BE49-F238E27FC236}">
                <a16:creationId xmlns:a16="http://schemas.microsoft.com/office/drawing/2014/main" id="{00000000-0008-0000-0200-00001A000000}"/>
              </a:ext>
            </a:extLst>
          </xdr:cNvPr>
          <xdr:cNvSpPr/>
        </xdr:nvSpPr>
        <xdr:spPr>
          <a:xfrm>
            <a:off x="3833812" y="8734425"/>
            <a:ext cx="15287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破線矢印：バッチ・ファイル</a:t>
            </a:r>
            <a:endParaRPr lang="ja-JP" altLang="en-US" sz="750" dirty="0">
              <a:latin typeface="Meiryo UI"/>
              <a:ea typeface="Meiryo UI"/>
            </a:endParaRPr>
          </a:p>
        </xdr:txBody>
      </xdr:sp>
      <xdr:cxnSp macro="">
        <xdr:nvCxnSpPr>
          <xdr:cNvPr id="27" name="凡例: 監視・運用">
            <a:extLst>
              <a:ext uri="{FF2B5EF4-FFF2-40B4-BE49-F238E27FC236}">
                <a16:creationId xmlns:a16="http://schemas.microsoft.com/office/drawing/2014/main" id="{00000000-0008-0000-0200-00001B000000}"/>
              </a:ext>
            </a:extLst>
          </xdr:cNvPr>
          <xdr:cNvCxnSpPr/>
        </xdr:nvCxnSpPr>
        <xdr:spPr>
          <a:xfrm>
            <a:off x="5381625" y="8829675"/>
            <a:ext cx="419100" cy="0"/>
          </a:xfrm>
          <a:prstGeom prst="straightConnector1">
            <a:avLst/>
          </a:prstGeom>
          <a:ln w="12700" cap="flat">
            <a:solidFill>
              <a:srgbClr val="404040"/>
            </a:solidFill>
            <a:prstDash val="sysDot"/>
            <a:round/>
            <a:tailEnd type="triangle" w="med" len="med"/>
          </a:ln>
        </xdr:spPr>
      </xdr:cxnSp>
      <xdr:sp macro="" textlink="">
        <xdr:nvSpPr>
          <xdr:cNvPr id="28" name="凡例: 点線矢印：監視・運用">
            <a:extLst>
              <a:ext uri="{FF2B5EF4-FFF2-40B4-BE49-F238E27FC236}">
                <a16:creationId xmlns:a16="http://schemas.microsoft.com/office/drawing/2014/main" id="{00000000-0008-0000-0200-00001C000000}"/>
              </a:ext>
            </a:extLst>
          </xdr:cNvPr>
          <xdr:cNvSpPr/>
        </xdr:nvSpPr>
        <xdr:spPr>
          <a:xfrm>
            <a:off x="5857875" y="8734425"/>
            <a:ext cx="15287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点線矢印：監視・運用</a:t>
            </a:r>
            <a:endParaRPr lang="ja-JP" altLang="en-US" sz="750" dirty="0">
              <a:latin typeface="Meiryo UI"/>
              <a:ea typeface="Meiryo UI"/>
            </a:endParaRPr>
          </a:p>
        </xdr:txBody>
      </xdr:sp>
      <xdr:cxnSp macro="">
        <xdr:nvCxnSpPr>
          <xdr:cNvPr id="29" name="凡例: 専用線・閉域網">
            <a:extLst>
              <a:ext uri="{FF2B5EF4-FFF2-40B4-BE49-F238E27FC236}">
                <a16:creationId xmlns:a16="http://schemas.microsoft.com/office/drawing/2014/main" id="{00000000-0008-0000-0200-00001D000000}"/>
              </a:ext>
            </a:extLst>
          </xdr:cNvPr>
          <xdr:cNvCxnSpPr/>
        </xdr:nvCxnSpPr>
        <xdr:spPr>
          <a:xfrm>
            <a:off x="7405688" y="8829675"/>
            <a:ext cx="419100" cy="0"/>
          </a:xfrm>
          <a:prstGeom prst="straightConnector1">
            <a:avLst/>
          </a:prstGeom>
          <a:ln w="38100" cap="flat">
            <a:solidFill>
              <a:srgbClr val="404040"/>
            </a:solidFill>
            <a:round/>
          </a:ln>
        </xdr:spPr>
      </xdr:cxnSp>
      <xdr:sp macro="" textlink="">
        <xdr:nvSpPr>
          <xdr:cNvPr id="30" name="凡例: 太線：専用線・閉域網">
            <a:extLst>
              <a:ext uri="{FF2B5EF4-FFF2-40B4-BE49-F238E27FC236}">
                <a16:creationId xmlns:a16="http://schemas.microsoft.com/office/drawing/2014/main" id="{00000000-0008-0000-0200-00001E000000}"/>
              </a:ext>
            </a:extLst>
          </xdr:cNvPr>
          <xdr:cNvSpPr/>
        </xdr:nvSpPr>
        <xdr:spPr>
          <a:xfrm>
            <a:off x="7881938" y="8734425"/>
            <a:ext cx="15287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太線：専用線・閉域網</a:t>
            </a:r>
            <a:endParaRPr lang="ja-JP" altLang="en-US" sz="750" dirty="0">
              <a:latin typeface="Meiryo UI"/>
              <a:ea typeface="Meiryo UI"/>
            </a:endParaRPr>
          </a:p>
        </xdr:txBody>
      </xdr:sp>
      <xdr:sp macro="" textlink="">
        <xdr:nvSpPr>
          <xdr:cNvPr id="31" name="凡例: 角丸">
            <a:extLst>
              <a:ext uri="{FF2B5EF4-FFF2-40B4-BE49-F238E27FC236}">
                <a16:creationId xmlns:a16="http://schemas.microsoft.com/office/drawing/2014/main" id="{00000000-0008-0000-0200-00001F000000}"/>
              </a:ext>
            </a:extLst>
          </xdr:cNvPr>
          <xdr:cNvSpPr/>
        </xdr:nvSpPr>
        <xdr:spPr>
          <a:xfrm>
            <a:off x="1333500" y="8972550"/>
            <a:ext cx="304800" cy="171450"/>
          </a:xfrm>
          <a:custGeom>
            <a:avLst/>
            <a:gdLst>
              <a:gd name="x1" fmla="*/ w 1 4"/>
              <a:gd name="x2" fmla="*/ w 1 2"/>
              <a:gd name="x3" fmla="*/ w 3 4"/>
              <a:gd name="y1" fmla="*/ h 1 4"/>
              <a:gd name="y2" fmla="*/ h 1 2"/>
              <a:gd name="y3" fmla="*/ h 3 4"/>
              <a:gd name="smin" fmla="min w h"/>
              <a:gd name="hm" fmla="*/ smin 1 2"/>
              <a:gd name="rd" fmla="min 381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9525" cap="flat">
            <a:solidFill>
              <a:srgbClr val="404040"/>
            </a:solidFill>
            <a:round/>
          </a:ln>
        </xdr:spPr>
        <xdr:txBody>
          <a:bodyPr vertOverflow="overflow" horzOverflow="overflow" wrap="square" lIns="38100" tIns="19050" rIns="38100" bIns="19050" rtlCol="0" anchor="ctr">
            <a:noAutofit/>
          </a:bodyPr>
          <a:lstStyle/>
          <a:p>
            <a:pPr algn="ctr"/>
            <a:endParaRPr lang="ja-JP" altLang="en-US" sz="600" dirty="0">
              <a:latin typeface="Meiryo UI"/>
              <a:ea typeface="Meiryo UI"/>
            </a:endParaRPr>
          </a:p>
        </xdr:txBody>
      </xdr:sp>
      <xdr:sp macro="" textlink="">
        <xdr:nvSpPr>
          <xdr:cNvPr id="32" name="凡例: 円柱">
            <a:extLst>
              <a:ext uri="{FF2B5EF4-FFF2-40B4-BE49-F238E27FC236}">
                <a16:creationId xmlns:a16="http://schemas.microsoft.com/office/drawing/2014/main" id="{00000000-0008-0000-0200-000020000000}"/>
              </a:ext>
            </a:extLst>
          </xdr:cNvPr>
          <xdr:cNvSpPr/>
        </xdr:nvSpPr>
        <xdr:spPr>
          <a:xfrm>
            <a:off x="1676400" y="8953500"/>
            <a:ext cx="171450" cy="20955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FFFFFF"/>
          </a:solidFill>
          <a:ln w="9525" cap="flat">
            <a:solidFill>
              <a:srgbClr val="404040"/>
            </a:solidFill>
            <a:round/>
          </a:ln>
        </xdr:spPr>
        <xdr:txBody>
          <a:bodyPr vertOverflow="overflow" horzOverflow="overflow" wrap="square" lIns="38100" tIns="19050" rIns="38100" bIns="19050" rtlCol="0" anchor="ctr">
            <a:noAutofit/>
          </a:bodyPr>
          <a:lstStyle/>
          <a:p>
            <a:pPr algn="ctr"/>
            <a:endParaRPr lang="ja-JP" altLang="en-US" sz="600" dirty="0">
              <a:latin typeface="Meiryo UI"/>
              <a:ea typeface="Meiryo UI"/>
            </a:endParaRPr>
          </a:p>
        </xdr:txBody>
      </xdr:sp>
      <xdr:sp macro="" textlink="">
        <xdr:nvSpPr>
          <xdr:cNvPr id="33" name="凡例: 図形の説明">
            <a:extLst>
              <a:ext uri="{FF2B5EF4-FFF2-40B4-BE49-F238E27FC236}">
                <a16:creationId xmlns:a16="http://schemas.microsoft.com/office/drawing/2014/main" id="{00000000-0008-0000-0200-000021000000}"/>
              </a:ext>
            </a:extLst>
          </xdr:cNvPr>
          <xdr:cNvSpPr/>
        </xdr:nvSpPr>
        <xdr:spPr>
          <a:xfrm>
            <a:off x="1885950" y="8963025"/>
            <a:ext cx="14525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システム・サービス／DB</a:t>
            </a:r>
            <a:endParaRPr lang="ja-JP" altLang="en-US" sz="750" dirty="0">
              <a:latin typeface="Meiryo UI"/>
              <a:ea typeface="Meiryo UI"/>
            </a:endParaRPr>
          </a:p>
        </xdr:txBody>
      </xdr:sp>
      <xdr:sp macro="" textlink="">
        <xdr:nvSpPr>
          <xdr:cNvPr id="34" name="凡例: 番号">
            <a:extLst>
              <a:ext uri="{FF2B5EF4-FFF2-40B4-BE49-F238E27FC236}">
                <a16:creationId xmlns:a16="http://schemas.microsoft.com/office/drawing/2014/main" id="{00000000-0008-0000-0200-000022000000}"/>
              </a:ext>
            </a:extLst>
          </xdr:cNvPr>
          <xdr:cNvSpPr/>
        </xdr:nvSpPr>
        <xdr:spPr>
          <a:xfrm>
            <a:off x="3357562" y="8972550"/>
            <a:ext cx="304800" cy="171450"/>
          </a:xfrm>
          <a:prstGeom prst="roundRect">
            <a:avLst>
              <a:gd name="adj" fmla="val 50000"/>
            </a:avLst>
          </a:prstGeom>
          <a:solidFill>
            <a:srgbClr val="315C92"/>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A1</a:t>
            </a:r>
            <a:endParaRPr lang="ja-JP" altLang="en-US" sz="650" dirty="0">
              <a:latin typeface="Meiryo UI"/>
              <a:ea typeface="Meiryo UI"/>
            </a:endParaRPr>
          </a:p>
        </xdr:txBody>
      </xdr:sp>
      <xdr:sp macro="" textlink="">
        <xdr:nvSpPr>
          <xdr:cNvPr id="35" name="凡例: 番号の説明">
            <a:extLst>
              <a:ext uri="{FF2B5EF4-FFF2-40B4-BE49-F238E27FC236}">
                <a16:creationId xmlns:a16="http://schemas.microsoft.com/office/drawing/2014/main" id="{00000000-0008-0000-0200-000023000000}"/>
              </a:ext>
            </a:extLst>
          </xdr:cNvPr>
          <xdr:cNvSpPr/>
        </xdr:nvSpPr>
        <xdr:spPr>
          <a:xfrm>
            <a:off x="3700462" y="8963025"/>
            <a:ext cx="166211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連携番号（→連携一覧）</a:t>
            </a:r>
            <a:endParaRPr lang="ja-JP" altLang="en-US" sz="750" dirty="0">
              <a:latin typeface="Meiryo UI"/>
              <a:ea typeface="Meiryo UI"/>
            </a:endParaRPr>
          </a:p>
        </xdr:txBody>
      </xdr:sp>
      <xdr:sp macro="" textlink="">
        <xdr:nvSpPr>
          <xdr:cNvPr id="36" name="凡例: ポイント">
            <a:extLst>
              <a:ext uri="{FF2B5EF4-FFF2-40B4-BE49-F238E27FC236}">
                <a16:creationId xmlns:a16="http://schemas.microsoft.com/office/drawing/2014/main" id="{00000000-0008-0000-0200-000024000000}"/>
              </a:ext>
            </a:extLst>
          </xdr:cNvPr>
          <xdr:cNvSpPr/>
        </xdr:nvSpPr>
        <xdr:spPr>
          <a:xfrm>
            <a:off x="5381625" y="8972550"/>
            <a:ext cx="304800" cy="171450"/>
          </a:xfrm>
          <a:prstGeom prst="rect">
            <a:avLst/>
          </a:prstGeom>
          <a:solidFill>
            <a:srgbClr val="315C92"/>
          </a:solidFill>
          <a:ln>
            <a:noFill/>
          </a:ln>
        </xdr:spPr>
        <xdr:txBody>
          <a:bodyPr vertOverflow="overflow" horzOverflow="overflow" wrap="none" lIns="0" tIns="0" rIns="0" bIns="0" rtlCol="0" anchor="ctr">
            <a:noAutofit/>
          </a:bodyPr>
          <a:lstStyle/>
          <a:p>
            <a:pPr algn="ctr"/>
            <a:r>
              <a:rPr lang="ja-JP" altLang="en-US" sz="500" b="1" dirty="0">
                <a:solidFill>
                  <a:srgbClr val="FFFFFF"/>
                </a:solidFill>
                <a:latin typeface="Meiryo UI"/>
                <a:ea typeface="Meiryo UI"/>
                <a:cs typeface="Meiryo UI"/>
              </a:rPr>
              <a:t>POINT</a:t>
            </a:r>
            <a:endParaRPr lang="ja-JP" altLang="en-US" sz="500" dirty="0">
              <a:latin typeface="Meiryo UI"/>
              <a:ea typeface="Meiryo UI"/>
            </a:endParaRPr>
          </a:p>
        </xdr:txBody>
      </xdr:sp>
      <xdr:sp macro="" textlink="">
        <xdr:nvSpPr>
          <xdr:cNvPr id="37" name="凡例: ポイントの説明">
            <a:extLst>
              <a:ext uri="{FF2B5EF4-FFF2-40B4-BE49-F238E27FC236}">
                <a16:creationId xmlns:a16="http://schemas.microsoft.com/office/drawing/2014/main" id="{00000000-0008-0000-0200-000025000000}"/>
              </a:ext>
            </a:extLst>
          </xdr:cNvPr>
          <xdr:cNvSpPr/>
        </xdr:nvSpPr>
        <xdr:spPr>
          <a:xfrm>
            <a:off x="5724525" y="8963025"/>
            <a:ext cx="166211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ポイント・付記（ルート色）</a:t>
            </a:r>
            <a:endParaRPr lang="ja-JP" altLang="en-US" sz="750" dirty="0">
              <a:latin typeface="Meiryo UI"/>
              <a:ea typeface="Meiryo UI"/>
            </a:endParaRPr>
          </a:p>
        </xdr:txBody>
      </xdr:sp>
      <xdr:sp macro="" textlink="">
        <xdr:nvSpPr>
          <xdr:cNvPr id="38" name="凡例: 新規">
            <a:extLst>
              <a:ext uri="{FF2B5EF4-FFF2-40B4-BE49-F238E27FC236}">
                <a16:creationId xmlns:a16="http://schemas.microsoft.com/office/drawing/2014/main" id="{00000000-0008-0000-0200-000026000000}"/>
              </a:ext>
            </a:extLst>
          </xdr:cNvPr>
          <xdr:cNvSpPr/>
        </xdr:nvSpPr>
        <xdr:spPr>
          <a:xfrm>
            <a:off x="7405688" y="8972550"/>
            <a:ext cx="304800" cy="171450"/>
          </a:xfrm>
          <a:prstGeom prst="rect">
            <a:avLst/>
          </a:prstGeom>
          <a:noFill/>
          <a:ln w="12700" cap="flat">
            <a:solidFill>
              <a:srgbClr val="C00000"/>
            </a:solidFill>
            <a:prstDash val="dash"/>
            <a:round/>
          </a:ln>
        </xdr:spPr>
        <xdr:txBody>
          <a:bodyPr vertOverflow="overflow" horzOverflow="overflow" wrap="square" lIns="38100" tIns="19050" rIns="38100" bIns="19050" rtlCol="0" anchor="ctr">
            <a:noAutofit/>
          </a:bodyPr>
          <a:lstStyle/>
          <a:p>
            <a:pPr algn="ctr"/>
            <a:endParaRPr lang="ja-JP" altLang="en-US" sz="600" dirty="0">
              <a:latin typeface="Meiryo UI"/>
              <a:ea typeface="Meiryo UI"/>
            </a:endParaRPr>
          </a:p>
        </xdr:txBody>
      </xdr:sp>
      <xdr:sp macro="" textlink="">
        <xdr:nvSpPr>
          <xdr:cNvPr id="39" name="凡例: 新規の説明">
            <a:extLst>
              <a:ext uri="{FF2B5EF4-FFF2-40B4-BE49-F238E27FC236}">
                <a16:creationId xmlns:a16="http://schemas.microsoft.com/office/drawing/2014/main" id="{00000000-0008-0000-0200-000027000000}"/>
              </a:ext>
            </a:extLst>
          </xdr:cNvPr>
          <xdr:cNvSpPr/>
        </xdr:nvSpPr>
        <xdr:spPr>
          <a:xfrm>
            <a:off x="7748587" y="8963025"/>
            <a:ext cx="166211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新規・変更箇所（赤破線）</a:t>
            </a:r>
            <a:endParaRPr lang="ja-JP" altLang="en-US" sz="750" dirty="0">
              <a:latin typeface="Meiryo UI"/>
              <a:ea typeface="Meiryo UI"/>
            </a:endParaRPr>
          </a:p>
        </xdr:txBody>
      </xdr:sp>
    </xdr:grpSp>
    <xdr:clientData/>
  </xdr:twoCellAnchor>
  <xdr:twoCellAnchor editAs="oneCell">
    <xdr:from>
      <xdr:col>36</xdr:col>
      <xdr:colOff>0</xdr:colOff>
      <xdr:row>20</xdr:row>
      <xdr:rowOff>0</xdr:rowOff>
    </xdr:from>
    <xdr:to>
      <xdr:col>66</xdr:col>
      <xdr:colOff>0</xdr:colOff>
      <xdr:row>23</xdr:row>
      <xdr:rowOff>0</xdr:rowOff>
    </xdr:to>
    <xdr:sp macro="" textlink="">
      <xdr:nvSpPr>
        <xdr:cNvPr id="41" name="ガイド文（不要なら削除）">
          <a:extLst>
            <a:ext uri="{FF2B5EF4-FFF2-40B4-BE49-F238E27FC236}">
              <a16:creationId xmlns:a16="http://schemas.microsoft.com/office/drawing/2014/main" id="{00000000-0008-0000-0200-000029000000}"/>
            </a:ext>
          </a:extLst>
        </xdr:cNvPr>
        <xdr:cNvSpPr/>
      </xdr:nvSpPr>
      <xdr:spPr>
        <a:xfrm>
          <a:off x="6858000" y="3810000"/>
          <a:ext cx="5715000" cy="571500"/>
        </a:xfrm>
        <a:prstGeom prst="rect">
          <a:avLst/>
        </a:prstGeom>
        <a:noFill/>
        <a:ln>
          <a:noFill/>
        </a:ln>
      </xdr:spPr>
      <xdr:txBody>
        <a:bodyPr vertOverflow="overflow" horzOverflow="overflow" wrap="square" lIns="12700" tIns="0" rIns="12700" bIns="0" rtlCol="0" anchor="ctr">
          <a:noAutofit/>
        </a:bodyPr>
        <a:lstStyle/>
        <a:p>
          <a:pPr algn="ctr"/>
          <a:r>
            <a:rPr lang="ja-JP" altLang="en-US" sz="850" b="0" dirty="0">
              <a:solidFill>
                <a:srgbClr val="A6A6A6"/>
              </a:solidFill>
              <a:latin typeface="Meiryo UI"/>
              <a:ea typeface="Meiryo UI"/>
              <a:cs typeface="Meiryo UI"/>
            </a:rPr>
            <a:t>接続先（AWS 等）のノードをここに配置します。</a:t>
          </a:r>
          <a:endParaRPr lang="ja-JP" altLang="en-US" sz="850" dirty="0">
            <a:latin typeface="Meiryo UI"/>
            <a:ea typeface="Meiryo UI"/>
          </a:endParaRPr>
        </a:p>
        <a:p>
          <a:pPr algn="ctr"/>
          <a:r>
            <a:rPr lang="ja-JP" altLang="en-US" sz="850" b="0" dirty="0">
              <a:solidFill>
                <a:srgbClr val="A6A6A6"/>
              </a:solidFill>
              <a:latin typeface="Meiryo UI"/>
              <a:ea typeface="Meiryo UI"/>
              <a:cs typeface="Meiryo UI"/>
            </a:rPr>
            <a:t>線は図形の16か所の接続点につなぎ、ルートの色で塗り分けます（右側の7色の部品パレット参照）</a:t>
          </a:r>
          <a:endParaRPr lang="ja-JP" altLang="en-US" sz="850" dirty="0">
            <a:latin typeface="Meiryo UI"/>
            <a:ea typeface="Meiryo UI"/>
          </a:endParaRPr>
        </a:p>
      </xdr:txBody>
    </xdr:sp>
    <xdr:clientData/>
  </xdr:twoCellAnchor>
  <xdr:twoCellAnchor editAs="oneCell">
    <xdr:from>
      <xdr:col>52</xdr:col>
      <xdr:colOff>0</xdr:colOff>
      <xdr:row>42</xdr:row>
      <xdr:rowOff>95250</xdr:rowOff>
    </xdr:from>
    <xdr:to>
      <xdr:col>74</xdr:col>
      <xdr:colOff>0</xdr:colOff>
      <xdr:row>48</xdr:row>
      <xdr:rowOff>95250</xdr:rowOff>
    </xdr:to>
    <xdr:sp macro="" textlink="">
      <xdr:nvSpPr>
        <xdr:cNvPr id="42" name="注記">
          <a:extLst>
            <a:ext uri="{FF2B5EF4-FFF2-40B4-BE49-F238E27FC236}">
              <a16:creationId xmlns:a16="http://schemas.microsoft.com/office/drawing/2014/main" id="{00000000-0008-0000-0200-00002A000000}"/>
            </a:ext>
          </a:extLst>
        </xdr:cNvPr>
        <xdr:cNvSpPr/>
      </xdr:nvSpPr>
      <xdr:spPr>
        <a:xfrm>
          <a:off x="9906000" y="8096250"/>
          <a:ext cx="4191000" cy="1143000"/>
        </a:xfrm>
        <a:prstGeom prst="rect">
          <a:avLst/>
        </a:prstGeom>
        <a:solidFill>
          <a:srgbClr val="FFFFFF"/>
        </a:solidFill>
        <a:ln w="9525" cap="flat">
          <a:solidFill>
            <a:srgbClr val="A6A6A6"/>
          </a:solidFill>
          <a:round/>
        </a:ln>
      </xdr:spPr>
      <xdr:txBody>
        <a:bodyPr vertOverflow="overflow" horzOverflow="overflow" wrap="square" lIns="63500" tIns="38100" rIns="63500" bIns="38100" rtlCol="0" anchor="t">
          <a:noAutofit/>
        </a:bodyPr>
        <a:lstStyle/>
        <a:p>
          <a:pPr algn="l"/>
          <a:r>
            <a:rPr lang="ja-JP" altLang="en-US" sz="850" b="1" dirty="0">
              <a:solidFill>
                <a:srgbClr val="262626"/>
              </a:solidFill>
              <a:latin typeface="Meiryo UI"/>
              <a:ea typeface="Meiryo UI"/>
              <a:cs typeface="Meiryo UI"/>
            </a:rPr>
            <a:t>注記</a:t>
          </a:r>
          <a:endParaRPr lang="ja-JP" altLang="en-US" sz="850" dirty="0">
            <a:latin typeface="Meiryo UI"/>
            <a:ea typeface="Meiryo UI"/>
          </a:endParaRPr>
        </a:p>
        <a:p>
          <a:pPr algn="l">
            <a:spcBef>
              <a:spcPts val="150"/>
            </a:spcBef>
          </a:pPr>
          <a:r>
            <a:rPr lang="ja-JP" altLang="en-US" sz="750" b="0" dirty="0">
              <a:solidFill>
                <a:srgbClr val="404040"/>
              </a:solidFill>
              <a:latin typeface="Meiryo UI"/>
              <a:ea typeface="Meiryo UI"/>
              <a:cs typeface="Meiryo UI"/>
            </a:rPr>
            <a:t>1. 連携の詳細は「連携一覧」、ノードの詳細は「構成要素一覧」を参照</a:t>
          </a:r>
          <a:endParaRPr lang="ja-JP" altLang="en-US" sz="750" dirty="0">
            <a:latin typeface="Meiryo UI"/>
            <a:ea typeface="Meiryo UI"/>
          </a:endParaRPr>
        </a:p>
        <a:p>
          <a:pPr algn="l">
            <a:spcBef>
              <a:spcPts val="150"/>
            </a:spcBef>
          </a:pPr>
          <a:r>
            <a:rPr lang="ja-JP" altLang="en-US" sz="750" b="0" dirty="0">
              <a:solidFill>
                <a:srgbClr val="404040"/>
              </a:solidFill>
              <a:latin typeface="Meiryo UI"/>
              <a:ea typeface="Meiryo UI"/>
              <a:cs typeface="Meiryo UI"/>
            </a:rPr>
            <a:t>2. 色＝ルート（表紙で定義）、線の種類＝連携方式</a:t>
          </a:r>
          <a:endParaRPr lang="ja-JP" altLang="en-US" sz="750" dirty="0">
            <a:latin typeface="Meiryo UI"/>
            <a:ea typeface="Meiryo UI"/>
          </a:endParaRPr>
        </a:p>
        <a:p>
          <a:pPr algn="l">
            <a:spcBef>
              <a:spcPts val="150"/>
            </a:spcBef>
          </a:pPr>
          <a:r>
            <a:rPr lang="ja-JP" altLang="en-US" sz="750" b="0" dirty="0">
              <a:solidFill>
                <a:srgbClr val="404040"/>
              </a:solidFill>
              <a:latin typeface="Meiryo UI"/>
              <a:ea typeface="Meiryo UI"/>
              <a:cs typeface="Meiryo UI"/>
            </a:rPr>
            <a:t>3. </a:t>
          </a:r>
          <a:endParaRPr lang="ja-JP" altLang="en-US" sz="750" dirty="0">
            <a:latin typeface="Meiryo UI"/>
            <a:ea typeface="Meiryo UI"/>
          </a:endParaRPr>
        </a:p>
      </xdr:txBody>
    </xdr:sp>
    <xdr:clientData/>
  </xdr:twoCellAnchor>
  <xdr:twoCellAnchor editAs="oneCell">
    <xdr:from>
      <xdr:col>78</xdr:col>
      <xdr:colOff>0</xdr:colOff>
      <xdr:row>6</xdr:row>
      <xdr:rowOff>0</xdr:rowOff>
    </xdr:from>
    <xdr:to>
      <xdr:col>86</xdr:col>
      <xdr:colOff>0</xdr:colOff>
      <xdr:row>10</xdr:row>
      <xdr:rowOff>0</xdr:rowOff>
    </xdr:to>
    <xdr:sp macro="" textlink="">
      <xdr:nvSpPr>
        <xdr:cNvPr id="43" name="ノード: 角丸・標準（共通）">
          <a:extLst>
            <a:ext uri="{FF2B5EF4-FFF2-40B4-BE49-F238E27FC236}">
              <a16:creationId xmlns:a16="http://schemas.microsoft.com/office/drawing/2014/main" id="{00000000-0008-0000-0200-00002B000000}"/>
            </a:ext>
          </a:extLst>
        </xdr:cNvPr>
        <xdr:cNvSpPr/>
      </xdr:nvSpPr>
      <xdr:spPr>
        <a:xfrm>
          <a:off x="14859000" y="1143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2700" cap="flat">
          <a:solidFill>
            <a:srgbClr val="404040"/>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78</xdr:col>
      <xdr:colOff>0</xdr:colOff>
      <xdr:row>11</xdr:row>
      <xdr:rowOff>0</xdr:rowOff>
    </xdr:from>
    <xdr:to>
      <xdr:col>86</xdr:col>
      <xdr:colOff>0</xdr:colOff>
      <xdr:row>15</xdr:row>
      <xdr:rowOff>0</xdr:rowOff>
    </xdr:to>
    <xdr:sp macro="" textlink="">
      <xdr:nvSpPr>
        <xdr:cNvPr id="44" name="ノード: 角丸・強調（共通）">
          <a:extLst>
            <a:ext uri="{FF2B5EF4-FFF2-40B4-BE49-F238E27FC236}">
              <a16:creationId xmlns:a16="http://schemas.microsoft.com/office/drawing/2014/main" id="{00000000-0008-0000-0200-00002C000000}"/>
            </a:ext>
          </a:extLst>
        </xdr:cNvPr>
        <xdr:cNvSpPr/>
      </xdr:nvSpPr>
      <xdr:spPr>
        <a:xfrm>
          <a:off x="14859000" y="20955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404040"/>
        </a:solidFill>
        <a:ln w="15875" cap="flat">
          <a:solidFill>
            <a:srgbClr val="404040"/>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接続元</a:t>
          </a:r>
          <a:endParaRPr lang="ja-JP" altLang="en-US" sz="950" dirty="0">
            <a:latin typeface="Meiryo UI"/>
            <a:ea typeface="Meiryo UI"/>
          </a:endParaRPr>
        </a:p>
        <a:p>
          <a:pPr algn="ctr">
            <a:lnSpc>
              <a:spcPct val="95000"/>
            </a:lnSpc>
            <a:spcBef>
              <a:spcPts val="50"/>
            </a:spcBef>
          </a:pPr>
          <a:r>
            <a:rPr lang="ja-JP" altLang="en-US" sz="750" b="0" dirty="0">
              <a:solidFill>
                <a:srgbClr val="D9D9D9"/>
              </a:solidFill>
              <a:latin typeface="Meiryo UI"/>
              <a:ea typeface="Meiryo UI"/>
              <a:cs typeface="Meiryo UI"/>
            </a:rPr>
            <a:t>強調ノード</a:t>
          </a:r>
          <a:endParaRPr lang="ja-JP" altLang="en-US" sz="750" dirty="0">
            <a:latin typeface="Meiryo UI"/>
            <a:ea typeface="Meiryo UI"/>
          </a:endParaRPr>
        </a:p>
      </xdr:txBody>
    </xdr:sp>
    <xdr:clientData/>
  </xdr:twoCellAnchor>
  <xdr:twoCellAnchor editAs="oneCell">
    <xdr:from>
      <xdr:col>78</xdr:col>
      <xdr:colOff>0</xdr:colOff>
      <xdr:row>16</xdr:row>
      <xdr:rowOff>0</xdr:rowOff>
    </xdr:from>
    <xdr:to>
      <xdr:col>82</xdr:col>
      <xdr:colOff>0</xdr:colOff>
      <xdr:row>20</xdr:row>
      <xdr:rowOff>0</xdr:rowOff>
    </xdr:to>
    <xdr:sp macro="" textlink="">
      <xdr:nvSpPr>
        <xdr:cNvPr id="45" name="ノード: 円柱・標準（共通）">
          <a:extLst>
            <a:ext uri="{FF2B5EF4-FFF2-40B4-BE49-F238E27FC236}">
              <a16:creationId xmlns:a16="http://schemas.microsoft.com/office/drawing/2014/main" id="{00000000-0008-0000-0200-00002D000000}"/>
            </a:ext>
          </a:extLst>
        </xdr:cNvPr>
        <xdr:cNvSpPr/>
      </xdr:nvSpPr>
      <xdr:spPr>
        <a:xfrm>
          <a:off x="14859000" y="3048000"/>
          <a:ext cx="762000" cy="76200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FFFFFF"/>
        </a:solidFill>
        <a:ln w="12700" cap="flat">
          <a:solidFill>
            <a:srgbClr val="404040"/>
          </a:solidFill>
          <a:round/>
        </a:ln>
      </xdr:spPr>
      <xdr:txBody>
        <a:bodyPr vertOverflow="overflow" horzOverflow="overflow" wrap="square" lIns="25400" tIns="76200" rIns="25400" bIns="25400" rtlCol="0" anchor="ctr">
          <a:noAutofit/>
        </a:bodyPr>
        <a:lstStyle/>
        <a:p>
          <a:pPr algn="ctr">
            <a:lnSpc>
              <a:spcPct val="95000"/>
            </a:lnSpc>
          </a:pPr>
          <a:r>
            <a:rPr lang="ja-JP" altLang="en-US" sz="850" b="1" dirty="0">
              <a:solidFill>
                <a:srgbClr val="262626"/>
              </a:solidFill>
              <a:latin typeface="Meiryo UI"/>
              <a:ea typeface="Meiryo UI"/>
              <a:cs typeface="Meiryo UI"/>
            </a:rPr>
            <a:t>DB</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ストレージ</a:t>
          </a:r>
          <a:endParaRPr lang="ja-JP" altLang="en-US" sz="700" dirty="0">
            <a:latin typeface="Meiryo UI"/>
            <a:ea typeface="Meiryo UI"/>
          </a:endParaRPr>
        </a:p>
      </xdr:txBody>
    </xdr:sp>
    <xdr:clientData/>
  </xdr:twoCellAnchor>
  <xdr:twoCellAnchor editAs="oneCell">
    <xdr:from>
      <xdr:col>82</xdr:col>
      <xdr:colOff>0</xdr:colOff>
      <xdr:row>16</xdr:row>
      <xdr:rowOff>0</xdr:rowOff>
    </xdr:from>
    <xdr:to>
      <xdr:col>86</xdr:col>
      <xdr:colOff>0</xdr:colOff>
      <xdr:row>20</xdr:row>
      <xdr:rowOff>0</xdr:rowOff>
    </xdr:to>
    <xdr:sp macro="" textlink="">
      <xdr:nvSpPr>
        <xdr:cNvPr id="46" name="ノード: 円・標準（共通）">
          <a:extLst>
            <a:ext uri="{FF2B5EF4-FFF2-40B4-BE49-F238E27FC236}">
              <a16:creationId xmlns:a16="http://schemas.microsoft.com/office/drawing/2014/main" id="{00000000-0008-0000-0200-00002E000000}"/>
            </a:ext>
          </a:extLst>
        </xdr:cNvPr>
        <xdr:cNvSpPr/>
      </xdr:nvSpPr>
      <xdr:spPr>
        <a:xfrm>
          <a:off x="15621000" y="3048000"/>
          <a:ext cx="762000" cy="762000"/>
        </a:xfrm>
        <a:custGeom>
          <a:avLst/>
          <a:gdLst>
            <a:gd name="wr" fmla="*/ w 1 2"/>
            <a:gd name="hr" fmla="*/ h 1 2"/>
            <a:gd name="dx0" fmla="sin wr 18900000"/>
            <a:gd name="dy0" fmla="cos hr 18900000"/>
            <a:gd name="px0" fmla="+- hc dx0 0"/>
            <a:gd name="py0" fmla="+- vc 0 dy0"/>
            <a:gd name="dx1" fmla="sin wr 20250000"/>
            <a:gd name="dy1" fmla="cos hr 20250000"/>
            <a:gd name="px1" fmla="+- hc dx1 0"/>
            <a:gd name="py1" fmla="+- vc 0 dy1"/>
            <a:gd name="dx2" fmla="sin wr 0"/>
            <a:gd name="dy2" fmla="cos hr 0"/>
            <a:gd name="px2" fmla="+- hc dx2 0"/>
            <a:gd name="py2" fmla="+- vc 0 dy2"/>
            <a:gd name="dx3" fmla="sin wr 1350000"/>
            <a:gd name="dy3" fmla="cos hr 1350000"/>
            <a:gd name="px3" fmla="+- hc dx3 0"/>
            <a:gd name="py3" fmla="+- vc 0 dy3"/>
            <a:gd name="dx4" fmla="sin wr 2700000"/>
            <a:gd name="dy4" fmla="cos hr 2700000"/>
            <a:gd name="px4" fmla="+- hc dx4 0"/>
            <a:gd name="py4" fmla="+- vc 0 dy4"/>
            <a:gd name="dx5" fmla="sin wr 4050000"/>
            <a:gd name="dy5" fmla="cos hr 4050000"/>
            <a:gd name="px5" fmla="+- hc dx5 0"/>
            <a:gd name="py5" fmla="+- vc 0 dy5"/>
            <a:gd name="dx6" fmla="sin wr 5400000"/>
            <a:gd name="dy6" fmla="cos hr 5400000"/>
            <a:gd name="px6" fmla="+- hc dx6 0"/>
            <a:gd name="py6" fmla="+- vc 0 dy6"/>
            <a:gd name="dx7" fmla="sin wr 6750000"/>
            <a:gd name="dy7" fmla="cos hr 6750000"/>
            <a:gd name="px7" fmla="+- hc dx7 0"/>
            <a:gd name="py7" fmla="+- vc 0 dy7"/>
            <a:gd name="dx8" fmla="sin wr 8100000"/>
            <a:gd name="dy8" fmla="cos hr 8100000"/>
            <a:gd name="px8" fmla="+- hc dx8 0"/>
            <a:gd name="py8" fmla="+- vc 0 dy8"/>
            <a:gd name="dx9" fmla="sin wr 9450000"/>
            <a:gd name="dy9" fmla="cos hr 9450000"/>
            <a:gd name="px9" fmla="+- hc dx9 0"/>
            <a:gd name="py9" fmla="+- vc 0 dy9"/>
            <a:gd name="dx10" fmla="sin wr 10800000"/>
            <a:gd name="dy10" fmla="cos hr 10800000"/>
            <a:gd name="px10" fmla="+- hc dx10 0"/>
            <a:gd name="py10" fmla="+- vc 0 dy10"/>
            <a:gd name="dx11" fmla="sin wr 12150000"/>
            <a:gd name="dy11" fmla="cos hr 12150000"/>
            <a:gd name="px11" fmla="+- hc dx11 0"/>
            <a:gd name="py11" fmla="+- vc 0 dy11"/>
            <a:gd name="dx12" fmla="sin wr 13500000"/>
            <a:gd name="dy12" fmla="cos hr 13500000"/>
            <a:gd name="px12" fmla="+- hc dx12 0"/>
            <a:gd name="py12" fmla="+- vc 0 dy12"/>
            <a:gd name="dx13" fmla="sin wr 14850000"/>
            <a:gd name="dy13" fmla="cos hr 14850000"/>
            <a:gd name="px13" fmla="+- hc dx13 0"/>
            <a:gd name="py13" fmla="+- vc 0 dy13"/>
            <a:gd name="dx14" fmla="sin wr 16200000"/>
            <a:gd name="dy14" fmla="cos hr 16200000"/>
            <a:gd name="px14" fmla="+- hc dx14 0"/>
            <a:gd name="py14" fmla="+- vc 0 dy14"/>
            <a:gd name="dx15" fmla="sin wr 17550000"/>
            <a:gd name="dy15" fmla="cos hr 17550000"/>
            <a:gd name="px15" fmla="+- hc dx15 0"/>
            <a:gd name="py15" fmla="+- vc 0 dy15"/>
          </a:gdLst>
          <a:ahLst/>
          <a:cxnLst>
            <a:cxn ang="10800000">
              <a:pos x="px0" y="py0"/>
            </a:cxn>
            <a:cxn ang="16200000">
              <a:pos x="px1" y="py1"/>
            </a:cxn>
            <a:cxn ang="16200000">
              <a:pos x="px2" y="py2"/>
            </a:cxn>
            <a:cxn ang="16200000">
              <a:pos x="px3" y="py3"/>
            </a:cxn>
            <a:cxn ang="0">
              <a:pos x="px4" y="py4"/>
            </a:cxn>
            <a:cxn ang="0">
              <a:pos x="px5" y="py5"/>
            </a:cxn>
            <a:cxn ang="0">
              <a:pos x="px6" y="py6"/>
            </a:cxn>
            <a:cxn ang="0">
              <a:pos x="px7" y="py7"/>
            </a:cxn>
            <a:cxn ang="0">
              <a:pos x="px8" y="py8"/>
            </a:cxn>
            <a:cxn ang="5400000">
              <a:pos x="px9" y="py9"/>
            </a:cxn>
            <a:cxn ang="5400000">
              <a:pos x="px10" y="py10"/>
            </a:cxn>
            <a:cxn ang="5400000">
              <a:pos x="px11" y="py11"/>
            </a:cxn>
            <a:cxn ang="10800000">
              <a:pos x="px12" y="py12"/>
            </a:cxn>
            <a:cxn ang="10800000">
              <a:pos x="px13" y="py13"/>
            </a:cxn>
            <a:cxn ang="10800000">
              <a:pos x="px14" y="py14"/>
            </a:cxn>
            <a:cxn ang="10800000">
              <a:pos x="px15" y="py15"/>
            </a:cxn>
          </a:cxnLst>
          <a:rect l="l" t="t" r="r" b="b"/>
          <a:pathLst>
            <a:path>
              <a:moveTo>
                <a:pt x="l" y="vc"/>
              </a:moveTo>
              <a:arcTo wR="wr" hR="hr" stAng="10800000" swAng="21600000"/>
              <a:close/>
            </a:path>
          </a:pathLst>
        </a:custGeom>
        <a:solidFill>
          <a:srgbClr val="FFFFFF"/>
        </a:solidFill>
        <a:ln w="12700" cap="flat">
          <a:solidFill>
            <a:srgbClr val="404040"/>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利用者</a:t>
          </a:r>
          <a:endParaRPr lang="ja-JP" altLang="en-US" sz="850" dirty="0">
            <a:latin typeface="Meiryo UI"/>
            <a:ea typeface="Meiryo UI"/>
          </a:endParaRPr>
        </a:p>
      </xdr:txBody>
    </xdr:sp>
    <xdr:clientData/>
  </xdr:twoCellAnchor>
  <xdr:twoCellAnchor editAs="oneCell">
    <xdr:from>
      <xdr:col>78</xdr:col>
      <xdr:colOff>0</xdr:colOff>
      <xdr:row>21</xdr:row>
      <xdr:rowOff>0</xdr:rowOff>
    </xdr:from>
    <xdr:to>
      <xdr:col>86</xdr:col>
      <xdr:colOff>0</xdr:colOff>
      <xdr:row>25</xdr:row>
      <xdr:rowOff>0</xdr:rowOff>
    </xdr:to>
    <xdr:sp macro="" textlink="">
      <xdr:nvSpPr>
        <xdr:cNvPr id="47" name="ノード: カプセル・標準（共通）">
          <a:extLst>
            <a:ext uri="{FF2B5EF4-FFF2-40B4-BE49-F238E27FC236}">
              <a16:creationId xmlns:a16="http://schemas.microsoft.com/office/drawing/2014/main" id="{00000000-0008-0000-0200-00002F000000}"/>
            </a:ext>
          </a:extLst>
        </xdr:cNvPr>
        <xdr:cNvSpPr/>
      </xdr:nvSpPr>
      <xdr:spPr>
        <a:xfrm>
          <a:off x="14859000" y="4000500"/>
          <a:ext cx="1524000" cy="762000"/>
        </a:xfrm>
        <a:custGeom>
          <a:avLst/>
          <a:gdLst>
            <a:gd name="x1" fmla="*/ w 1 4"/>
            <a:gd name="x2" fmla="*/ w 1 2"/>
            <a:gd name="x3" fmla="*/ w 3 4"/>
            <a:gd name="y1" fmla="*/ h 1 4"/>
            <a:gd name="y2" fmla="*/ h 1 2"/>
            <a:gd name="y3" fmla="*/ h 3 4"/>
            <a:gd name="smin" fmla="min w h"/>
            <a:gd name="rr" fmla="*/ smin 1 2"/>
            <a:gd name="rx" fmla="+- r 0 rr"/>
            <a:gd name="k" fmla="*/ rr 13397 100000"/>
            <a:gd name="rk" fmla="+- r 0 k"/>
            <a:gd name="q45" fmla="*/ rr 29289 100000"/>
            <a:gd name="q45r" fmla="+- r 0 q45"/>
            <a:gd name="q45b" fmla="+- b 0 q45"/>
          </a:gdLst>
          <a:ahLst/>
          <a:cxnLst>
            <a:cxn ang="10800000">
              <a:pos x="q45" y="q45"/>
            </a:cxn>
            <a:cxn ang="16200000">
              <a:pos x="x1" y="t"/>
            </a:cxn>
            <a:cxn ang="16200000">
              <a:pos x="x2" y="t"/>
            </a:cxn>
            <a:cxn ang="16200000">
              <a:pos x="x3" y="t"/>
            </a:cxn>
            <a:cxn ang="0">
              <a:pos x="q45r" y="q45"/>
            </a:cxn>
            <a:cxn ang="0">
              <a:pos x="rk" y="y1"/>
            </a:cxn>
            <a:cxn ang="0">
              <a:pos x="r" y="y2"/>
            </a:cxn>
            <a:cxn ang="0">
              <a:pos x="rk" y="y3"/>
            </a:cxn>
            <a:cxn ang="0">
              <a:pos x="q45r" y="q45b"/>
            </a:cxn>
            <a:cxn ang="5400000">
              <a:pos x="x3" y="b"/>
            </a:cxn>
            <a:cxn ang="5400000">
              <a:pos x="x2" y="b"/>
            </a:cxn>
            <a:cxn ang="5400000">
              <a:pos x="x1" y="b"/>
            </a:cxn>
            <a:cxn ang="10800000">
              <a:pos x="q45" y="q45b"/>
            </a:cxn>
            <a:cxn ang="10800000">
              <a:pos x="k" y="y3"/>
            </a:cxn>
            <a:cxn ang="10800000">
              <a:pos x="l" y="y2"/>
            </a:cxn>
            <a:cxn ang="10800000">
              <a:pos x="k" y="y1"/>
            </a:cxn>
          </a:cxnLst>
          <a:rect l="l" t="t" r="r" b="b"/>
          <a:pathLst>
            <a:path>
              <a:moveTo>
                <a:pt x="rr" y="t"/>
              </a:moveTo>
              <a:lnTo>
                <a:pt x="rx" y="t"/>
              </a:lnTo>
              <a:arcTo wR="rr" hR="rr" stAng="16200000" swAng="10800000"/>
              <a:lnTo>
                <a:pt x="rr" y="b"/>
              </a:lnTo>
              <a:arcTo wR="rr" hR="rr" stAng="5400000" swAng="10800000"/>
              <a:close/>
            </a:path>
          </a:pathLst>
        </a:custGeom>
        <a:solidFill>
          <a:srgbClr val="FFFFFF"/>
        </a:solidFill>
        <a:ln w="12700" cap="flat">
          <a:solidFill>
            <a:srgbClr val="404040"/>
          </a:solidFill>
          <a:round/>
        </a:ln>
      </xdr:spPr>
      <xdr:txBody>
        <a:bodyPr vertOverflow="overflow" horzOverflow="overflow" wrap="square" lIns="101600" tIns="12700" rIns="101600" bIns="12700" rtlCol="0" anchor="ctr">
          <a:noAutofit/>
        </a:bodyPr>
        <a:lstStyle/>
        <a:p>
          <a:pPr algn="ctr">
            <a:lnSpc>
              <a:spcPct val="95000"/>
            </a:lnSpc>
          </a:pPr>
          <a:r>
            <a:rPr lang="ja-JP" altLang="en-US" sz="950" b="1" dirty="0">
              <a:solidFill>
                <a:srgbClr val="262626"/>
              </a:solidFill>
              <a:latin typeface="Meiryo UI"/>
              <a:ea typeface="Meiryo UI"/>
              <a:cs typeface="Meiryo UI"/>
            </a:rPr>
            <a:t>API・キュー</a:t>
          </a:r>
          <a:endParaRPr lang="ja-JP" altLang="en-US" sz="950" dirty="0">
            <a:latin typeface="Meiryo UI"/>
            <a:ea typeface="Meiryo UI"/>
          </a:endParaRPr>
        </a:p>
      </xdr:txBody>
    </xdr:sp>
    <xdr:clientData/>
  </xdr:twoCellAnchor>
  <xdr:twoCellAnchor editAs="oneCell">
    <xdr:from>
      <xdr:col>78</xdr:col>
      <xdr:colOff>0</xdr:colOff>
      <xdr:row>27</xdr:row>
      <xdr:rowOff>0</xdr:rowOff>
    </xdr:from>
    <xdr:to>
      <xdr:col>86</xdr:col>
      <xdr:colOff>0</xdr:colOff>
      <xdr:row>27</xdr:row>
      <xdr:rowOff>0</xdr:rowOff>
    </xdr:to>
    <xdr:cxnSp macro="">
      <xdr:nvCxnSpPr>
        <xdr:cNvPr id="48" name="線: オンライン連携・直線（共通）">
          <a:extLst>
            <a:ext uri="{FF2B5EF4-FFF2-40B4-BE49-F238E27FC236}">
              <a16:creationId xmlns:a16="http://schemas.microsoft.com/office/drawing/2014/main" id="{00000000-0008-0000-0200-000030000000}"/>
            </a:ext>
          </a:extLst>
        </xdr:cNvPr>
        <xdr:cNvCxnSpPr/>
      </xdr:nvCxnSpPr>
      <xdr:spPr>
        <a:xfrm>
          <a:off x="14859000" y="5143500"/>
          <a:ext cx="1524000" cy="0"/>
        </a:xfrm>
        <a:prstGeom prst="straightConnector1">
          <a:avLst/>
        </a:prstGeom>
        <a:ln w="19050" cap="flat">
          <a:solidFill>
            <a:srgbClr val="404040"/>
          </a:solidFill>
          <a:round/>
          <a:tailEnd type="triangle" w="med" len="med"/>
        </a:ln>
      </xdr:spPr>
    </xdr:cxnSp>
    <xdr:clientData/>
  </xdr:twoCellAnchor>
  <xdr:twoCellAnchor editAs="oneCell">
    <xdr:from>
      <xdr:col>78</xdr:col>
      <xdr:colOff>0</xdr:colOff>
      <xdr:row>28</xdr:row>
      <xdr:rowOff>0</xdr:rowOff>
    </xdr:from>
    <xdr:to>
      <xdr:col>86</xdr:col>
      <xdr:colOff>0</xdr:colOff>
      <xdr:row>28</xdr:row>
      <xdr:rowOff>0</xdr:rowOff>
    </xdr:to>
    <xdr:cxnSp macro="">
      <xdr:nvCxnSpPr>
        <xdr:cNvPr id="49" name="線: バッチ・ファイル・直線（共通）">
          <a:extLst>
            <a:ext uri="{FF2B5EF4-FFF2-40B4-BE49-F238E27FC236}">
              <a16:creationId xmlns:a16="http://schemas.microsoft.com/office/drawing/2014/main" id="{00000000-0008-0000-0200-000031000000}"/>
            </a:ext>
          </a:extLst>
        </xdr:cNvPr>
        <xdr:cNvCxnSpPr/>
      </xdr:nvCxnSpPr>
      <xdr:spPr>
        <a:xfrm>
          <a:off x="14859000" y="5334000"/>
          <a:ext cx="1524000" cy="0"/>
        </a:xfrm>
        <a:prstGeom prst="straightConnector1">
          <a:avLst/>
        </a:prstGeom>
        <a:ln w="19050" cap="flat">
          <a:solidFill>
            <a:srgbClr val="404040"/>
          </a:solidFill>
          <a:prstDash val="dash"/>
          <a:round/>
          <a:tailEnd type="triangle" w="med" len="med"/>
        </a:ln>
      </xdr:spPr>
    </xdr:cxnSp>
    <xdr:clientData/>
  </xdr:twoCellAnchor>
  <xdr:twoCellAnchor editAs="oneCell">
    <xdr:from>
      <xdr:col>78</xdr:col>
      <xdr:colOff>0</xdr:colOff>
      <xdr:row>29</xdr:row>
      <xdr:rowOff>0</xdr:rowOff>
    </xdr:from>
    <xdr:to>
      <xdr:col>86</xdr:col>
      <xdr:colOff>0</xdr:colOff>
      <xdr:row>29</xdr:row>
      <xdr:rowOff>0</xdr:rowOff>
    </xdr:to>
    <xdr:cxnSp macro="">
      <xdr:nvCxnSpPr>
        <xdr:cNvPr id="50" name="線: 監視・運用・直線（共通）">
          <a:extLst>
            <a:ext uri="{FF2B5EF4-FFF2-40B4-BE49-F238E27FC236}">
              <a16:creationId xmlns:a16="http://schemas.microsoft.com/office/drawing/2014/main" id="{00000000-0008-0000-0200-000032000000}"/>
            </a:ext>
          </a:extLst>
        </xdr:cNvPr>
        <xdr:cNvCxnSpPr/>
      </xdr:nvCxnSpPr>
      <xdr:spPr>
        <a:xfrm>
          <a:off x="14859000" y="5524500"/>
          <a:ext cx="1524000" cy="0"/>
        </a:xfrm>
        <a:prstGeom prst="straightConnector1">
          <a:avLst/>
        </a:prstGeom>
        <a:ln w="12700" cap="flat">
          <a:solidFill>
            <a:srgbClr val="404040"/>
          </a:solidFill>
          <a:prstDash val="sysDot"/>
          <a:round/>
          <a:tailEnd type="triangle" w="med" len="med"/>
        </a:ln>
      </xdr:spPr>
    </xdr:cxnSp>
    <xdr:clientData/>
  </xdr:twoCellAnchor>
  <xdr:twoCellAnchor editAs="oneCell">
    <xdr:from>
      <xdr:col>78</xdr:col>
      <xdr:colOff>0</xdr:colOff>
      <xdr:row>30</xdr:row>
      <xdr:rowOff>0</xdr:rowOff>
    </xdr:from>
    <xdr:to>
      <xdr:col>86</xdr:col>
      <xdr:colOff>0</xdr:colOff>
      <xdr:row>32</xdr:row>
      <xdr:rowOff>0</xdr:rowOff>
    </xdr:to>
    <xdr:cxnSp macro="">
      <xdr:nvCxnSpPr>
        <xdr:cNvPr id="51" name="線: オンライン連携・カギ線（共通）">
          <a:extLst>
            <a:ext uri="{FF2B5EF4-FFF2-40B4-BE49-F238E27FC236}">
              <a16:creationId xmlns:a16="http://schemas.microsoft.com/office/drawing/2014/main" id="{00000000-0008-0000-0200-000033000000}"/>
            </a:ext>
          </a:extLst>
        </xdr:cNvPr>
        <xdr:cNvCxnSpPr/>
      </xdr:nvCxnSpPr>
      <xdr:spPr>
        <a:xfrm>
          <a:off x="14859000" y="5715000"/>
          <a:ext cx="1524000" cy="381000"/>
        </a:xfrm>
        <a:prstGeom prst="bentConnector3">
          <a:avLst/>
        </a:prstGeom>
        <a:ln w="19050" cap="flat">
          <a:solidFill>
            <a:srgbClr val="404040"/>
          </a:solidFill>
          <a:round/>
          <a:tailEnd type="triangle" w="med" len="med"/>
        </a:ln>
      </xdr:spPr>
    </xdr:cxnSp>
    <xdr:clientData/>
  </xdr:twoCellAnchor>
  <xdr:twoCellAnchor editAs="oneCell">
    <xdr:from>
      <xdr:col>78</xdr:col>
      <xdr:colOff>0</xdr:colOff>
      <xdr:row>34</xdr:row>
      <xdr:rowOff>0</xdr:rowOff>
    </xdr:from>
    <xdr:to>
      <xdr:col>86</xdr:col>
      <xdr:colOff>0</xdr:colOff>
      <xdr:row>38</xdr:row>
      <xdr:rowOff>0</xdr:rowOff>
    </xdr:to>
    <xdr:grpSp>
      <xdr:nvGrpSpPr>
        <xdr:cNvPr id="54" name="コメント: ポイント（共通）">
          <a:extLst>
            <a:ext uri="{FF2B5EF4-FFF2-40B4-BE49-F238E27FC236}">
              <a16:creationId xmlns:a16="http://schemas.microsoft.com/office/drawing/2014/main" id="{00000000-0008-0000-0200-000036000000}"/>
            </a:ext>
          </a:extLst>
        </xdr:cNvPr>
        <xdr:cNvGrpSpPr/>
      </xdr:nvGrpSpPr>
      <xdr:grpSpPr>
        <a:xfrm>
          <a:off x="14859000" y="6477000"/>
          <a:ext cx="1524000" cy="762000"/>
          <a:chOff x="14859000" y="6477000"/>
          <a:chExt cx="1524000" cy="762000"/>
        </a:xfrm>
      </xdr:grpSpPr>
      <xdr:sp macro="" textlink="">
        <xdr:nvSpPr>
          <xdr:cNvPr id="52" name="本文">
            <a:extLst>
              <a:ext uri="{FF2B5EF4-FFF2-40B4-BE49-F238E27FC236}">
                <a16:creationId xmlns:a16="http://schemas.microsoft.com/office/drawing/2014/main" id="{00000000-0008-0000-0200-000034000000}"/>
              </a:ext>
            </a:extLst>
          </xdr:cNvPr>
          <xdr:cNvSpPr/>
        </xdr:nvSpPr>
        <xdr:spPr>
          <a:xfrm>
            <a:off x="14859000" y="6477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7F7F7"/>
          </a:solidFill>
          <a:ln w="9525" cap="flat">
            <a:solidFill>
              <a:srgbClr val="D9D9D9"/>
            </a:solidFill>
            <a:round/>
          </a:ln>
        </xdr:spPr>
        <xdr:txBody>
          <a:bodyPr vertOverflow="overflow" horzOverflow="overflow" wrap="square" lIns="76200" tIns="228600" rIns="76200" bIns="38100" rtlCol="0" anchor="t">
            <a:noAutofit/>
          </a:bodyPr>
          <a:lstStyle/>
          <a:p>
            <a:pPr algn="l">
              <a:lnSpc>
                <a:spcPct val="100000"/>
              </a:lnSpc>
            </a:pPr>
            <a:r>
              <a:rPr lang="ja-JP" altLang="en-US" sz="800" b="0" dirty="0">
                <a:solidFill>
                  <a:srgbClr val="404040"/>
                </a:solidFill>
                <a:latin typeface="Meiryo UI"/>
                <a:ea typeface="Meiryo UI"/>
                <a:cs typeface="Meiryo UI"/>
              </a:rPr>
              <a:t>ポイントを記入</a:t>
            </a:r>
            <a:endParaRPr lang="ja-JP" altLang="en-US" sz="800" dirty="0">
              <a:latin typeface="Meiryo UI"/>
              <a:ea typeface="Meiryo UI"/>
            </a:endParaRPr>
          </a:p>
        </xdr:txBody>
      </xdr:sp>
      <xdr:sp macro="" textlink="">
        <xdr:nvSpPr>
          <xdr:cNvPr id="53" name="見出し">
            <a:extLst>
              <a:ext uri="{FF2B5EF4-FFF2-40B4-BE49-F238E27FC236}">
                <a16:creationId xmlns:a16="http://schemas.microsoft.com/office/drawing/2014/main" id="{00000000-0008-0000-0200-000035000000}"/>
              </a:ext>
            </a:extLst>
          </xdr:cNvPr>
          <xdr:cNvSpPr/>
        </xdr:nvSpPr>
        <xdr:spPr>
          <a:xfrm>
            <a:off x="14859000" y="6477000"/>
            <a:ext cx="1524000" cy="190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404040"/>
          </a:solidFill>
          <a:ln w="9525" cap="flat">
            <a:solidFill>
              <a:srgbClr val="404040"/>
            </a:solidFill>
            <a:round/>
          </a:ln>
        </xdr:spPr>
        <xdr:txBody>
          <a:bodyPr vertOverflow="overflow" horzOverflow="overflow" wrap="none" lIns="76200" tIns="0" rIns="76200" bIns="0" rtlCol="0" anchor="ctr">
            <a:noAutofit/>
          </a:bodyPr>
          <a:lstStyle/>
          <a:p>
            <a:pPr algn="l"/>
            <a:r>
              <a:rPr lang="ja-JP" altLang="en-US" sz="750" b="1" dirty="0">
                <a:solidFill>
                  <a:srgbClr val="FFFFFF"/>
                </a:solidFill>
                <a:latin typeface="Meiryo UI"/>
                <a:ea typeface="Meiryo UI"/>
                <a:cs typeface="Meiryo UI"/>
              </a:rPr>
              <a:t>POINT</a:t>
            </a:r>
            <a:endParaRPr lang="ja-JP" altLang="en-US" sz="800" dirty="0">
              <a:latin typeface="Meiryo UI"/>
              <a:ea typeface="Meiryo UI"/>
            </a:endParaRPr>
          </a:p>
        </xdr:txBody>
      </xdr:sp>
    </xdr:grpSp>
    <xdr:clientData/>
  </xdr:twoCellAnchor>
  <xdr:twoCellAnchor editAs="oneCell">
    <xdr:from>
      <xdr:col>78</xdr:col>
      <xdr:colOff>0</xdr:colOff>
      <xdr:row>39</xdr:row>
      <xdr:rowOff>0</xdr:rowOff>
    </xdr:from>
    <xdr:to>
      <xdr:col>86</xdr:col>
      <xdr:colOff>0</xdr:colOff>
      <xdr:row>42</xdr:row>
      <xdr:rowOff>0</xdr:rowOff>
    </xdr:to>
    <xdr:grpSp>
      <xdr:nvGrpSpPr>
        <xdr:cNvPr id="57" name="コメント: 付記（共通）">
          <a:extLst>
            <a:ext uri="{FF2B5EF4-FFF2-40B4-BE49-F238E27FC236}">
              <a16:creationId xmlns:a16="http://schemas.microsoft.com/office/drawing/2014/main" id="{00000000-0008-0000-0200-000039000000}"/>
            </a:ext>
          </a:extLst>
        </xdr:cNvPr>
        <xdr:cNvGrpSpPr/>
      </xdr:nvGrpSpPr>
      <xdr:grpSpPr>
        <a:xfrm>
          <a:off x="14859000" y="7429500"/>
          <a:ext cx="1524000" cy="571500"/>
          <a:chOff x="14859000" y="7429500"/>
          <a:chExt cx="1524000" cy="571500"/>
        </a:xfrm>
      </xdr:grpSpPr>
      <xdr:sp macro="" textlink="">
        <xdr:nvSpPr>
          <xdr:cNvPr id="55" name="本文">
            <a:extLst>
              <a:ext uri="{FF2B5EF4-FFF2-40B4-BE49-F238E27FC236}">
                <a16:creationId xmlns:a16="http://schemas.microsoft.com/office/drawing/2014/main" id="{00000000-0008-0000-0200-000037000000}"/>
              </a:ext>
            </a:extLst>
          </xdr:cNvPr>
          <xdr:cNvSpPr/>
        </xdr:nvSpPr>
        <xdr:spPr>
          <a:xfrm>
            <a:off x="14859000" y="7429500"/>
            <a:ext cx="1524000" cy="571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7F7F7"/>
          </a:solidFill>
          <a:ln>
            <a:noFill/>
          </a:ln>
        </xdr:spPr>
        <xdr:txBody>
          <a:bodyPr vertOverflow="overflow" horzOverflow="overflow" wrap="square" lIns="114300" tIns="50800" rIns="76200" bIns="38100" rtlCol="0" anchor="t">
            <a:noAutofit/>
          </a:bodyPr>
          <a:lstStyle/>
          <a:p>
            <a:pPr algn="l"/>
            <a:r>
              <a:rPr lang="ja-JP" altLang="en-US" sz="800" b="1" dirty="0">
                <a:solidFill>
                  <a:srgbClr val="262626"/>
                </a:solidFill>
                <a:latin typeface="Meiryo UI"/>
                <a:ea typeface="Meiryo UI"/>
                <a:cs typeface="Meiryo UI"/>
              </a:rPr>
              <a:t>付記</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補足を記入</a:t>
            </a:r>
            <a:endParaRPr lang="ja-JP" altLang="en-US" sz="800" dirty="0">
              <a:latin typeface="Meiryo UI"/>
              <a:ea typeface="Meiryo UI"/>
            </a:endParaRPr>
          </a:p>
        </xdr:txBody>
      </xdr:sp>
      <xdr:sp macro="" textlink="">
        <xdr:nvSpPr>
          <xdr:cNvPr id="56" name="左ライン">
            <a:extLst>
              <a:ext uri="{FF2B5EF4-FFF2-40B4-BE49-F238E27FC236}">
                <a16:creationId xmlns:a16="http://schemas.microsoft.com/office/drawing/2014/main" id="{00000000-0008-0000-0200-000038000000}"/>
              </a:ext>
            </a:extLst>
          </xdr:cNvPr>
          <xdr:cNvSpPr/>
        </xdr:nvSpPr>
        <xdr:spPr>
          <a:xfrm>
            <a:off x="14859000" y="7429500"/>
            <a:ext cx="38100" cy="571500"/>
          </a:xfrm>
          <a:prstGeom prst="rect">
            <a:avLst/>
          </a:prstGeom>
          <a:solidFill>
            <a:srgbClr val="404040"/>
          </a:solidFill>
          <a:ln>
            <a:noFill/>
          </a:ln>
        </xdr:spPr>
        <xdr:txBody>
          <a:bodyPr vertOverflow="overflow" horzOverflow="overflow" wrap="square" lIns="38100" tIns="19050" rIns="38100" bIns="19050" rtlCol="0" anchor="ctr">
            <a:noAutofit/>
          </a:bodyPr>
          <a:lstStyle/>
          <a:p>
            <a:pPr algn="l"/>
            <a:endParaRPr lang="ja-JP" altLang="en-US" sz="600" dirty="0">
              <a:latin typeface="Meiryo UI"/>
              <a:ea typeface="Meiryo UI"/>
            </a:endParaRPr>
          </a:p>
        </xdr:txBody>
      </xdr:sp>
    </xdr:grpSp>
    <xdr:clientData/>
  </xdr:twoCellAnchor>
  <xdr:twoCellAnchor editAs="oneCell">
    <xdr:from>
      <xdr:col>78</xdr:col>
      <xdr:colOff>0</xdr:colOff>
      <xdr:row>43</xdr:row>
      <xdr:rowOff>0</xdr:rowOff>
    </xdr:from>
    <xdr:to>
      <xdr:col>86</xdr:col>
      <xdr:colOff>0</xdr:colOff>
      <xdr:row>45</xdr:row>
      <xdr:rowOff>0</xdr:rowOff>
    </xdr:to>
    <xdr:sp macro="" textlink="">
      <xdr:nvSpPr>
        <xdr:cNvPr id="58" name="コメント: 吹き出し（共通）">
          <a:extLst>
            <a:ext uri="{FF2B5EF4-FFF2-40B4-BE49-F238E27FC236}">
              <a16:creationId xmlns:a16="http://schemas.microsoft.com/office/drawing/2014/main" id="{00000000-0008-0000-0200-00003A000000}"/>
            </a:ext>
          </a:extLst>
        </xdr:cNvPr>
        <xdr:cNvSpPr/>
      </xdr:nvSpPr>
      <xdr:spPr>
        <a:xfrm>
          <a:off x="14859000" y="8191500"/>
          <a:ext cx="1524000" cy="381000"/>
        </a:xfrm>
        <a:prstGeom prst="wedgeRoundRectCallout">
          <a:avLst>
            <a:gd name="adj1" fmla="val -30000"/>
            <a:gd name="adj2" fmla="val 95000"/>
            <a:gd name="adj3" fmla="val 16667"/>
          </a:avLst>
        </a:prstGeom>
        <a:solidFill>
          <a:srgbClr val="FFFFFF"/>
        </a:solidFill>
        <a:ln w="12700" cap="flat">
          <a:solidFill>
            <a:srgbClr val="404040"/>
          </a:solidFill>
          <a:round/>
        </a:ln>
      </xdr:spPr>
      <xdr:txBody>
        <a:bodyPr vertOverflow="overflow" horzOverflow="overflow" wrap="square" lIns="63500" tIns="25400" rIns="63500" bIns="25400" rtlCol="0" anchor="ctr">
          <a:noAutofit/>
        </a:bodyPr>
        <a:lstStyle/>
        <a:p>
          <a:pPr algn="l"/>
          <a:r>
            <a:rPr lang="ja-JP" altLang="en-US" sz="800" b="0" dirty="0">
              <a:solidFill>
                <a:srgbClr val="404040"/>
              </a:solidFill>
              <a:latin typeface="Meiryo UI"/>
              <a:ea typeface="Meiryo UI"/>
              <a:cs typeface="Meiryo UI"/>
            </a:rPr>
            <a:t>指摘・補足</a:t>
          </a:r>
          <a:endParaRPr lang="ja-JP" altLang="en-US" sz="800" dirty="0">
            <a:latin typeface="Meiryo UI"/>
            <a:ea typeface="Meiryo UI"/>
          </a:endParaRPr>
        </a:p>
      </xdr:txBody>
    </xdr:sp>
    <xdr:clientData/>
  </xdr:twoCellAnchor>
  <xdr:twoCellAnchor editAs="oneCell">
    <xdr:from>
      <xdr:col>78</xdr:col>
      <xdr:colOff>0</xdr:colOff>
      <xdr:row>47</xdr:row>
      <xdr:rowOff>0</xdr:rowOff>
    </xdr:from>
    <xdr:to>
      <xdr:col>80</xdr:col>
      <xdr:colOff>0</xdr:colOff>
      <xdr:row>48</xdr:row>
      <xdr:rowOff>0</xdr:rowOff>
    </xdr:to>
    <xdr:sp macro="" textlink="">
      <xdr:nvSpPr>
        <xdr:cNvPr id="59" name="番号: 1（共通）">
          <a:extLst>
            <a:ext uri="{FF2B5EF4-FFF2-40B4-BE49-F238E27FC236}">
              <a16:creationId xmlns:a16="http://schemas.microsoft.com/office/drawing/2014/main" id="{00000000-0008-0000-0200-00003B000000}"/>
            </a:ext>
          </a:extLst>
        </xdr:cNvPr>
        <xdr:cNvSpPr/>
      </xdr:nvSpPr>
      <xdr:spPr>
        <a:xfrm>
          <a:off x="14859000" y="8953500"/>
          <a:ext cx="381000" cy="190500"/>
        </a:xfrm>
        <a:prstGeom prst="roundRect">
          <a:avLst>
            <a:gd name="adj" fmla="val 50000"/>
          </a:avLst>
        </a:prstGeom>
        <a:solidFill>
          <a:srgbClr val="404040"/>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1</a:t>
          </a:r>
          <a:endParaRPr lang="ja-JP" altLang="en-US" sz="750" dirty="0">
            <a:latin typeface="Meiryo UI"/>
            <a:ea typeface="Meiryo UI"/>
          </a:endParaRPr>
        </a:p>
      </xdr:txBody>
    </xdr:sp>
    <xdr:clientData/>
  </xdr:twoCellAnchor>
  <xdr:twoCellAnchor editAs="oneCell">
    <xdr:from>
      <xdr:col>81</xdr:col>
      <xdr:colOff>0</xdr:colOff>
      <xdr:row>47</xdr:row>
      <xdr:rowOff>0</xdr:rowOff>
    </xdr:from>
    <xdr:to>
      <xdr:col>83</xdr:col>
      <xdr:colOff>0</xdr:colOff>
      <xdr:row>48</xdr:row>
      <xdr:rowOff>0</xdr:rowOff>
    </xdr:to>
    <xdr:sp macro="" textlink="">
      <xdr:nvSpPr>
        <xdr:cNvPr id="60" name="番号: 2（共通）">
          <a:extLst>
            <a:ext uri="{FF2B5EF4-FFF2-40B4-BE49-F238E27FC236}">
              <a16:creationId xmlns:a16="http://schemas.microsoft.com/office/drawing/2014/main" id="{00000000-0008-0000-0200-00003C000000}"/>
            </a:ext>
          </a:extLst>
        </xdr:cNvPr>
        <xdr:cNvSpPr/>
      </xdr:nvSpPr>
      <xdr:spPr>
        <a:xfrm>
          <a:off x="15430500" y="8953500"/>
          <a:ext cx="381000" cy="190500"/>
        </a:xfrm>
        <a:prstGeom prst="roundRect">
          <a:avLst>
            <a:gd name="adj" fmla="val 50000"/>
          </a:avLst>
        </a:prstGeom>
        <a:solidFill>
          <a:srgbClr val="404040"/>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2</a:t>
          </a:r>
          <a:endParaRPr lang="ja-JP" altLang="en-US" sz="750" dirty="0">
            <a:latin typeface="Meiryo UI"/>
            <a:ea typeface="Meiryo UI"/>
          </a:endParaRPr>
        </a:p>
      </xdr:txBody>
    </xdr:sp>
    <xdr:clientData/>
  </xdr:twoCellAnchor>
  <xdr:twoCellAnchor editAs="oneCell">
    <xdr:from>
      <xdr:col>78</xdr:col>
      <xdr:colOff>0</xdr:colOff>
      <xdr:row>49</xdr:row>
      <xdr:rowOff>0</xdr:rowOff>
    </xdr:from>
    <xdr:to>
      <xdr:col>86</xdr:col>
      <xdr:colOff>0</xdr:colOff>
      <xdr:row>50</xdr:row>
      <xdr:rowOff>0</xdr:rowOff>
    </xdr:to>
    <xdr:sp macro="" textlink="">
      <xdr:nvSpPr>
        <xdr:cNvPr id="61" name="線ラベル（共通）">
          <a:extLst>
            <a:ext uri="{FF2B5EF4-FFF2-40B4-BE49-F238E27FC236}">
              <a16:creationId xmlns:a16="http://schemas.microsoft.com/office/drawing/2014/main" id="{00000000-0008-0000-0200-00003D000000}"/>
            </a:ext>
          </a:extLst>
        </xdr:cNvPr>
        <xdr:cNvSpPr/>
      </xdr:nvSpPr>
      <xdr:spPr>
        <a:xfrm>
          <a:off x="14859000" y="9334500"/>
          <a:ext cx="1524000" cy="190500"/>
        </a:xfrm>
        <a:prstGeom prst="roundRect">
          <a:avLst>
            <a:gd name="adj" fmla="val 50000"/>
          </a:avLst>
        </a:prstGeom>
        <a:solidFill>
          <a:srgbClr val="FFFFFF"/>
        </a:solidFill>
        <a:ln w="9525" cap="flat">
          <a:solidFill>
            <a:srgbClr val="404040"/>
          </a:solidFill>
          <a:round/>
        </a:ln>
      </xdr:spPr>
      <xdr:txBody>
        <a:bodyPr vertOverflow="overflow" horzOverflow="overflow" wrap="none" lIns="25400" tIns="0" rIns="25400" bIns="0" rtlCol="0" anchor="ctr">
          <a:noAutofit/>
        </a:bodyPr>
        <a:lstStyle/>
        <a:p>
          <a:pPr algn="ctr"/>
          <a:r>
            <a:rPr lang="ja-JP" altLang="en-US" sz="750" b="0" dirty="0">
              <a:solidFill>
                <a:srgbClr val="404040"/>
              </a:solidFill>
              <a:latin typeface="Meiryo UI"/>
              <a:ea typeface="Meiryo UI"/>
              <a:cs typeface="Meiryo UI"/>
            </a:rPr>
            <a:t>HTTPS（REST）</a:t>
          </a:r>
          <a:endParaRPr lang="ja-JP" altLang="en-US" sz="750" dirty="0">
            <a:latin typeface="Meiryo UI"/>
            <a:ea typeface="Meiryo UI"/>
          </a:endParaRPr>
        </a:p>
      </xdr:txBody>
    </xdr:sp>
    <xdr:clientData/>
  </xdr:twoCellAnchor>
  <xdr:twoCellAnchor editAs="oneCell">
    <xdr:from>
      <xdr:col>87</xdr:col>
      <xdr:colOff>0</xdr:colOff>
      <xdr:row>6</xdr:row>
      <xdr:rowOff>0</xdr:rowOff>
    </xdr:from>
    <xdr:to>
      <xdr:col>95</xdr:col>
      <xdr:colOff>0</xdr:colOff>
      <xdr:row>10</xdr:row>
      <xdr:rowOff>0</xdr:rowOff>
    </xdr:to>
    <xdr:sp macro="" textlink="">
      <xdr:nvSpPr>
        <xdr:cNvPr id="62" name="ノード: 角丸・標準（ルートA）">
          <a:extLst>
            <a:ext uri="{FF2B5EF4-FFF2-40B4-BE49-F238E27FC236}">
              <a16:creationId xmlns:a16="http://schemas.microsoft.com/office/drawing/2014/main" id="{00000000-0008-0000-0200-00003E000000}"/>
            </a:ext>
          </a:extLst>
        </xdr:cNvPr>
        <xdr:cNvSpPr/>
      </xdr:nvSpPr>
      <xdr:spPr>
        <a:xfrm>
          <a:off x="16573500" y="1143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E7F1FF"/>
        </a:solidFill>
        <a:ln w="15875" cap="flat">
          <a:solidFill>
            <a:srgbClr val="315C92"/>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87</xdr:col>
      <xdr:colOff>0</xdr:colOff>
      <xdr:row>11</xdr:row>
      <xdr:rowOff>0</xdr:rowOff>
    </xdr:from>
    <xdr:to>
      <xdr:col>95</xdr:col>
      <xdr:colOff>0</xdr:colOff>
      <xdr:row>15</xdr:row>
      <xdr:rowOff>0</xdr:rowOff>
    </xdr:to>
    <xdr:sp macro="" textlink="">
      <xdr:nvSpPr>
        <xdr:cNvPr id="63" name="ノード: 角丸・強調（ルートA）">
          <a:extLst>
            <a:ext uri="{FF2B5EF4-FFF2-40B4-BE49-F238E27FC236}">
              <a16:creationId xmlns:a16="http://schemas.microsoft.com/office/drawing/2014/main" id="{00000000-0008-0000-0200-00003F000000}"/>
            </a:ext>
          </a:extLst>
        </xdr:cNvPr>
        <xdr:cNvSpPr/>
      </xdr:nvSpPr>
      <xdr:spPr>
        <a:xfrm>
          <a:off x="16573500" y="20955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315C92"/>
        </a:solidFill>
        <a:ln w="15875" cap="flat">
          <a:solidFill>
            <a:srgbClr val="315C92"/>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接続元</a:t>
          </a:r>
          <a:endParaRPr lang="ja-JP" altLang="en-US" sz="950" dirty="0">
            <a:latin typeface="Meiryo UI"/>
            <a:ea typeface="Meiryo UI"/>
          </a:endParaRPr>
        </a:p>
        <a:p>
          <a:pPr algn="ctr">
            <a:lnSpc>
              <a:spcPct val="95000"/>
            </a:lnSpc>
            <a:spcBef>
              <a:spcPts val="50"/>
            </a:spcBef>
          </a:pPr>
          <a:r>
            <a:rPr lang="ja-JP" altLang="en-US" sz="750" b="0" dirty="0">
              <a:solidFill>
                <a:srgbClr val="DBE9FC"/>
              </a:solidFill>
              <a:latin typeface="Meiryo UI"/>
              <a:ea typeface="Meiryo UI"/>
              <a:cs typeface="Meiryo UI"/>
            </a:rPr>
            <a:t>強調ノード</a:t>
          </a:r>
          <a:endParaRPr lang="ja-JP" altLang="en-US" sz="750" dirty="0">
            <a:latin typeface="Meiryo UI"/>
            <a:ea typeface="Meiryo UI"/>
          </a:endParaRPr>
        </a:p>
      </xdr:txBody>
    </xdr:sp>
    <xdr:clientData/>
  </xdr:twoCellAnchor>
  <xdr:twoCellAnchor editAs="oneCell">
    <xdr:from>
      <xdr:col>87</xdr:col>
      <xdr:colOff>0</xdr:colOff>
      <xdr:row>16</xdr:row>
      <xdr:rowOff>0</xdr:rowOff>
    </xdr:from>
    <xdr:to>
      <xdr:col>91</xdr:col>
      <xdr:colOff>0</xdr:colOff>
      <xdr:row>20</xdr:row>
      <xdr:rowOff>0</xdr:rowOff>
    </xdr:to>
    <xdr:sp macro="" textlink="">
      <xdr:nvSpPr>
        <xdr:cNvPr id="64" name="ノード: 円柱・標準（ルートA）">
          <a:extLst>
            <a:ext uri="{FF2B5EF4-FFF2-40B4-BE49-F238E27FC236}">
              <a16:creationId xmlns:a16="http://schemas.microsoft.com/office/drawing/2014/main" id="{00000000-0008-0000-0200-000040000000}"/>
            </a:ext>
          </a:extLst>
        </xdr:cNvPr>
        <xdr:cNvSpPr/>
      </xdr:nvSpPr>
      <xdr:spPr>
        <a:xfrm>
          <a:off x="16573500" y="3048000"/>
          <a:ext cx="762000" cy="76200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E7F1FF"/>
        </a:solidFill>
        <a:ln w="15875" cap="flat">
          <a:solidFill>
            <a:srgbClr val="315C92"/>
          </a:solidFill>
          <a:round/>
        </a:ln>
      </xdr:spPr>
      <xdr:txBody>
        <a:bodyPr vertOverflow="overflow" horzOverflow="overflow" wrap="square" lIns="25400" tIns="76200" rIns="25400" bIns="25400" rtlCol="0" anchor="ctr">
          <a:noAutofit/>
        </a:bodyPr>
        <a:lstStyle/>
        <a:p>
          <a:pPr algn="ctr">
            <a:lnSpc>
              <a:spcPct val="95000"/>
            </a:lnSpc>
          </a:pPr>
          <a:r>
            <a:rPr lang="ja-JP" altLang="en-US" sz="850" b="1" dirty="0">
              <a:solidFill>
                <a:srgbClr val="262626"/>
              </a:solidFill>
              <a:latin typeface="Meiryo UI"/>
              <a:ea typeface="Meiryo UI"/>
              <a:cs typeface="Meiryo UI"/>
            </a:rPr>
            <a:t>DB</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ストレージ</a:t>
          </a:r>
          <a:endParaRPr lang="ja-JP" altLang="en-US" sz="700" dirty="0">
            <a:latin typeface="Meiryo UI"/>
            <a:ea typeface="Meiryo UI"/>
          </a:endParaRPr>
        </a:p>
      </xdr:txBody>
    </xdr:sp>
    <xdr:clientData/>
  </xdr:twoCellAnchor>
  <xdr:twoCellAnchor editAs="oneCell">
    <xdr:from>
      <xdr:col>91</xdr:col>
      <xdr:colOff>0</xdr:colOff>
      <xdr:row>16</xdr:row>
      <xdr:rowOff>0</xdr:rowOff>
    </xdr:from>
    <xdr:to>
      <xdr:col>95</xdr:col>
      <xdr:colOff>0</xdr:colOff>
      <xdr:row>20</xdr:row>
      <xdr:rowOff>0</xdr:rowOff>
    </xdr:to>
    <xdr:sp macro="" textlink="">
      <xdr:nvSpPr>
        <xdr:cNvPr id="65" name="ノード: 円・標準（ルートA）">
          <a:extLst>
            <a:ext uri="{FF2B5EF4-FFF2-40B4-BE49-F238E27FC236}">
              <a16:creationId xmlns:a16="http://schemas.microsoft.com/office/drawing/2014/main" id="{00000000-0008-0000-0200-000041000000}"/>
            </a:ext>
          </a:extLst>
        </xdr:cNvPr>
        <xdr:cNvSpPr/>
      </xdr:nvSpPr>
      <xdr:spPr>
        <a:xfrm>
          <a:off x="17335500" y="3048000"/>
          <a:ext cx="762000" cy="762000"/>
        </a:xfrm>
        <a:custGeom>
          <a:avLst/>
          <a:gdLst>
            <a:gd name="wr" fmla="*/ w 1 2"/>
            <a:gd name="hr" fmla="*/ h 1 2"/>
            <a:gd name="dx0" fmla="sin wr 18900000"/>
            <a:gd name="dy0" fmla="cos hr 18900000"/>
            <a:gd name="px0" fmla="+- hc dx0 0"/>
            <a:gd name="py0" fmla="+- vc 0 dy0"/>
            <a:gd name="dx1" fmla="sin wr 20250000"/>
            <a:gd name="dy1" fmla="cos hr 20250000"/>
            <a:gd name="px1" fmla="+- hc dx1 0"/>
            <a:gd name="py1" fmla="+- vc 0 dy1"/>
            <a:gd name="dx2" fmla="sin wr 0"/>
            <a:gd name="dy2" fmla="cos hr 0"/>
            <a:gd name="px2" fmla="+- hc dx2 0"/>
            <a:gd name="py2" fmla="+- vc 0 dy2"/>
            <a:gd name="dx3" fmla="sin wr 1350000"/>
            <a:gd name="dy3" fmla="cos hr 1350000"/>
            <a:gd name="px3" fmla="+- hc dx3 0"/>
            <a:gd name="py3" fmla="+- vc 0 dy3"/>
            <a:gd name="dx4" fmla="sin wr 2700000"/>
            <a:gd name="dy4" fmla="cos hr 2700000"/>
            <a:gd name="px4" fmla="+- hc dx4 0"/>
            <a:gd name="py4" fmla="+- vc 0 dy4"/>
            <a:gd name="dx5" fmla="sin wr 4050000"/>
            <a:gd name="dy5" fmla="cos hr 4050000"/>
            <a:gd name="px5" fmla="+- hc dx5 0"/>
            <a:gd name="py5" fmla="+- vc 0 dy5"/>
            <a:gd name="dx6" fmla="sin wr 5400000"/>
            <a:gd name="dy6" fmla="cos hr 5400000"/>
            <a:gd name="px6" fmla="+- hc dx6 0"/>
            <a:gd name="py6" fmla="+- vc 0 dy6"/>
            <a:gd name="dx7" fmla="sin wr 6750000"/>
            <a:gd name="dy7" fmla="cos hr 6750000"/>
            <a:gd name="px7" fmla="+- hc dx7 0"/>
            <a:gd name="py7" fmla="+- vc 0 dy7"/>
            <a:gd name="dx8" fmla="sin wr 8100000"/>
            <a:gd name="dy8" fmla="cos hr 8100000"/>
            <a:gd name="px8" fmla="+- hc dx8 0"/>
            <a:gd name="py8" fmla="+- vc 0 dy8"/>
            <a:gd name="dx9" fmla="sin wr 9450000"/>
            <a:gd name="dy9" fmla="cos hr 9450000"/>
            <a:gd name="px9" fmla="+- hc dx9 0"/>
            <a:gd name="py9" fmla="+- vc 0 dy9"/>
            <a:gd name="dx10" fmla="sin wr 10800000"/>
            <a:gd name="dy10" fmla="cos hr 10800000"/>
            <a:gd name="px10" fmla="+- hc dx10 0"/>
            <a:gd name="py10" fmla="+- vc 0 dy10"/>
            <a:gd name="dx11" fmla="sin wr 12150000"/>
            <a:gd name="dy11" fmla="cos hr 12150000"/>
            <a:gd name="px11" fmla="+- hc dx11 0"/>
            <a:gd name="py11" fmla="+- vc 0 dy11"/>
            <a:gd name="dx12" fmla="sin wr 13500000"/>
            <a:gd name="dy12" fmla="cos hr 13500000"/>
            <a:gd name="px12" fmla="+- hc dx12 0"/>
            <a:gd name="py12" fmla="+- vc 0 dy12"/>
            <a:gd name="dx13" fmla="sin wr 14850000"/>
            <a:gd name="dy13" fmla="cos hr 14850000"/>
            <a:gd name="px13" fmla="+- hc dx13 0"/>
            <a:gd name="py13" fmla="+- vc 0 dy13"/>
            <a:gd name="dx14" fmla="sin wr 16200000"/>
            <a:gd name="dy14" fmla="cos hr 16200000"/>
            <a:gd name="px14" fmla="+- hc dx14 0"/>
            <a:gd name="py14" fmla="+- vc 0 dy14"/>
            <a:gd name="dx15" fmla="sin wr 17550000"/>
            <a:gd name="dy15" fmla="cos hr 17550000"/>
            <a:gd name="px15" fmla="+- hc dx15 0"/>
            <a:gd name="py15" fmla="+- vc 0 dy15"/>
          </a:gdLst>
          <a:ahLst/>
          <a:cxnLst>
            <a:cxn ang="10800000">
              <a:pos x="px0" y="py0"/>
            </a:cxn>
            <a:cxn ang="16200000">
              <a:pos x="px1" y="py1"/>
            </a:cxn>
            <a:cxn ang="16200000">
              <a:pos x="px2" y="py2"/>
            </a:cxn>
            <a:cxn ang="16200000">
              <a:pos x="px3" y="py3"/>
            </a:cxn>
            <a:cxn ang="0">
              <a:pos x="px4" y="py4"/>
            </a:cxn>
            <a:cxn ang="0">
              <a:pos x="px5" y="py5"/>
            </a:cxn>
            <a:cxn ang="0">
              <a:pos x="px6" y="py6"/>
            </a:cxn>
            <a:cxn ang="0">
              <a:pos x="px7" y="py7"/>
            </a:cxn>
            <a:cxn ang="0">
              <a:pos x="px8" y="py8"/>
            </a:cxn>
            <a:cxn ang="5400000">
              <a:pos x="px9" y="py9"/>
            </a:cxn>
            <a:cxn ang="5400000">
              <a:pos x="px10" y="py10"/>
            </a:cxn>
            <a:cxn ang="5400000">
              <a:pos x="px11" y="py11"/>
            </a:cxn>
            <a:cxn ang="10800000">
              <a:pos x="px12" y="py12"/>
            </a:cxn>
            <a:cxn ang="10800000">
              <a:pos x="px13" y="py13"/>
            </a:cxn>
            <a:cxn ang="10800000">
              <a:pos x="px14" y="py14"/>
            </a:cxn>
            <a:cxn ang="10800000">
              <a:pos x="px15" y="py15"/>
            </a:cxn>
          </a:cxnLst>
          <a:rect l="l" t="t" r="r" b="b"/>
          <a:pathLst>
            <a:path>
              <a:moveTo>
                <a:pt x="l" y="vc"/>
              </a:moveTo>
              <a:arcTo wR="wr" hR="hr" stAng="10800000" swAng="21600000"/>
              <a:close/>
            </a:path>
          </a:pathLst>
        </a:custGeom>
        <a:solidFill>
          <a:srgbClr val="E7F1FF"/>
        </a:solidFill>
        <a:ln w="15875" cap="flat">
          <a:solidFill>
            <a:srgbClr val="315C92"/>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利用者</a:t>
          </a:r>
          <a:endParaRPr lang="ja-JP" altLang="en-US" sz="850" dirty="0">
            <a:latin typeface="Meiryo UI"/>
            <a:ea typeface="Meiryo UI"/>
          </a:endParaRPr>
        </a:p>
      </xdr:txBody>
    </xdr:sp>
    <xdr:clientData/>
  </xdr:twoCellAnchor>
  <xdr:twoCellAnchor editAs="oneCell">
    <xdr:from>
      <xdr:col>87</xdr:col>
      <xdr:colOff>0</xdr:colOff>
      <xdr:row>21</xdr:row>
      <xdr:rowOff>0</xdr:rowOff>
    </xdr:from>
    <xdr:to>
      <xdr:col>95</xdr:col>
      <xdr:colOff>0</xdr:colOff>
      <xdr:row>25</xdr:row>
      <xdr:rowOff>0</xdr:rowOff>
    </xdr:to>
    <xdr:sp macro="" textlink="">
      <xdr:nvSpPr>
        <xdr:cNvPr id="66" name="ノード: カプセル・標準（ルートA）">
          <a:extLst>
            <a:ext uri="{FF2B5EF4-FFF2-40B4-BE49-F238E27FC236}">
              <a16:creationId xmlns:a16="http://schemas.microsoft.com/office/drawing/2014/main" id="{00000000-0008-0000-0200-000042000000}"/>
            </a:ext>
          </a:extLst>
        </xdr:cNvPr>
        <xdr:cNvSpPr/>
      </xdr:nvSpPr>
      <xdr:spPr>
        <a:xfrm>
          <a:off x="16573500" y="4000500"/>
          <a:ext cx="1524000" cy="762000"/>
        </a:xfrm>
        <a:custGeom>
          <a:avLst/>
          <a:gdLst>
            <a:gd name="x1" fmla="*/ w 1 4"/>
            <a:gd name="x2" fmla="*/ w 1 2"/>
            <a:gd name="x3" fmla="*/ w 3 4"/>
            <a:gd name="y1" fmla="*/ h 1 4"/>
            <a:gd name="y2" fmla="*/ h 1 2"/>
            <a:gd name="y3" fmla="*/ h 3 4"/>
            <a:gd name="smin" fmla="min w h"/>
            <a:gd name="rr" fmla="*/ smin 1 2"/>
            <a:gd name="rx" fmla="+- r 0 rr"/>
            <a:gd name="k" fmla="*/ rr 13397 100000"/>
            <a:gd name="rk" fmla="+- r 0 k"/>
            <a:gd name="q45" fmla="*/ rr 29289 100000"/>
            <a:gd name="q45r" fmla="+- r 0 q45"/>
            <a:gd name="q45b" fmla="+- b 0 q45"/>
          </a:gdLst>
          <a:ahLst/>
          <a:cxnLst>
            <a:cxn ang="10800000">
              <a:pos x="q45" y="q45"/>
            </a:cxn>
            <a:cxn ang="16200000">
              <a:pos x="x1" y="t"/>
            </a:cxn>
            <a:cxn ang="16200000">
              <a:pos x="x2" y="t"/>
            </a:cxn>
            <a:cxn ang="16200000">
              <a:pos x="x3" y="t"/>
            </a:cxn>
            <a:cxn ang="0">
              <a:pos x="q45r" y="q45"/>
            </a:cxn>
            <a:cxn ang="0">
              <a:pos x="rk" y="y1"/>
            </a:cxn>
            <a:cxn ang="0">
              <a:pos x="r" y="y2"/>
            </a:cxn>
            <a:cxn ang="0">
              <a:pos x="rk" y="y3"/>
            </a:cxn>
            <a:cxn ang="0">
              <a:pos x="q45r" y="q45b"/>
            </a:cxn>
            <a:cxn ang="5400000">
              <a:pos x="x3" y="b"/>
            </a:cxn>
            <a:cxn ang="5400000">
              <a:pos x="x2" y="b"/>
            </a:cxn>
            <a:cxn ang="5400000">
              <a:pos x="x1" y="b"/>
            </a:cxn>
            <a:cxn ang="10800000">
              <a:pos x="q45" y="q45b"/>
            </a:cxn>
            <a:cxn ang="10800000">
              <a:pos x="k" y="y3"/>
            </a:cxn>
            <a:cxn ang="10800000">
              <a:pos x="l" y="y2"/>
            </a:cxn>
            <a:cxn ang="10800000">
              <a:pos x="k" y="y1"/>
            </a:cxn>
          </a:cxnLst>
          <a:rect l="l" t="t" r="r" b="b"/>
          <a:pathLst>
            <a:path>
              <a:moveTo>
                <a:pt x="rr" y="t"/>
              </a:moveTo>
              <a:lnTo>
                <a:pt x="rx" y="t"/>
              </a:lnTo>
              <a:arcTo wR="rr" hR="rr" stAng="16200000" swAng="10800000"/>
              <a:lnTo>
                <a:pt x="rr" y="b"/>
              </a:lnTo>
              <a:arcTo wR="rr" hR="rr" stAng="5400000" swAng="10800000"/>
              <a:close/>
            </a:path>
          </a:pathLst>
        </a:custGeom>
        <a:solidFill>
          <a:srgbClr val="E7F1FF"/>
        </a:solidFill>
        <a:ln w="15875" cap="flat">
          <a:solidFill>
            <a:srgbClr val="315C92"/>
          </a:solidFill>
          <a:round/>
        </a:ln>
      </xdr:spPr>
      <xdr:txBody>
        <a:bodyPr vertOverflow="overflow" horzOverflow="overflow" wrap="square" lIns="101600" tIns="12700" rIns="101600" bIns="12700" rtlCol="0" anchor="ctr">
          <a:noAutofit/>
        </a:bodyPr>
        <a:lstStyle/>
        <a:p>
          <a:pPr algn="ctr">
            <a:lnSpc>
              <a:spcPct val="95000"/>
            </a:lnSpc>
          </a:pPr>
          <a:r>
            <a:rPr lang="ja-JP" altLang="en-US" sz="950" b="1" dirty="0">
              <a:solidFill>
                <a:srgbClr val="262626"/>
              </a:solidFill>
              <a:latin typeface="Meiryo UI"/>
              <a:ea typeface="Meiryo UI"/>
              <a:cs typeface="Meiryo UI"/>
            </a:rPr>
            <a:t>API・キュー</a:t>
          </a:r>
          <a:endParaRPr lang="ja-JP" altLang="en-US" sz="950" dirty="0">
            <a:latin typeface="Meiryo UI"/>
            <a:ea typeface="Meiryo UI"/>
          </a:endParaRPr>
        </a:p>
      </xdr:txBody>
    </xdr:sp>
    <xdr:clientData/>
  </xdr:twoCellAnchor>
  <xdr:twoCellAnchor editAs="oneCell">
    <xdr:from>
      <xdr:col>87</xdr:col>
      <xdr:colOff>0</xdr:colOff>
      <xdr:row>27</xdr:row>
      <xdr:rowOff>0</xdr:rowOff>
    </xdr:from>
    <xdr:to>
      <xdr:col>95</xdr:col>
      <xdr:colOff>0</xdr:colOff>
      <xdr:row>27</xdr:row>
      <xdr:rowOff>0</xdr:rowOff>
    </xdr:to>
    <xdr:cxnSp macro="">
      <xdr:nvCxnSpPr>
        <xdr:cNvPr id="67" name="線: オンライン連携・直線（ルートA）">
          <a:extLst>
            <a:ext uri="{FF2B5EF4-FFF2-40B4-BE49-F238E27FC236}">
              <a16:creationId xmlns:a16="http://schemas.microsoft.com/office/drawing/2014/main" id="{00000000-0008-0000-0200-000043000000}"/>
            </a:ext>
          </a:extLst>
        </xdr:cNvPr>
        <xdr:cNvCxnSpPr/>
      </xdr:nvCxnSpPr>
      <xdr:spPr>
        <a:xfrm>
          <a:off x="16573500" y="5143500"/>
          <a:ext cx="1524000" cy="0"/>
        </a:xfrm>
        <a:prstGeom prst="straightConnector1">
          <a:avLst/>
        </a:prstGeom>
        <a:ln w="19050" cap="flat">
          <a:solidFill>
            <a:srgbClr val="315C92"/>
          </a:solidFill>
          <a:round/>
          <a:tailEnd type="triangle" w="med" len="med"/>
        </a:ln>
      </xdr:spPr>
    </xdr:cxnSp>
    <xdr:clientData/>
  </xdr:twoCellAnchor>
  <xdr:twoCellAnchor editAs="oneCell">
    <xdr:from>
      <xdr:col>87</xdr:col>
      <xdr:colOff>0</xdr:colOff>
      <xdr:row>28</xdr:row>
      <xdr:rowOff>0</xdr:rowOff>
    </xdr:from>
    <xdr:to>
      <xdr:col>95</xdr:col>
      <xdr:colOff>0</xdr:colOff>
      <xdr:row>28</xdr:row>
      <xdr:rowOff>0</xdr:rowOff>
    </xdr:to>
    <xdr:cxnSp macro="">
      <xdr:nvCxnSpPr>
        <xdr:cNvPr id="68" name="線: バッチ・ファイル・直線（ルートA）">
          <a:extLst>
            <a:ext uri="{FF2B5EF4-FFF2-40B4-BE49-F238E27FC236}">
              <a16:creationId xmlns:a16="http://schemas.microsoft.com/office/drawing/2014/main" id="{00000000-0008-0000-0200-000044000000}"/>
            </a:ext>
          </a:extLst>
        </xdr:cNvPr>
        <xdr:cNvCxnSpPr/>
      </xdr:nvCxnSpPr>
      <xdr:spPr>
        <a:xfrm>
          <a:off x="16573500" y="5334000"/>
          <a:ext cx="1524000" cy="0"/>
        </a:xfrm>
        <a:prstGeom prst="straightConnector1">
          <a:avLst/>
        </a:prstGeom>
        <a:ln w="19050" cap="flat">
          <a:solidFill>
            <a:srgbClr val="315C92"/>
          </a:solidFill>
          <a:prstDash val="dash"/>
          <a:round/>
          <a:tailEnd type="triangle" w="med" len="med"/>
        </a:ln>
      </xdr:spPr>
    </xdr:cxnSp>
    <xdr:clientData/>
  </xdr:twoCellAnchor>
  <xdr:twoCellAnchor editAs="oneCell">
    <xdr:from>
      <xdr:col>87</xdr:col>
      <xdr:colOff>0</xdr:colOff>
      <xdr:row>29</xdr:row>
      <xdr:rowOff>0</xdr:rowOff>
    </xdr:from>
    <xdr:to>
      <xdr:col>95</xdr:col>
      <xdr:colOff>0</xdr:colOff>
      <xdr:row>29</xdr:row>
      <xdr:rowOff>0</xdr:rowOff>
    </xdr:to>
    <xdr:cxnSp macro="">
      <xdr:nvCxnSpPr>
        <xdr:cNvPr id="69" name="線: 監視・運用・直線（ルートA）">
          <a:extLst>
            <a:ext uri="{FF2B5EF4-FFF2-40B4-BE49-F238E27FC236}">
              <a16:creationId xmlns:a16="http://schemas.microsoft.com/office/drawing/2014/main" id="{00000000-0008-0000-0200-000045000000}"/>
            </a:ext>
          </a:extLst>
        </xdr:cNvPr>
        <xdr:cNvCxnSpPr/>
      </xdr:nvCxnSpPr>
      <xdr:spPr>
        <a:xfrm>
          <a:off x="16573500" y="5524500"/>
          <a:ext cx="1524000" cy="0"/>
        </a:xfrm>
        <a:prstGeom prst="straightConnector1">
          <a:avLst/>
        </a:prstGeom>
        <a:ln w="12700" cap="flat">
          <a:solidFill>
            <a:srgbClr val="315C92"/>
          </a:solidFill>
          <a:prstDash val="sysDot"/>
          <a:round/>
          <a:tailEnd type="triangle" w="med" len="med"/>
        </a:ln>
      </xdr:spPr>
    </xdr:cxnSp>
    <xdr:clientData/>
  </xdr:twoCellAnchor>
  <xdr:twoCellAnchor editAs="oneCell">
    <xdr:from>
      <xdr:col>87</xdr:col>
      <xdr:colOff>0</xdr:colOff>
      <xdr:row>30</xdr:row>
      <xdr:rowOff>0</xdr:rowOff>
    </xdr:from>
    <xdr:to>
      <xdr:col>95</xdr:col>
      <xdr:colOff>0</xdr:colOff>
      <xdr:row>32</xdr:row>
      <xdr:rowOff>0</xdr:rowOff>
    </xdr:to>
    <xdr:cxnSp macro="">
      <xdr:nvCxnSpPr>
        <xdr:cNvPr id="70" name="線: オンライン連携・カギ線（ルートA）">
          <a:extLst>
            <a:ext uri="{FF2B5EF4-FFF2-40B4-BE49-F238E27FC236}">
              <a16:creationId xmlns:a16="http://schemas.microsoft.com/office/drawing/2014/main" id="{00000000-0008-0000-0200-000046000000}"/>
            </a:ext>
          </a:extLst>
        </xdr:cNvPr>
        <xdr:cNvCxnSpPr/>
      </xdr:nvCxnSpPr>
      <xdr:spPr>
        <a:xfrm>
          <a:off x="16573500" y="5715000"/>
          <a:ext cx="1524000" cy="381000"/>
        </a:xfrm>
        <a:prstGeom prst="bentConnector3">
          <a:avLst/>
        </a:prstGeom>
        <a:ln w="19050" cap="flat">
          <a:solidFill>
            <a:srgbClr val="315C92"/>
          </a:solidFill>
          <a:round/>
          <a:tailEnd type="triangle" w="med" len="med"/>
        </a:ln>
      </xdr:spPr>
    </xdr:cxnSp>
    <xdr:clientData/>
  </xdr:twoCellAnchor>
  <xdr:twoCellAnchor editAs="oneCell">
    <xdr:from>
      <xdr:col>87</xdr:col>
      <xdr:colOff>0</xdr:colOff>
      <xdr:row>34</xdr:row>
      <xdr:rowOff>0</xdr:rowOff>
    </xdr:from>
    <xdr:to>
      <xdr:col>95</xdr:col>
      <xdr:colOff>0</xdr:colOff>
      <xdr:row>38</xdr:row>
      <xdr:rowOff>0</xdr:rowOff>
    </xdr:to>
    <xdr:grpSp>
      <xdr:nvGrpSpPr>
        <xdr:cNvPr id="73" name="コメント: ポイント（ルートA）">
          <a:extLst>
            <a:ext uri="{FF2B5EF4-FFF2-40B4-BE49-F238E27FC236}">
              <a16:creationId xmlns:a16="http://schemas.microsoft.com/office/drawing/2014/main" id="{00000000-0008-0000-0200-000049000000}"/>
            </a:ext>
          </a:extLst>
        </xdr:cNvPr>
        <xdr:cNvGrpSpPr/>
      </xdr:nvGrpSpPr>
      <xdr:grpSpPr>
        <a:xfrm>
          <a:off x="16573500" y="6477000"/>
          <a:ext cx="1524000" cy="762000"/>
          <a:chOff x="16573500" y="6477000"/>
          <a:chExt cx="1524000" cy="762000"/>
        </a:xfrm>
      </xdr:grpSpPr>
      <xdr:sp macro="" textlink="">
        <xdr:nvSpPr>
          <xdr:cNvPr id="71" name="本文">
            <a:extLst>
              <a:ext uri="{FF2B5EF4-FFF2-40B4-BE49-F238E27FC236}">
                <a16:creationId xmlns:a16="http://schemas.microsoft.com/office/drawing/2014/main" id="{00000000-0008-0000-0200-000047000000}"/>
              </a:ext>
            </a:extLst>
          </xdr:cNvPr>
          <xdr:cNvSpPr/>
        </xdr:nvSpPr>
        <xdr:spPr>
          <a:xfrm>
            <a:off x="16573500" y="6477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3F8FF"/>
          </a:solidFill>
          <a:ln w="9525" cap="flat">
            <a:solidFill>
              <a:srgbClr val="BCD3F2"/>
            </a:solidFill>
            <a:round/>
          </a:ln>
        </xdr:spPr>
        <xdr:txBody>
          <a:bodyPr vertOverflow="overflow" horzOverflow="overflow" wrap="square" lIns="76200" tIns="228600" rIns="76200" bIns="38100" rtlCol="0" anchor="t">
            <a:noAutofit/>
          </a:bodyPr>
          <a:lstStyle/>
          <a:p>
            <a:pPr algn="l">
              <a:lnSpc>
                <a:spcPct val="100000"/>
              </a:lnSpc>
            </a:pPr>
            <a:r>
              <a:rPr lang="ja-JP" altLang="en-US" sz="800" b="0" dirty="0">
                <a:solidFill>
                  <a:srgbClr val="404040"/>
                </a:solidFill>
                <a:latin typeface="Meiryo UI"/>
                <a:ea typeface="Meiryo UI"/>
                <a:cs typeface="Meiryo UI"/>
              </a:rPr>
              <a:t>ポイントを記入</a:t>
            </a:r>
            <a:endParaRPr lang="ja-JP" altLang="en-US" sz="800" dirty="0">
              <a:latin typeface="Meiryo UI"/>
              <a:ea typeface="Meiryo UI"/>
            </a:endParaRPr>
          </a:p>
        </xdr:txBody>
      </xdr:sp>
      <xdr:sp macro="" textlink="">
        <xdr:nvSpPr>
          <xdr:cNvPr id="72" name="見出し">
            <a:extLst>
              <a:ext uri="{FF2B5EF4-FFF2-40B4-BE49-F238E27FC236}">
                <a16:creationId xmlns:a16="http://schemas.microsoft.com/office/drawing/2014/main" id="{00000000-0008-0000-0200-000048000000}"/>
              </a:ext>
            </a:extLst>
          </xdr:cNvPr>
          <xdr:cNvSpPr/>
        </xdr:nvSpPr>
        <xdr:spPr>
          <a:xfrm>
            <a:off x="16573500" y="6477000"/>
            <a:ext cx="1524000" cy="190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315C92"/>
          </a:solidFill>
          <a:ln w="9525" cap="flat">
            <a:solidFill>
              <a:srgbClr val="315C92"/>
            </a:solidFill>
            <a:round/>
          </a:ln>
        </xdr:spPr>
        <xdr:txBody>
          <a:bodyPr vertOverflow="overflow" horzOverflow="overflow" wrap="none" lIns="76200" tIns="0" rIns="76200" bIns="0" rtlCol="0" anchor="ctr">
            <a:noAutofit/>
          </a:bodyPr>
          <a:lstStyle/>
          <a:p>
            <a:pPr algn="l"/>
            <a:r>
              <a:rPr lang="ja-JP" altLang="en-US" sz="750" b="1" dirty="0">
                <a:solidFill>
                  <a:srgbClr val="FFFFFF"/>
                </a:solidFill>
                <a:latin typeface="Meiryo UI"/>
                <a:ea typeface="Meiryo UI"/>
                <a:cs typeface="Meiryo UI"/>
              </a:rPr>
              <a:t>POINT</a:t>
            </a:r>
            <a:endParaRPr lang="ja-JP" altLang="en-US" sz="800" dirty="0">
              <a:latin typeface="Meiryo UI"/>
              <a:ea typeface="Meiryo UI"/>
            </a:endParaRPr>
          </a:p>
        </xdr:txBody>
      </xdr:sp>
    </xdr:grpSp>
    <xdr:clientData/>
  </xdr:twoCellAnchor>
  <xdr:twoCellAnchor editAs="oneCell">
    <xdr:from>
      <xdr:col>87</xdr:col>
      <xdr:colOff>0</xdr:colOff>
      <xdr:row>39</xdr:row>
      <xdr:rowOff>0</xdr:rowOff>
    </xdr:from>
    <xdr:to>
      <xdr:col>95</xdr:col>
      <xdr:colOff>0</xdr:colOff>
      <xdr:row>42</xdr:row>
      <xdr:rowOff>0</xdr:rowOff>
    </xdr:to>
    <xdr:grpSp>
      <xdr:nvGrpSpPr>
        <xdr:cNvPr id="76" name="コメント: 付記（ルートA）">
          <a:extLst>
            <a:ext uri="{FF2B5EF4-FFF2-40B4-BE49-F238E27FC236}">
              <a16:creationId xmlns:a16="http://schemas.microsoft.com/office/drawing/2014/main" id="{00000000-0008-0000-0200-00004C000000}"/>
            </a:ext>
          </a:extLst>
        </xdr:cNvPr>
        <xdr:cNvGrpSpPr/>
      </xdr:nvGrpSpPr>
      <xdr:grpSpPr>
        <a:xfrm>
          <a:off x="16573500" y="7429500"/>
          <a:ext cx="1524000" cy="571500"/>
          <a:chOff x="16573500" y="7429500"/>
          <a:chExt cx="1524000" cy="571500"/>
        </a:xfrm>
      </xdr:grpSpPr>
      <xdr:sp macro="" textlink="">
        <xdr:nvSpPr>
          <xdr:cNvPr id="74" name="本文">
            <a:extLst>
              <a:ext uri="{FF2B5EF4-FFF2-40B4-BE49-F238E27FC236}">
                <a16:creationId xmlns:a16="http://schemas.microsoft.com/office/drawing/2014/main" id="{00000000-0008-0000-0200-00004A000000}"/>
              </a:ext>
            </a:extLst>
          </xdr:cNvPr>
          <xdr:cNvSpPr/>
        </xdr:nvSpPr>
        <xdr:spPr>
          <a:xfrm>
            <a:off x="16573500" y="7429500"/>
            <a:ext cx="1524000" cy="571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3F8FF"/>
          </a:solidFill>
          <a:ln>
            <a:noFill/>
          </a:ln>
        </xdr:spPr>
        <xdr:txBody>
          <a:bodyPr vertOverflow="overflow" horzOverflow="overflow" wrap="square" lIns="114300" tIns="50800" rIns="76200" bIns="38100" rtlCol="0" anchor="t">
            <a:noAutofit/>
          </a:bodyPr>
          <a:lstStyle/>
          <a:p>
            <a:pPr algn="l"/>
            <a:r>
              <a:rPr lang="ja-JP" altLang="en-US" sz="800" b="1" dirty="0">
                <a:solidFill>
                  <a:srgbClr val="113866"/>
                </a:solidFill>
                <a:latin typeface="Meiryo UI"/>
                <a:ea typeface="Meiryo UI"/>
                <a:cs typeface="Meiryo UI"/>
              </a:rPr>
              <a:t>付記</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補足を記入</a:t>
            </a:r>
            <a:endParaRPr lang="ja-JP" altLang="en-US" sz="800" dirty="0">
              <a:latin typeface="Meiryo UI"/>
              <a:ea typeface="Meiryo UI"/>
            </a:endParaRPr>
          </a:p>
        </xdr:txBody>
      </xdr:sp>
      <xdr:sp macro="" textlink="">
        <xdr:nvSpPr>
          <xdr:cNvPr id="75" name="左ライン">
            <a:extLst>
              <a:ext uri="{FF2B5EF4-FFF2-40B4-BE49-F238E27FC236}">
                <a16:creationId xmlns:a16="http://schemas.microsoft.com/office/drawing/2014/main" id="{00000000-0008-0000-0200-00004B000000}"/>
              </a:ext>
            </a:extLst>
          </xdr:cNvPr>
          <xdr:cNvSpPr/>
        </xdr:nvSpPr>
        <xdr:spPr>
          <a:xfrm>
            <a:off x="16573500" y="7429500"/>
            <a:ext cx="38100" cy="571500"/>
          </a:xfrm>
          <a:prstGeom prst="rect">
            <a:avLst/>
          </a:prstGeom>
          <a:solidFill>
            <a:srgbClr val="315C92"/>
          </a:solidFill>
          <a:ln>
            <a:noFill/>
          </a:ln>
        </xdr:spPr>
        <xdr:txBody>
          <a:bodyPr vertOverflow="overflow" horzOverflow="overflow" wrap="square" lIns="38100" tIns="19050" rIns="38100" bIns="19050" rtlCol="0" anchor="ctr">
            <a:noAutofit/>
          </a:bodyPr>
          <a:lstStyle/>
          <a:p>
            <a:pPr algn="l"/>
            <a:endParaRPr lang="ja-JP" altLang="en-US" sz="600" dirty="0">
              <a:latin typeface="Meiryo UI"/>
              <a:ea typeface="Meiryo UI"/>
            </a:endParaRPr>
          </a:p>
        </xdr:txBody>
      </xdr:sp>
    </xdr:grpSp>
    <xdr:clientData/>
  </xdr:twoCellAnchor>
  <xdr:twoCellAnchor editAs="oneCell">
    <xdr:from>
      <xdr:col>87</xdr:col>
      <xdr:colOff>0</xdr:colOff>
      <xdr:row>43</xdr:row>
      <xdr:rowOff>0</xdr:rowOff>
    </xdr:from>
    <xdr:to>
      <xdr:col>95</xdr:col>
      <xdr:colOff>0</xdr:colOff>
      <xdr:row>45</xdr:row>
      <xdr:rowOff>0</xdr:rowOff>
    </xdr:to>
    <xdr:sp macro="" textlink="">
      <xdr:nvSpPr>
        <xdr:cNvPr id="77" name="コメント: 吹き出し（ルートA）">
          <a:extLst>
            <a:ext uri="{FF2B5EF4-FFF2-40B4-BE49-F238E27FC236}">
              <a16:creationId xmlns:a16="http://schemas.microsoft.com/office/drawing/2014/main" id="{00000000-0008-0000-0200-00004D000000}"/>
            </a:ext>
          </a:extLst>
        </xdr:cNvPr>
        <xdr:cNvSpPr/>
      </xdr:nvSpPr>
      <xdr:spPr>
        <a:xfrm>
          <a:off x="16573500" y="8191500"/>
          <a:ext cx="1524000" cy="381000"/>
        </a:xfrm>
        <a:prstGeom prst="wedgeRoundRectCallout">
          <a:avLst>
            <a:gd name="adj1" fmla="val -30000"/>
            <a:gd name="adj2" fmla="val 95000"/>
            <a:gd name="adj3" fmla="val 16667"/>
          </a:avLst>
        </a:prstGeom>
        <a:solidFill>
          <a:srgbClr val="FFFFFF"/>
        </a:solidFill>
        <a:ln w="12700" cap="flat">
          <a:solidFill>
            <a:srgbClr val="315C92"/>
          </a:solidFill>
          <a:round/>
        </a:ln>
      </xdr:spPr>
      <xdr:txBody>
        <a:bodyPr vertOverflow="overflow" horzOverflow="overflow" wrap="square" lIns="63500" tIns="25400" rIns="63500" bIns="25400" rtlCol="0" anchor="ctr">
          <a:noAutofit/>
        </a:bodyPr>
        <a:lstStyle/>
        <a:p>
          <a:pPr algn="l"/>
          <a:r>
            <a:rPr lang="ja-JP" altLang="en-US" sz="800" b="0" dirty="0">
              <a:solidFill>
                <a:srgbClr val="404040"/>
              </a:solidFill>
              <a:latin typeface="Meiryo UI"/>
              <a:ea typeface="Meiryo UI"/>
              <a:cs typeface="Meiryo UI"/>
            </a:rPr>
            <a:t>指摘・補足</a:t>
          </a:r>
          <a:endParaRPr lang="ja-JP" altLang="en-US" sz="800" dirty="0">
            <a:latin typeface="Meiryo UI"/>
            <a:ea typeface="Meiryo UI"/>
          </a:endParaRPr>
        </a:p>
      </xdr:txBody>
    </xdr:sp>
    <xdr:clientData/>
  </xdr:twoCellAnchor>
  <xdr:twoCellAnchor editAs="oneCell">
    <xdr:from>
      <xdr:col>87</xdr:col>
      <xdr:colOff>0</xdr:colOff>
      <xdr:row>47</xdr:row>
      <xdr:rowOff>0</xdr:rowOff>
    </xdr:from>
    <xdr:to>
      <xdr:col>89</xdr:col>
      <xdr:colOff>0</xdr:colOff>
      <xdr:row>48</xdr:row>
      <xdr:rowOff>0</xdr:rowOff>
    </xdr:to>
    <xdr:sp macro="" textlink="">
      <xdr:nvSpPr>
        <xdr:cNvPr id="78" name="番号: A1（ルートA）">
          <a:extLst>
            <a:ext uri="{FF2B5EF4-FFF2-40B4-BE49-F238E27FC236}">
              <a16:creationId xmlns:a16="http://schemas.microsoft.com/office/drawing/2014/main" id="{00000000-0008-0000-0200-00004E000000}"/>
            </a:ext>
          </a:extLst>
        </xdr:cNvPr>
        <xdr:cNvSpPr/>
      </xdr:nvSpPr>
      <xdr:spPr>
        <a:xfrm>
          <a:off x="16573500" y="8953500"/>
          <a:ext cx="381000" cy="190500"/>
        </a:xfrm>
        <a:prstGeom prst="roundRect">
          <a:avLst>
            <a:gd name="adj" fmla="val 50000"/>
          </a:avLst>
        </a:prstGeom>
        <a:solidFill>
          <a:srgbClr val="315C92"/>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A1</a:t>
          </a:r>
          <a:endParaRPr lang="ja-JP" altLang="en-US" sz="750" dirty="0">
            <a:latin typeface="Meiryo UI"/>
            <a:ea typeface="Meiryo UI"/>
          </a:endParaRPr>
        </a:p>
      </xdr:txBody>
    </xdr:sp>
    <xdr:clientData/>
  </xdr:twoCellAnchor>
  <xdr:twoCellAnchor editAs="oneCell">
    <xdr:from>
      <xdr:col>90</xdr:col>
      <xdr:colOff>0</xdr:colOff>
      <xdr:row>47</xdr:row>
      <xdr:rowOff>0</xdr:rowOff>
    </xdr:from>
    <xdr:to>
      <xdr:col>92</xdr:col>
      <xdr:colOff>0</xdr:colOff>
      <xdr:row>48</xdr:row>
      <xdr:rowOff>0</xdr:rowOff>
    </xdr:to>
    <xdr:sp macro="" textlink="">
      <xdr:nvSpPr>
        <xdr:cNvPr id="79" name="番号: A2（ルートA）">
          <a:extLst>
            <a:ext uri="{FF2B5EF4-FFF2-40B4-BE49-F238E27FC236}">
              <a16:creationId xmlns:a16="http://schemas.microsoft.com/office/drawing/2014/main" id="{00000000-0008-0000-0200-00004F000000}"/>
            </a:ext>
          </a:extLst>
        </xdr:cNvPr>
        <xdr:cNvSpPr/>
      </xdr:nvSpPr>
      <xdr:spPr>
        <a:xfrm>
          <a:off x="17145000" y="8953500"/>
          <a:ext cx="381000" cy="190500"/>
        </a:xfrm>
        <a:prstGeom prst="roundRect">
          <a:avLst>
            <a:gd name="adj" fmla="val 50000"/>
          </a:avLst>
        </a:prstGeom>
        <a:solidFill>
          <a:srgbClr val="315C92"/>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A2</a:t>
          </a:r>
          <a:endParaRPr lang="ja-JP" altLang="en-US" sz="750" dirty="0">
            <a:latin typeface="Meiryo UI"/>
            <a:ea typeface="Meiryo UI"/>
          </a:endParaRPr>
        </a:p>
      </xdr:txBody>
    </xdr:sp>
    <xdr:clientData/>
  </xdr:twoCellAnchor>
  <xdr:twoCellAnchor editAs="oneCell">
    <xdr:from>
      <xdr:col>87</xdr:col>
      <xdr:colOff>0</xdr:colOff>
      <xdr:row>49</xdr:row>
      <xdr:rowOff>0</xdr:rowOff>
    </xdr:from>
    <xdr:to>
      <xdr:col>95</xdr:col>
      <xdr:colOff>0</xdr:colOff>
      <xdr:row>50</xdr:row>
      <xdr:rowOff>0</xdr:rowOff>
    </xdr:to>
    <xdr:sp macro="" textlink="">
      <xdr:nvSpPr>
        <xdr:cNvPr id="80" name="線ラベル（ルートA）">
          <a:extLst>
            <a:ext uri="{FF2B5EF4-FFF2-40B4-BE49-F238E27FC236}">
              <a16:creationId xmlns:a16="http://schemas.microsoft.com/office/drawing/2014/main" id="{00000000-0008-0000-0200-000050000000}"/>
            </a:ext>
          </a:extLst>
        </xdr:cNvPr>
        <xdr:cNvSpPr/>
      </xdr:nvSpPr>
      <xdr:spPr>
        <a:xfrm>
          <a:off x="16573500" y="9334500"/>
          <a:ext cx="1524000" cy="190500"/>
        </a:xfrm>
        <a:prstGeom prst="roundRect">
          <a:avLst>
            <a:gd name="adj" fmla="val 50000"/>
          </a:avLst>
        </a:prstGeom>
        <a:solidFill>
          <a:srgbClr val="FFFFFF"/>
        </a:solidFill>
        <a:ln w="9525" cap="flat">
          <a:solidFill>
            <a:srgbClr val="315C92"/>
          </a:solidFill>
          <a:round/>
        </a:ln>
      </xdr:spPr>
      <xdr:txBody>
        <a:bodyPr vertOverflow="overflow" horzOverflow="overflow" wrap="none" lIns="25400" tIns="0" rIns="25400" bIns="0" rtlCol="0" anchor="ctr">
          <a:noAutofit/>
        </a:bodyPr>
        <a:lstStyle/>
        <a:p>
          <a:pPr algn="ctr"/>
          <a:r>
            <a:rPr lang="ja-JP" altLang="en-US" sz="750" b="0" dirty="0">
              <a:solidFill>
                <a:srgbClr val="113866"/>
              </a:solidFill>
              <a:latin typeface="Meiryo UI"/>
              <a:ea typeface="Meiryo UI"/>
              <a:cs typeface="Meiryo UI"/>
            </a:rPr>
            <a:t>HTTPS（REST）</a:t>
          </a:r>
          <a:endParaRPr lang="ja-JP" altLang="en-US" sz="750" dirty="0">
            <a:latin typeface="Meiryo UI"/>
            <a:ea typeface="Meiryo UI"/>
          </a:endParaRPr>
        </a:p>
      </xdr:txBody>
    </xdr:sp>
    <xdr:clientData/>
  </xdr:twoCellAnchor>
  <xdr:twoCellAnchor editAs="oneCell">
    <xdr:from>
      <xdr:col>96</xdr:col>
      <xdr:colOff>0</xdr:colOff>
      <xdr:row>6</xdr:row>
      <xdr:rowOff>0</xdr:rowOff>
    </xdr:from>
    <xdr:to>
      <xdr:col>104</xdr:col>
      <xdr:colOff>0</xdr:colOff>
      <xdr:row>10</xdr:row>
      <xdr:rowOff>0</xdr:rowOff>
    </xdr:to>
    <xdr:sp macro="" textlink="">
      <xdr:nvSpPr>
        <xdr:cNvPr id="81" name="ノード: 角丸・標準（ルートB）">
          <a:extLst>
            <a:ext uri="{FF2B5EF4-FFF2-40B4-BE49-F238E27FC236}">
              <a16:creationId xmlns:a16="http://schemas.microsoft.com/office/drawing/2014/main" id="{00000000-0008-0000-0200-000051000000}"/>
            </a:ext>
          </a:extLst>
        </xdr:cNvPr>
        <xdr:cNvSpPr/>
      </xdr:nvSpPr>
      <xdr:spPr>
        <a:xfrm>
          <a:off x="18288000" y="1143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E3F5EF"/>
        </a:solidFill>
        <a:ln w="15875" cap="flat">
          <a:solidFill>
            <a:srgbClr val="24796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96</xdr:col>
      <xdr:colOff>0</xdr:colOff>
      <xdr:row>11</xdr:row>
      <xdr:rowOff>0</xdr:rowOff>
    </xdr:from>
    <xdr:to>
      <xdr:col>104</xdr:col>
      <xdr:colOff>0</xdr:colOff>
      <xdr:row>15</xdr:row>
      <xdr:rowOff>0</xdr:rowOff>
    </xdr:to>
    <xdr:sp macro="" textlink="">
      <xdr:nvSpPr>
        <xdr:cNvPr id="82" name="ノード: 角丸・強調（ルートB）">
          <a:extLst>
            <a:ext uri="{FF2B5EF4-FFF2-40B4-BE49-F238E27FC236}">
              <a16:creationId xmlns:a16="http://schemas.microsoft.com/office/drawing/2014/main" id="{00000000-0008-0000-0200-000052000000}"/>
            </a:ext>
          </a:extLst>
        </xdr:cNvPr>
        <xdr:cNvSpPr/>
      </xdr:nvSpPr>
      <xdr:spPr>
        <a:xfrm>
          <a:off x="18288000" y="20955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247966"/>
        </a:solidFill>
        <a:ln w="15875" cap="flat">
          <a:solidFill>
            <a:srgbClr val="24796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接続元</a:t>
          </a:r>
          <a:endParaRPr lang="ja-JP" altLang="en-US" sz="950" dirty="0">
            <a:latin typeface="Meiryo UI"/>
            <a:ea typeface="Meiryo UI"/>
          </a:endParaRPr>
        </a:p>
        <a:p>
          <a:pPr algn="ctr">
            <a:lnSpc>
              <a:spcPct val="95000"/>
            </a:lnSpc>
            <a:spcBef>
              <a:spcPts val="50"/>
            </a:spcBef>
          </a:pPr>
          <a:r>
            <a:rPr lang="ja-JP" altLang="en-US" sz="750" b="0" dirty="0">
              <a:solidFill>
                <a:srgbClr val="D4EFE7"/>
              </a:solidFill>
              <a:latin typeface="Meiryo UI"/>
              <a:ea typeface="Meiryo UI"/>
              <a:cs typeface="Meiryo UI"/>
            </a:rPr>
            <a:t>強調ノード</a:t>
          </a:r>
          <a:endParaRPr lang="ja-JP" altLang="en-US" sz="750" dirty="0">
            <a:latin typeface="Meiryo UI"/>
            <a:ea typeface="Meiryo UI"/>
          </a:endParaRPr>
        </a:p>
      </xdr:txBody>
    </xdr:sp>
    <xdr:clientData/>
  </xdr:twoCellAnchor>
  <xdr:twoCellAnchor editAs="oneCell">
    <xdr:from>
      <xdr:col>96</xdr:col>
      <xdr:colOff>0</xdr:colOff>
      <xdr:row>16</xdr:row>
      <xdr:rowOff>0</xdr:rowOff>
    </xdr:from>
    <xdr:to>
      <xdr:col>100</xdr:col>
      <xdr:colOff>0</xdr:colOff>
      <xdr:row>20</xdr:row>
      <xdr:rowOff>0</xdr:rowOff>
    </xdr:to>
    <xdr:sp macro="" textlink="">
      <xdr:nvSpPr>
        <xdr:cNvPr id="83" name="ノード: 円柱・標準（ルートB）">
          <a:extLst>
            <a:ext uri="{FF2B5EF4-FFF2-40B4-BE49-F238E27FC236}">
              <a16:creationId xmlns:a16="http://schemas.microsoft.com/office/drawing/2014/main" id="{00000000-0008-0000-0200-000053000000}"/>
            </a:ext>
          </a:extLst>
        </xdr:cNvPr>
        <xdr:cNvSpPr/>
      </xdr:nvSpPr>
      <xdr:spPr>
        <a:xfrm>
          <a:off x="18288000" y="3048000"/>
          <a:ext cx="762000" cy="76200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E3F5EF"/>
        </a:solidFill>
        <a:ln w="15875" cap="flat">
          <a:solidFill>
            <a:srgbClr val="247966"/>
          </a:solidFill>
          <a:round/>
        </a:ln>
      </xdr:spPr>
      <xdr:txBody>
        <a:bodyPr vertOverflow="overflow" horzOverflow="overflow" wrap="square" lIns="25400" tIns="76200" rIns="25400" bIns="25400" rtlCol="0" anchor="ctr">
          <a:noAutofit/>
        </a:bodyPr>
        <a:lstStyle/>
        <a:p>
          <a:pPr algn="ctr">
            <a:lnSpc>
              <a:spcPct val="95000"/>
            </a:lnSpc>
          </a:pPr>
          <a:r>
            <a:rPr lang="ja-JP" altLang="en-US" sz="850" b="1" dirty="0">
              <a:solidFill>
                <a:srgbClr val="262626"/>
              </a:solidFill>
              <a:latin typeface="Meiryo UI"/>
              <a:ea typeface="Meiryo UI"/>
              <a:cs typeface="Meiryo UI"/>
            </a:rPr>
            <a:t>DB</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ストレージ</a:t>
          </a:r>
          <a:endParaRPr lang="ja-JP" altLang="en-US" sz="700" dirty="0">
            <a:latin typeface="Meiryo UI"/>
            <a:ea typeface="Meiryo UI"/>
          </a:endParaRPr>
        </a:p>
      </xdr:txBody>
    </xdr:sp>
    <xdr:clientData/>
  </xdr:twoCellAnchor>
  <xdr:twoCellAnchor editAs="oneCell">
    <xdr:from>
      <xdr:col>100</xdr:col>
      <xdr:colOff>0</xdr:colOff>
      <xdr:row>16</xdr:row>
      <xdr:rowOff>0</xdr:rowOff>
    </xdr:from>
    <xdr:to>
      <xdr:col>104</xdr:col>
      <xdr:colOff>0</xdr:colOff>
      <xdr:row>20</xdr:row>
      <xdr:rowOff>0</xdr:rowOff>
    </xdr:to>
    <xdr:sp macro="" textlink="">
      <xdr:nvSpPr>
        <xdr:cNvPr id="84" name="ノード: 円・標準（ルートB）">
          <a:extLst>
            <a:ext uri="{FF2B5EF4-FFF2-40B4-BE49-F238E27FC236}">
              <a16:creationId xmlns:a16="http://schemas.microsoft.com/office/drawing/2014/main" id="{00000000-0008-0000-0200-000054000000}"/>
            </a:ext>
          </a:extLst>
        </xdr:cNvPr>
        <xdr:cNvSpPr/>
      </xdr:nvSpPr>
      <xdr:spPr>
        <a:xfrm>
          <a:off x="19050000" y="3048000"/>
          <a:ext cx="762000" cy="762000"/>
        </a:xfrm>
        <a:custGeom>
          <a:avLst/>
          <a:gdLst>
            <a:gd name="wr" fmla="*/ w 1 2"/>
            <a:gd name="hr" fmla="*/ h 1 2"/>
            <a:gd name="dx0" fmla="sin wr 18900000"/>
            <a:gd name="dy0" fmla="cos hr 18900000"/>
            <a:gd name="px0" fmla="+- hc dx0 0"/>
            <a:gd name="py0" fmla="+- vc 0 dy0"/>
            <a:gd name="dx1" fmla="sin wr 20250000"/>
            <a:gd name="dy1" fmla="cos hr 20250000"/>
            <a:gd name="px1" fmla="+- hc dx1 0"/>
            <a:gd name="py1" fmla="+- vc 0 dy1"/>
            <a:gd name="dx2" fmla="sin wr 0"/>
            <a:gd name="dy2" fmla="cos hr 0"/>
            <a:gd name="px2" fmla="+- hc dx2 0"/>
            <a:gd name="py2" fmla="+- vc 0 dy2"/>
            <a:gd name="dx3" fmla="sin wr 1350000"/>
            <a:gd name="dy3" fmla="cos hr 1350000"/>
            <a:gd name="px3" fmla="+- hc dx3 0"/>
            <a:gd name="py3" fmla="+- vc 0 dy3"/>
            <a:gd name="dx4" fmla="sin wr 2700000"/>
            <a:gd name="dy4" fmla="cos hr 2700000"/>
            <a:gd name="px4" fmla="+- hc dx4 0"/>
            <a:gd name="py4" fmla="+- vc 0 dy4"/>
            <a:gd name="dx5" fmla="sin wr 4050000"/>
            <a:gd name="dy5" fmla="cos hr 4050000"/>
            <a:gd name="px5" fmla="+- hc dx5 0"/>
            <a:gd name="py5" fmla="+- vc 0 dy5"/>
            <a:gd name="dx6" fmla="sin wr 5400000"/>
            <a:gd name="dy6" fmla="cos hr 5400000"/>
            <a:gd name="px6" fmla="+- hc dx6 0"/>
            <a:gd name="py6" fmla="+- vc 0 dy6"/>
            <a:gd name="dx7" fmla="sin wr 6750000"/>
            <a:gd name="dy7" fmla="cos hr 6750000"/>
            <a:gd name="px7" fmla="+- hc dx7 0"/>
            <a:gd name="py7" fmla="+- vc 0 dy7"/>
            <a:gd name="dx8" fmla="sin wr 8100000"/>
            <a:gd name="dy8" fmla="cos hr 8100000"/>
            <a:gd name="px8" fmla="+- hc dx8 0"/>
            <a:gd name="py8" fmla="+- vc 0 dy8"/>
            <a:gd name="dx9" fmla="sin wr 9450000"/>
            <a:gd name="dy9" fmla="cos hr 9450000"/>
            <a:gd name="px9" fmla="+- hc dx9 0"/>
            <a:gd name="py9" fmla="+- vc 0 dy9"/>
            <a:gd name="dx10" fmla="sin wr 10800000"/>
            <a:gd name="dy10" fmla="cos hr 10800000"/>
            <a:gd name="px10" fmla="+- hc dx10 0"/>
            <a:gd name="py10" fmla="+- vc 0 dy10"/>
            <a:gd name="dx11" fmla="sin wr 12150000"/>
            <a:gd name="dy11" fmla="cos hr 12150000"/>
            <a:gd name="px11" fmla="+- hc dx11 0"/>
            <a:gd name="py11" fmla="+- vc 0 dy11"/>
            <a:gd name="dx12" fmla="sin wr 13500000"/>
            <a:gd name="dy12" fmla="cos hr 13500000"/>
            <a:gd name="px12" fmla="+- hc dx12 0"/>
            <a:gd name="py12" fmla="+- vc 0 dy12"/>
            <a:gd name="dx13" fmla="sin wr 14850000"/>
            <a:gd name="dy13" fmla="cos hr 14850000"/>
            <a:gd name="px13" fmla="+- hc dx13 0"/>
            <a:gd name="py13" fmla="+- vc 0 dy13"/>
            <a:gd name="dx14" fmla="sin wr 16200000"/>
            <a:gd name="dy14" fmla="cos hr 16200000"/>
            <a:gd name="px14" fmla="+- hc dx14 0"/>
            <a:gd name="py14" fmla="+- vc 0 dy14"/>
            <a:gd name="dx15" fmla="sin wr 17550000"/>
            <a:gd name="dy15" fmla="cos hr 17550000"/>
            <a:gd name="px15" fmla="+- hc dx15 0"/>
            <a:gd name="py15" fmla="+- vc 0 dy15"/>
          </a:gdLst>
          <a:ahLst/>
          <a:cxnLst>
            <a:cxn ang="10800000">
              <a:pos x="px0" y="py0"/>
            </a:cxn>
            <a:cxn ang="16200000">
              <a:pos x="px1" y="py1"/>
            </a:cxn>
            <a:cxn ang="16200000">
              <a:pos x="px2" y="py2"/>
            </a:cxn>
            <a:cxn ang="16200000">
              <a:pos x="px3" y="py3"/>
            </a:cxn>
            <a:cxn ang="0">
              <a:pos x="px4" y="py4"/>
            </a:cxn>
            <a:cxn ang="0">
              <a:pos x="px5" y="py5"/>
            </a:cxn>
            <a:cxn ang="0">
              <a:pos x="px6" y="py6"/>
            </a:cxn>
            <a:cxn ang="0">
              <a:pos x="px7" y="py7"/>
            </a:cxn>
            <a:cxn ang="0">
              <a:pos x="px8" y="py8"/>
            </a:cxn>
            <a:cxn ang="5400000">
              <a:pos x="px9" y="py9"/>
            </a:cxn>
            <a:cxn ang="5400000">
              <a:pos x="px10" y="py10"/>
            </a:cxn>
            <a:cxn ang="5400000">
              <a:pos x="px11" y="py11"/>
            </a:cxn>
            <a:cxn ang="10800000">
              <a:pos x="px12" y="py12"/>
            </a:cxn>
            <a:cxn ang="10800000">
              <a:pos x="px13" y="py13"/>
            </a:cxn>
            <a:cxn ang="10800000">
              <a:pos x="px14" y="py14"/>
            </a:cxn>
            <a:cxn ang="10800000">
              <a:pos x="px15" y="py15"/>
            </a:cxn>
          </a:cxnLst>
          <a:rect l="l" t="t" r="r" b="b"/>
          <a:pathLst>
            <a:path>
              <a:moveTo>
                <a:pt x="l" y="vc"/>
              </a:moveTo>
              <a:arcTo wR="wr" hR="hr" stAng="10800000" swAng="21600000"/>
              <a:close/>
            </a:path>
          </a:pathLst>
        </a:custGeom>
        <a:solidFill>
          <a:srgbClr val="E3F5EF"/>
        </a:solidFill>
        <a:ln w="15875" cap="flat">
          <a:solidFill>
            <a:srgbClr val="247966"/>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利用者</a:t>
          </a:r>
          <a:endParaRPr lang="ja-JP" altLang="en-US" sz="850" dirty="0">
            <a:latin typeface="Meiryo UI"/>
            <a:ea typeface="Meiryo UI"/>
          </a:endParaRPr>
        </a:p>
      </xdr:txBody>
    </xdr:sp>
    <xdr:clientData/>
  </xdr:twoCellAnchor>
  <xdr:twoCellAnchor editAs="oneCell">
    <xdr:from>
      <xdr:col>96</xdr:col>
      <xdr:colOff>0</xdr:colOff>
      <xdr:row>21</xdr:row>
      <xdr:rowOff>0</xdr:rowOff>
    </xdr:from>
    <xdr:to>
      <xdr:col>104</xdr:col>
      <xdr:colOff>0</xdr:colOff>
      <xdr:row>25</xdr:row>
      <xdr:rowOff>0</xdr:rowOff>
    </xdr:to>
    <xdr:sp macro="" textlink="">
      <xdr:nvSpPr>
        <xdr:cNvPr id="85" name="ノード: カプセル・標準（ルートB）">
          <a:extLst>
            <a:ext uri="{FF2B5EF4-FFF2-40B4-BE49-F238E27FC236}">
              <a16:creationId xmlns:a16="http://schemas.microsoft.com/office/drawing/2014/main" id="{00000000-0008-0000-0200-000055000000}"/>
            </a:ext>
          </a:extLst>
        </xdr:cNvPr>
        <xdr:cNvSpPr/>
      </xdr:nvSpPr>
      <xdr:spPr>
        <a:xfrm>
          <a:off x="18288000" y="4000500"/>
          <a:ext cx="1524000" cy="762000"/>
        </a:xfrm>
        <a:custGeom>
          <a:avLst/>
          <a:gdLst>
            <a:gd name="x1" fmla="*/ w 1 4"/>
            <a:gd name="x2" fmla="*/ w 1 2"/>
            <a:gd name="x3" fmla="*/ w 3 4"/>
            <a:gd name="y1" fmla="*/ h 1 4"/>
            <a:gd name="y2" fmla="*/ h 1 2"/>
            <a:gd name="y3" fmla="*/ h 3 4"/>
            <a:gd name="smin" fmla="min w h"/>
            <a:gd name="rr" fmla="*/ smin 1 2"/>
            <a:gd name="rx" fmla="+- r 0 rr"/>
            <a:gd name="k" fmla="*/ rr 13397 100000"/>
            <a:gd name="rk" fmla="+- r 0 k"/>
            <a:gd name="q45" fmla="*/ rr 29289 100000"/>
            <a:gd name="q45r" fmla="+- r 0 q45"/>
            <a:gd name="q45b" fmla="+- b 0 q45"/>
          </a:gdLst>
          <a:ahLst/>
          <a:cxnLst>
            <a:cxn ang="10800000">
              <a:pos x="q45" y="q45"/>
            </a:cxn>
            <a:cxn ang="16200000">
              <a:pos x="x1" y="t"/>
            </a:cxn>
            <a:cxn ang="16200000">
              <a:pos x="x2" y="t"/>
            </a:cxn>
            <a:cxn ang="16200000">
              <a:pos x="x3" y="t"/>
            </a:cxn>
            <a:cxn ang="0">
              <a:pos x="q45r" y="q45"/>
            </a:cxn>
            <a:cxn ang="0">
              <a:pos x="rk" y="y1"/>
            </a:cxn>
            <a:cxn ang="0">
              <a:pos x="r" y="y2"/>
            </a:cxn>
            <a:cxn ang="0">
              <a:pos x="rk" y="y3"/>
            </a:cxn>
            <a:cxn ang="0">
              <a:pos x="q45r" y="q45b"/>
            </a:cxn>
            <a:cxn ang="5400000">
              <a:pos x="x3" y="b"/>
            </a:cxn>
            <a:cxn ang="5400000">
              <a:pos x="x2" y="b"/>
            </a:cxn>
            <a:cxn ang="5400000">
              <a:pos x="x1" y="b"/>
            </a:cxn>
            <a:cxn ang="10800000">
              <a:pos x="q45" y="q45b"/>
            </a:cxn>
            <a:cxn ang="10800000">
              <a:pos x="k" y="y3"/>
            </a:cxn>
            <a:cxn ang="10800000">
              <a:pos x="l" y="y2"/>
            </a:cxn>
            <a:cxn ang="10800000">
              <a:pos x="k" y="y1"/>
            </a:cxn>
          </a:cxnLst>
          <a:rect l="l" t="t" r="r" b="b"/>
          <a:pathLst>
            <a:path>
              <a:moveTo>
                <a:pt x="rr" y="t"/>
              </a:moveTo>
              <a:lnTo>
                <a:pt x="rx" y="t"/>
              </a:lnTo>
              <a:arcTo wR="rr" hR="rr" stAng="16200000" swAng="10800000"/>
              <a:lnTo>
                <a:pt x="rr" y="b"/>
              </a:lnTo>
              <a:arcTo wR="rr" hR="rr" stAng="5400000" swAng="10800000"/>
              <a:close/>
            </a:path>
          </a:pathLst>
        </a:custGeom>
        <a:solidFill>
          <a:srgbClr val="E3F5EF"/>
        </a:solidFill>
        <a:ln w="15875" cap="flat">
          <a:solidFill>
            <a:srgbClr val="247966"/>
          </a:solidFill>
          <a:round/>
        </a:ln>
      </xdr:spPr>
      <xdr:txBody>
        <a:bodyPr vertOverflow="overflow" horzOverflow="overflow" wrap="square" lIns="101600" tIns="12700" rIns="101600" bIns="12700" rtlCol="0" anchor="ctr">
          <a:noAutofit/>
        </a:bodyPr>
        <a:lstStyle/>
        <a:p>
          <a:pPr algn="ctr">
            <a:lnSpc>
              <a:spcPct val="95000"/>
            </a:lnSpc>
          </a:pPr>
          <a:r>
            <a:rPr lang="ja-JP" altLang="en-US" sz="950" b="1" dirty="0">
              <a:solidFill>
                <a:srgbClr val="262626"/>
              </a:solidFill>
              <a:latin typeface="Meiryo UI"/>
              <a:ea typeface="Meiryo UI"/>
              <a:cs typeface="Meiryo UI"/>
            </a:rPr>
            <a:t>API・キュー</a:t>
          </a:r>
          <a:endParaRPr lang="ja-JP" altLang="en-US" sz="950" dirty="0">
            <a:latin typeface="Meiryo UI"/>
            <a:ea typeface="Meiryo UI"/>
          </a:endParaRPr>
        </a:p>
      </xdr:txBody>
    </xdr:sp>
    <xdr:clientData/>
  </xdr:twoCellAnchor>
  <xdr:twoCellAnchor editAs="oneCell">
    <xdr:from>
      <xdr:col>96</xdr:col>
      <xdr:colOff>0</xdr:colOff>
      <xdr:row>27</xdr:row>
      <xdr:rowOff>0</xdr:rowOff>
    </xdr:from>
    <xdr:to>
      <xdr:col>104</xdr:col>
      <xdr:colOff>0</xdr:colOff>
      <xdr:row>27</xdr:row>
      <xdr:rowOff>0</xdr:rowOff>
    </xdr:to>
    <xdr:cxnSp macro="">
      <xdr:nvCxnSpPr>
        <xdr:cNvPr id="86" name="線: オンライン連携・直線（ルートB）">
          <a:extLst>
            <a:ext uri="{FF2B5EF4-FFF2-40B4-BE49-F238E27FC236}">
              <a16:creationId xmlns:a16="http://schemas.microsoft.com/office/drawing/2014/main" id="{00000000-0008-0000-0200-000056000000}"/>
            </a:ext>
          </a:extLst>
        </xdr:cNvPr>
        <xdr:cNvCxnSpPr/>
      </xdr:nvCxnSpPr>
      <xdr:spPr>
        <a:xfrm>
          <a:off x="18288000" y="5143500"/>
          <a:ext cx="1524000" cy="0"/>
        </a:xfrm>
        <a:prstGeom prst="straightConnector1">
          <a:avLst/>
        </a:prstGeom>
        <a:ln w="19050" cap="flat">
          <a:solidFill>
            <a:srgbClr val="247966"/>
          </a:solidFill>
          <a:round/>
          <a:tailEnd type="triangle" w="med" len="med"/>
        </a:ln>
      </xdr:spPr>
    </xdr:cxnSp>
    <xdr:clientData/>
  </xdr:twoCellAnchor>
  <xdr:twoCellAnchor editAs="oneCell">
    <xdr:from>
      <xdr:col>96</xdr:col>
      <xdr:colOff>0</xdr:colOff>
      <xdr:row>28</xdr:row>
      <xdr:rowOff>0</xdr:rowOff>
    </xdr:from>
    <xdr:to>
      <xdr:col>104</xdr:col>
      <xdr:colOff>0</xdr:colOff>
      <xdr:row>28</xdr:row>
      <xdr:rowOff>0</xdr:rowOff>
    </xdr:to>
    <xdr:cxnSp macro="">
      <xdr:nvCxnSpPr>
        <xdr:cNvPr id="87" name="線: バッチ・ファイル・直線（ルートB）">
          <a:extLst>
            <a:ext uri="{FF2B5EF4-FFF2-40B4-BE49-F238E27FC236}">
              <a16:creationId xmlns:a16="http://schemas.microsoft.com/office/drawing/2014/main" id="{00000000-0008-0000-0200-000057000000}"/>
            </a:ext>
          </a:extLst>
        </xdr:cNvPr>
        <xdr:cNvCxnSpPr/>
      </xdr:nvCxnSpPr>
      <xdr:spPr>
        <a:xfrm>
          <a:off x="18288000" y="5334000"/>
          <a:ext cx="1524000" cy="0"/>
        </a:xfrm>
        <a:prstGeom prst="straightConnector1">
          <a:avLst/>
        </a:prstGeom>
        <a:ln w="19050" cap="flat">
          <a:solidFill>
            <a:srgbClr val="247966"/>
          </a:solidFill>
          <a:prstDash val="dash"/>
          <a:round/>
          <a:tailEnd type="triangle" w="med" len="med"/>
        </a:ln>
      </xdr:spPr>
    </xdr:cxnSp>
    <xdr:clientData/>
  </xdr:twoCellAnchor>
  <xdr:twoCellAnchor editAs="oneCell">
    <xdr:from>
      <xdr:col>96</xdr:col>
      <xdr:colOff>0</xdr:colOff>
      <xdr:row>29</xdr:row>
      <xdr:rowOff>0</xdr:rowOff>
    </xdr:from>
    <xdr:to>
      <xdr:col>104</xdr:col>
      <xdr:colOff>0</xdr:colOff>
      <xdr:row>29</xdr:row>
      <xdr:rowOff>0</xdr:rowOff>
    </xdr:to>
    <xdr:cxnSp macro="">
      <xdr:nvCxnSpPr>
        <xdr:cNvPr id="88" name="線: 監視・運用・直線（ルートB）">
          <a:extLst>
            <a:ext uri="{FF2B5EF4-FFF2-40B4-BE49-F238E27FC236}">
              <a16:creationId xmlns:a16="http://schemas.microsoft.com/office/drawing/2014/main" id="{00000000-0008-0000-0200-000058000000}"/>
            </a:ext>
          </a:extLst>
        </xdr:cNvPr>
        <xdr:cNvCxnSpPr/>
      </xdr:nvCxnSpPr>
      <xdr:spPr>
        <a:xfrm>
          <a:off x="18288000" y="5524500"/>
          <a:ext cx="1524000" cy="0"/>
        </a:xfrm>
        <a:prstGeom prst="straightConnector1">
          <a:avLst/>
        </a:prstGeom>
        <a:ln w="12700" cap="flat">
          <a:solidFill>
            <a:srgbClr val="247966"/>
          </a:solidFill>
          <a:prstDash val="sysDot"/>
          <a:round/>
          <a:tailEnd type="triangle" w="med" len="med"/>
        </a:ln>
      </xdr:spPr>
    </xdr:cxnSp>
    <xdr:clientData/>
  </xdr:twoCellAnchor>
  <xdr:twoCellAnchor editAs="oneCell">
    <xdr:from>
      <xdr:col>96</xdr:col>
      <xdr:colOff>0</xdr:colOff>
      <xdr:row>30</xdr:row>
      <xdr:rowOff>0</xdr:rowOff>
    </xdr:from>
    <xdr:to>
      <xdr:col>104</xdr:col>
      <xdr:colOff>0</xdr:colOff>
      <xdr:row>32</xdr:row>
      <xdr:rowOff>0</xdr:rowOff>
    </xdr:to>
    <xdr:cxnSp macro="">
      <xdr:nvCxnSpPr>
        <xdr:cNvPr id="89" name="線: オンライン連携・カギ線（ルートB）">
          <a:extLst>
            <a:ext uri="{FF2B5EF4-FFF2-40B4-BE49-F238E27FC236}">
              <a16:creationId xmlns:a16="http://schemas.microsoft.com/office/drawing/2014/main" id="{00000000-0008-0000-0200-000059000000}"/>
            </a:ext>
          </a:extLst>
        </xdr:cNvPr>
        <xdr:cNvCxnSpPr/>
      </xdr:nvCxnSpPr>
      <xdr:spPr>
        <a:xfrm>
          <a:off x="18288000" y="5715000"/>
          <a:ext cx="1524000" cy="381000"/>
        </a:xfrm>
        <a:prstGeom prst="bentConnector3">
          <a:avLst/>
        </a:prstGeom>
        <a:ln w="19050" cap="flat">
          <a:solidFill>
            <a:srgbClr val="247966"/>
          </a:solidFill>
          <a:round/>
          <a:tailEnd type="triangle" w="med" len="med"/>
        </a:ln>
      </xdr:spPr>
    </xdr:cxnSp>
    <xdr:clientData/>
  </xdr:twoCellAnchor>
  <xdr:twoCellAnchor editAs="oneCell">
    <xdr:from>
      <xdr:col>96</xdr:col>
      <xdr:colOff>0</xdr:colOff>
      <xdr:row>34</xdr:row>
      <xdr:rowOff>0</xdr:rowOff>
    </xdr:from>
    <xdr:to>
      <xdr:col>104</xdr:col>
      <xdr:colOff>0</xdr:colOff>
      <xdr:row>38</xdr:row>
      <xdr:rowOff>0</xdr:rowOff>
    </xdr:to>
    <xdr:grpSp>
      <xdr:nvGrpSpPr>
        <xdr:cNvPr id="92" name="コメント: ポイント（ルートB）">
          <a:extLst>
            <a:ext uri="{FF2B5EF4-FFF2-40B4-BE49-F238E27FC236}">
              <a16:creationId xmlns:a16="http://schemas.microsoft.com/office/drawing/2014/main" id="{00000000-0008-0000-0200-00005C000000}"/>
            </a:ext>
          </a:extLst>
        </xdr:cNvPr>
        <xdr:cNvGrpSpPr/>
      </xdr:nvGrpSpPr>
      <xdr:grpSpPr>
        <a:xfrm>
          <a:off x="18288000" y="6477000"/>
          <a:ext cx="1524000" cy="762000"/>
          <a:chOff x="18288000" y="6477000"/>
          <a:chExt cx="1524000" cy="762000"/>
        </a:xfrm>
      </xdr:grpSpPr>
      <xdr:sp macro="" textlink="">
        <xdr:nvSpPr>
          <xdr:cNvPr id="90" name="本文">
            <a:extLst>
              <a:ext uri="{FF2B5EF4-FFF2-40B4-BE49-F238E27FC236}">
                <a16:creationId xmlns:a16="http://schemas.microsoft.com/office/drawing/2014/main" id="{00000000-0008-0000-0200-00005A000000}"/>
              </a:ext>
            </a:extLst>
          </xdr:cNvPr>
          <xdr:cNvSpPr/>
        </xdr:nvSpPr>
        <xdr:spPr>
          <a:xfrm>
            <a:off x="18288000" y="6477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1FAF7"/>
          </a:solidFill>
          <a:ln w="9525" cap="flat">
            <a:solidFill>
              <a:srgbClr val="B0DCCF"/>
            </a:solidFill>
            <a:round/>
          </a:ln>
        </xdr:spPr>
        <xdr:txBody>
          <a:bodyPr vertOverflow="overflow" horzOverflow="overflow" wrap="square" lIns="76200" tIns="228600" rIns="76200" bIns="38100" rtlCol="0" anchor="t">
            <a:noAutofit/>
          </a:bodyPr>
          <a:lstStyle/>
          <a:p>
            <a:pPr algn="l">
              <a:lnSpc>
                <a:spcPct val="100000"/>
              </a:lnSpc>
            </a:pPr>
            <a:r>
              <a:rPr lang="ja-JP" altLang="en-US" sz="800" b="0" dirty="0">
                <a:solidFill>
                  <a:srgbClr val="404040"/>
                </a:solidFill>
                <a:latin typeface="Meiryo UI"/>
                <a:ea typeface="Meiryo UI"/>
                <a:cs typeface="Meiryo UI"/>
              </a:rPr>
              <a:t>ポイントを記入</a:t>
            </a:r>
            <a:endParaRPr lang="ja-JP" altLang="en-US" sz="800" dirty="0">
              <a:latin typeface="Meiryo UI"/>
              <a:ea typeface="Meiryo UI"/>
            </a:endParaRPr>
          </a:p>
        </xdr:txBody>
      </xdr:sp>
      <xdr:sp macro="" textlink="">
        <xdr:nvSpPr>
          <xdr:cNvPr id="91" name="見出し">
            <a:extLst>
              <a:ext uri="{FF2B5EF4-FFF2-40B4-BE49-F238E27FC236}">
                <a16:creationId xmlns:a16="http://schemas.microsoft.com/office/drawing/2014/main" id="{00000000-0008-0000-0200-00005B000000}"/>
              </a:ext>
            </a:extLst>
          </xdr:cNvPr>
          <xdr:cNvSpPr/>
        </xdr:nvSpPr>
        <xdr:spPr>
          <a:xfrm>
            <a:off x="18288000" y="6477000"/>
            <a:ext cx="1524000" cy="190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247966"/>
          </a:solidFill>
          <a:ln w="9525" cap="flat">
            <a:solidFill>
              <a:srgbClr val="247966"/>
            </a:solidFill>
            <a:round/>
          </a:ln>
        </xdr:spPr>
        <xdr:txBody>
          <a:bodyPr vertOverflow="overflow" horzOverflow="overflow" wrap="none" lIns="76200" tIns="0" rIns="76200" bIns="0" rtlCol="0" anchor="ctr">
            <a:noAutofit/>
          </a:bodyPr>
          <a:lstStyle/>
          <a:p>
            <a:pPr algn="l"/>
            <a:r>
              <a:rPr lang="ja-JP" altLang="en-US" sz="750" b="1" dirty="0">
                <a:solidFill>
                  <a:srgbClr val="FFFFFF"/>
                </a:solidFill>
                <a:latin typeface="Meiryo UI"/>
                <a:ea typeface="Meiryo UI"/>
                <a:cs typeface="Meiryo UI"/>
              </a:rPr>
              <a:t>POINT</a:t>
            </a:r>
            <a:endParaRPr lang="ja-JP" altLang="en-US" sz="800" dirty="0">
              <a:latin typeface="Meiryo UI"/>
              <a:ea typeface="Meiryo UI"/>
            </a:endParaRPr>
          </a:p>
        </xdr:txBody>
      </xdr:sp>
    </xdr:grpSp>
    <xdr:clientData/>
  </xdr:twoCellAnchor>
  <xdr:twoCellAnchor editAs="oneCell">
    <xdr:from>
      <xdr:col>96</xdr:col>
      <xdr:colOff>0</xdr:colOff>
      <xdr:row>39</xdr:row>
      <xdr:rowOff>0</xdr:rowOff>
    </xdr:from>
    <xdr:to>
      <xdr:col>104</xdr:col>
      <xdr:colOff>0</xdr:colOff>
      <xdr:row>42</xdr:row>
      <xdr:rowOff>0</xdr:rowOff>
    </xdr:to>
    <xdr:grpSp>
      <xdr:nvGrpSpPr>
        <xdr:cNvPr id="95" name="コメント: 付記（ルートB）">
          <a:extLst>
            <a:ext uri="{FF2B5EF4-FFF2-40B4-BE49-F238E27FC236}">
              <a16:creationId xmlns:a16="http://schemas.microsoft.com/office/drawing/2014/main" id="{00000000-0008-0000-0200-00005F000000}"/>
            </a:ext>
          </a:extLst>
        </xdr:cNvPr>
        <xdr:cNvGrpSpPr/>
      </xdr:nvGrpSpPr>
      <xdr:grpSpPr>
        <a:xfrm>
          <a:off x="18288000" y="7429500"/>
          <a:ext cx="1524000" cy="571500"/>
          <a:chOff x="18288000" y="7429500"/>
          <a:chExt cx="1524000" cy="571500"/>
        </a:xfrm>
      </xdr:grpSpPr>
      <xdr:sp macro="" textlink="">
        <xdr:nvSpPr>
          <xdr:cNvPr id="93" name="本文">
            <a:extLst>
              <a:ext uri="{FF2B5EF4-FFF2-40B4-BE49-F238E27FC236}">
                <a16:creationId xmlns:a16="http://schemas.microsoft.com/office/drawing/2014/main" id="{00000000-0008-0000-0200-00005D000000}"/>
              </a:ext>
            </a:extLst>
          </xdr:cNvPr>
          <xdr:cNvSpPr/>
        </xdr:nvSpPr>
        <xdr:spPr>
          <a:xfrm>
            <a:off x="18288000" y="7429500"/>
            <a:ext cx="1524000" cy="571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1FAF7"/>
          </a:solidFill>
          <a:ln>
            <a:noFill/>
          </a:ln>
        </xdr:spPr>
        <xdr:txBody>
          <a:bodyPr vertOverflow="overflow" horzOverflow="overflow" wrap="square" lIns="114300" tIns="50800" rIns="76200" bIns="38100" rtlCol="0" anchor="t">
            <a:noAutofit/>
          </a:bodyPr>
          <a:lstStyle/>
          <a:p>
            <a:pPr algn="l"/>
            <a:r>
              <a:rPr lang="ja-JP" altLang="en-US" sz="800" b="1" dirty="0">
                <a:solidFill>
                  <a:srgbClr val="005243"/>
                </a:solidFill>
                <a:latin typeface="Meiryo UI"/>
                <a:ea typeface="Meiryo UI"/>
                <a:cs typeface="Meiryo UI"/>
              </a:rPr>
              <a:t>付記</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補足を記入</a:t>
            </a:r>
            <a:endParaRPr lang="ja-JP" altLang="en-US" sz="800" dirty="0">
              <a:latin typeface="Meiryo UI"/>
              <a:ea typeface="Meiryo UI"/>
            </a:endParaRPr>
          </a:p>
        </xdr:txBody>
      </xdr:sp>
      <xdr:sp macro="" textlink="">
        <xdr:nvSpPr>
          <xdr:cNvPr id="94" name="左ライン">
            <a:extLst>
              <a:ext uri="{FF2B5EF4-FFF2-40B4-BE49-F238E27FC236}">
                <a16:creationId xmlns:a16="http://schemas.microsoft.com/office/drawing/2014/main" id="{00000000-0008-0000-0200-00005E000000}"/>
              </a:ext>
            </a:extLst>
          </xdr:cNvPr>
          <xdr:cNvSpPr/>
        </xdr:nvSpPr>
        <xdr:spPr>
          <a:xfrm>
            <a:off x="18288000" y="7429500"/>
            <a:ext cx="38100" cy="571500"/>
          </a:xfrm>
          <a:prstGeom prst="rect">
            <a:avLst/>
          </a:prstGeom>
          <a:solidFill>
            <a:srgbClr val="247966"/>
          </a:solidFill>
          <a:ln>
            <a:noFill/>
          </a:ln>
        </xdr:spPr>
        <xdr:txBody>
          <a:bodyPr vertOverflow="overflow" horzOverflow="overflow" wrap="square" lIns="38100" tIns="19050" rIns="38100" bIns="19050" rtlCol="0" anchor="ctr">
            <a:noAutofit/>
          </a:bodyPr>
          <a:lstStyle/>
          <a:p>
            <a:pPr algn="l"/>
            <a:endParaRPr lang="ja-JP" altLang="en-US" sz="600" dirty="0">
              <a:latin typeface="Meiryo UI"/>
              <a:ea typeface="Meiryo UI"/>
            </a:endParaRPr>
          </a:p>
        </xdr:txBody>
      </xdr:sp>
    </xdr:grpSp>
    <xdr:clientData/>
  </xdr:twoCellAnchor>
  <xdr:twoCellAnchor editAs="oneCell">
    <xdr:from>
      <xdr:col>96</xdr:col>
      <xdr:colOff>0</xdr:colOff>
      <xdr:row>43</xdr:row>
      <xdr:rowOff>0</xdr:rowOff>
    </xdr:from>
    <xdr:to>
      <xdr:col>104</xdr:col>
      <xdr:colOff>0</xdr:colOff>
      <xdr:row>45</xdr:row>
      <xdr:rowOff>0</xdr:rowOff>
    </xdr:to>
    <xdr:sp macro="" textlink="">
      <xdr:nvSpPr>
        <xdr:cNvPr id="96" name="コメント: 吹き出し（ルートB）">
          <a:extLst>
            <a:ext uri="{FF2B5EF4-FFF2-40B4-BE49-F238E27FC236}">
              <a16:creationId xmlns:a16="http://schemas.microsoft.com/office/drawing/2014/main" id="{00000000-0008-0000-0200-000060000000}"/>
            </a:ext>
          </a:extLst>
        </xdr:cNvPr>
        <xdr:cNvSpPr/>
      </xdr:nvSpPr>
      <xdr:spPr>
        <a:xfrm>
          <a:off x="18288000" y="8191500"/>
          <a:ext cx="1524000" cy="381000"/>
        </a:xfrm>
        <a:prstGeom prst="wedgeRoundRectCallout">
          <a:avLst>
            <a:gd name="adj1" fmla="val -30000"/>
            <a:gd name="adj2" fmla="val 95000"/>
            <a:gd name="adj3" fmla="val 16667"/>
          </a:avLst>
        </a:prstGeom>
        <a:solidFill>
          <a:srgbClr val="FFFFFF"/>
        </a:solidFill>
        <a:ln w="12700" cap="flat">
          <a:solidFill>
            <a:srgbClr val="247966"/>
          </a:solidFill>
          <a:round/>
        </a:ln>
      </xdr:spPr>
      <xdr:txBody>
        <a:bodyPr vertOverflow="overflow" horzOverflow="overflow" wrap="square" lIns="63500" tIns="25400" rIns="63500" bIns="25400" rtlCol="0" anchor="ctr">
          <a:noAutofit/>
        </a:bodyPr>
        <a:lstStyle/>
        <a:p>
          <a:pPr algn="l"/>
          <a:r>
            <a:rPr lang="ja-JP" altLang="en-US" sz="800" b="0" dirty="0">
              <a:solidFill>
                <a:srgbClr val="404040"/>
              </a:solidFill>
              <a:latin typeface="Meiryo UI"/>
              <a:ea typeface="Meiryo UI"/>
              <a:cs typeface="Meiryo UI"/>
            </a:rPr>
            <a:t>指摘・補足</a:t>
          </a:r>
          <a:endParaRPr lang="ja-JP" altLang="en-US" sz="800" dirty="0">
            <a:latin typeface="Meiryo UI"/>
            <a:ea typeface="Meiryo UI"/>
          </a:endParaRPr>
        </a:p>
      </xdr:txBody>
    </xdr:sp>
    <xdr:clientData/>
  </xdr:twoCellAnchor>
  <xdr:twoCellAnchor editAs="oneCell">
    <xdr:from>
      <xdr:col>96</xdr:col>
      <xdr:colOff>0</xdr:colOff>
      <xdr:row>47</xdr:row>
      <xdr:rowOff>0</xdr:rowOff>
    </xdr:from>
    <xdr:to>
      <xdr:col>98</xdr:col>
      <xdr:colOff>0</xdr:colOff>
      <xdr:row>48</xdr:row>
      <xdr:rowOff>0</xdr:rowOff>
    </xdr:to>
    <xdr:sp macro="" textlink="">
      <xdr:nvSpPr>
        <xdr:cNvPr id="97" name="番号: B1（ルートB）">
          <a:extLst>
            <a:ext uri="{FF2B5EF4-FFF2-40B4-BE49-F238E27FC236}">
              <a16:creationId xmlns:a16="http://schemas.microsoft.com/office/drawing/2014/main" id="{00000000-0008-0000-0200-000061000000}"/>
            </a:ext>
          </a:extLst>
        </xdr:cNvPr>
        <xdr:cNvSpPr/>
      </xdr:nvSpPr>
      <xdr:spPr>
        <a:xfrm>
          <a:off x="18288000" y="8953500"/>
          <a:ext cx="381000" cy="190500"/>
        </a:xfrm>
        <a:prstGeom prst="roundRect">
          <a:avLst>
            <a:gd name="adj" fmla="val 50000"/>
          </a:avLst>
        </a:prstGeom>
        <a:solidFill>
          <a:srgbClr val="24796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B1</a:t>
          </a:r>
          <a:endParaRPr lang="ja-JP" altLang="en-US" sz="750" dirty="0">
            <a:latin typeface="Meiryo UI"/>
            <a:ea typeface="Meiryo UI"/>
          </a:endParaRPr>
        </a:p>
      </xdr:txBody>
    </xdr:sp>
    <xdr:clientData/>
  </xdr:twoCellAnchor>
  <xdr:twoCellAnchor editAs="oneCell">
    <xdr:from>
      <xdr:col>99</xdr:col>
      <xdr:colOff>0</xdr:colOff>
      <xdr:row>47</xdr:row>
      <xdr:rowOff>0</xdr:rowOff>
    </xdr:from>
    <xdr:to>
      <xdr:col>101</xdr:col>
      <xdr:colOff>0</xdr:colOff>
      <xdr:row>48</xdr:row>
      <xdr:rowOff>0</xdr:rowOff>
    </xdr:to>
    <xdr:sp macro="" textlink="">
      <xdr:nvSpPr>
        <xdr:cNvPr id="98" name="番号: B2（ルートB）">
          <a:extLst>
            <a:ext uri="{FF2B5EF4-FFF2-40B4-BE49-F238E27FC236}">
              <a16:creationId xmlns:a16="http://schemas.microsoft.com/office/drawing/2014/main" id="{00000000-0008-0000-0200-000062000000}"/>
            </a:ext>
          </a:extLst>
        </xdr:cNvPr>
        <xdr:cNvSpPr/>
      </xdr:nvSpPr>
      <xdr:spPr>
        <a:xfrm>
          <a:off x="18859500" y="8953500"/>
          <a:ext cx="381000" cy="190500"/>
        </a:xfrm>
        <a:prstGeom prst="roundRect">
          <a:avLst>
            <a:gd name="adj" fmla="val 50000"/>
          </a:avLst>
        </a:prstGeom>
        <a:solidFill>
          <a:srgbClr val="24796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B2</a:t>
          </a:r>
          <a:endParaRPr lang="ja-JP" altLang="en-US" sz="750" dirty="0">
            <a:latin typeface="Meiryo UI"/>
            <a:ea typeface="Meiryo UI"/>
          </a:endParaRPr>
        </a:p>
      </xdr:txBody>
    </xdr:sp>
    <xdr:clientData/>
  </xdr:twoCellAnchor>
  <xdr:twoCellAnchor editAs="oneCell">
    <xdr:from>
      <xdr:col>96</xdr:col>
      <xdr:colOff>0</xdr:colOff>
      <xdr:row>49</xdr:row>
      <xdr:rowOff>0</xdr:rowOff>
    </xdr:from>
    <xdr:to>
      <xdr:col>104</xdr:col>
      <xdr:colOff>0</xdr:colOff>
      <xdr:row>50</xdr:row>
      <xdr:rowOff>0</xdr:rowOff>
    </xdr:to>
    <xdr:sp macro="" textlink="">
      <xdr:nvSpPr>
        <xdr:cNvPr id="99" name="線ラベル（ルートB）">
          <a:extLst>
            <a:ext uri="{FF2B5EF4-FFF2-40B4-BE49-F238E27FC236}">
              <a16:creationId xmlns:a16="http://schemas.microsoft.com/office/drawing/2014/main" id="{00000000-0008-0000-0200-000063000000}"/>
            </a:ext>
          </a:extLst>
        </xdr:cNvPr>
        <xdr:cNvSpPr/>
      </xdr:nvSpPr>
      <xdr:spPr>
        <a:xfrm>
          <a:off x="18288000" y="9334500"/>
          <a:ext cx="1524000" cy="190500"/>
        </a:xfrm>
        <a:prstGeom prst="roundRect">
          <a:avLst>
            <a:gd name="adj" fmla="val 50000"/>
          </a:avLst>
        </a:prstGeom>
        <a:solidFill>
          <a:srgbClr val="FFFFFF"/>
        </a:solidFill>
        <a:ln w="9525" cap="flat">
          <a:solidFill>
            <a:srgbClr val="247966"/>
          </a:solidFill>
          <a:round/>
        </a:ln>
      </xdr:spPr>
      <xdr:txBody>
        <a:bodyPr vertOverflow="overflow" horzOverflow="overflow" wrap="none" lIns="25400" tIns="0" rIns="25400" bIns="0" rtlCol="0" anchor="ctr">
          <a:noAutofit/>
        </a:bodyPr>
        <a:lstStyle/>
        <a:p>
          <a:pPr algn="ctr"/>
          <a:r>
            <a:rPr lang="ja-JP" altLang="en-US" sz="750" b="0" dirty="0">
              <a:solidFill>
                <a:srgbClr val="005243"/>
              </a:solidFill>
              <a:latin typeface="Meiryo UI"/>
              <a:ea typeface="Meiryo UI"/>
              <a:cs typeface="Meiryo UI"/>
            </a:rPr>
            <a:t>HTTPS（REST）</a:t>
          </a:r>
          <a:endParaRPr lang="ja-JP" altLang="en-US" sz="750" dirty="0">
            <a:latin typeface="Meiryo UI"/>
            <a:ea typeface="Meiryo UI"/>
          </a:endParaRPr>
        </a:p>
      </xdr:txBody>
    </xdr:sp>
    <xdr:clientData/>
  </xdr:twoCellAnchor>
  <xdr:twoCellAnchor editAs="oneCell">
    <xdr:from>
      <xdr:col>105</xdr:col>
      <xdr:colOff>0</xdr:colOff>
      <xdr:row>6</xdr:row>
      <xdr:rowOff>0</xdr:rowOff>
    </xdr:from>
    <xdr:to>
      <xdr:col>113</xdr:col>
      <xdr:colOff>0</xdr:colOff>
      <xdr:row>10</xdr:row>
      <xdr:rowOff>0</xdr:rowOff>
    </xdr:to>
    <xdr:sp macro="" textlink="">
      <xdr:nvSpPr>
        <xdr:cNvPr id="100" name="ノード: 角丸・標準（ルートC）">
          <a:extLst>
            <a:ext uri="{FF2B5EF4-FFF2-40B4-BE49-F238E27FC236}">
              <a16:creationId xmlns:a16="http://schemas.microsoft.com/office/drawing/2014/main" id="{00000000-0008-0000-0200-000064000000}"/>
            </a:ext>
          </a:extLst>
        </xdr:cNvPr>
        <xdr:cNvSpPr/>
      </xdr:nvSpPr>
      <xdr:spPr>
        <a:xfrm>
          <a:off x="20002500" y="1143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DECE4"/>
        </a:solidFill>
        <a:ln w="15875" cap="flat">
          <a:solidFill>
            <a:srgbClr val="C46B39"/>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105</xdr:col>
      <xdr:colOff>0</xdr:colOff>
      <xdr:row>11</xdr:row>
      <xdr:rowOff>0</xdr:rowOff>
    </xdr:from>
    <xdr:to>
      <xdr:col>113</xdr:col>
      <xdr:colOff>0</xdr:colOff>
      <xdr:row>15</xdr:row>
      <xdr:rowOff>0</xdr:rowOff>
    </xdr:to>
    <xdr:sp macro="" textlink="">
      <xdr:nvSpPr>
        <xdr:cNvPr id="101" name="ノード: 角丸・強調（ルートC）">
          <a:extLst>
            <a:ext uri="{FF2B5EF4-FFF2-40B4-BE49-F238E27FC236}">
              <a16:creationId xmlns:a16="http://schemas.microsoft.com/office/drawing/2014/main" id="{00000000-0008-0000-0200-000065000000}"/>
            </a:ext>
          </a:extLst>
        </xdr:cNvPr>
        <xdr:cNvSpPr/>
      </xdr:nvSpPr>
      <xdr:spPr>
        <a:xfrm>
          <a:off x="20002500" y="20955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C46B39"/>
        </a:solidFill>
        <a:ln w="15875" cap="flat">
          <a:solidFill>
            <a:srgbClr val="C46B39"/>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接続元</a:t>
          </a:r>
          <a:endParaRPr lang="ja-JP" altLang="en-US" sz="950" dirty="0">
            <a:latin typeface="Meiryo UI"/>
            <a:ea typeface="Meiryo UI"/>
          </a:endParaRPr>
        </a:p>
        <a:p>
          <a:pPr algn="ctr">
            <a:lnSpc>
              <a:spcPct val="95000"/>
            </a:lnSpc>
            <a:spcBef>
              <a:spcPts val="50"/>
            </a:spcBef>
          </a:pPr>
          <a:r>
            <a:rPr lang="ja-JP" altLang="en-US" sz="750" b="0" dirty="0">
              <a:solidFill>
                <a:srgbClr val="FAE2D7"/>
              </a:solidFill>
              <a:latin typeface="Meiryo UI"/>
              <a:ea typeface="Meiryo UI"/>
              <a:cs typeface="Meiryo UI"/>
            </a:rPr>
            <a:t>強調ノード</a:t>
          </a:r>
          <a:endParaRPr lang="ja-JP" altLang="en-US" sz="750" dirty="0">
            <a:latin typeface="Meiryo UI"/>
            <a:ea typeface="Meiryo UI"/>
          </a:endParaRPr>
        </a:p>
      </xdr:txBody>
    </xdr:sp>
    <xdr:clientData/>
  </xdr:twoCellAnchor>
  <xdr:twoCellAnchor editAs="oneCell">
    <xdr:from>
      <xdr:col>105</xdr:col>
      <xdr:colOff>0</xdr:colOff>
      <xdr:row>16</xdr:row>
      <xdr:rowOff>0</xdr:rowOff>
    </xdr:from>
    <xdr:to>
      <xdr:col>109</xdr:col>
      <xdr:colOff>0</xdr:colOff>
      <xdr:row>20</xdr:row>
      <xdr:rowOff>0</xdr:rowOff>
    </xdr:to>
    <xdr:sp macro="" textlink="">
      <xdr:nvSpPr>
        <xdr:cNvPr id="102" name="ノード: 円柱・標準（ルートC）">
          <a:extLst>
            <a:ext uri="{FF2B5EF4-FFF2-40B4-BE49-F238E27FC236}">
              <a16:creationId xmlns:a16="http://schemas.microsoft.com/office/drawing/2014/main" id="{00000000-0008-0000-0200-000066000000}"/>
            </a:ext>
          </a:extLst>
        </xdr:cNvPr>
        <xdr:cNvSpPr/>
      </xdr:nvSpPr>
      <xdr:spPr>
        <a:xfrm>
          <a:off x="20002500" y="3048000"/>
          <a:ext cx="762000" cy="76200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FDECE4"/>
        </a:solidFill>
        <a:ln w="15875" cap="flat">
          <a:solidFill>
            <a:srgbClr val="C46B39"/>
          </a:solidFill>
          <a:round/>
        </a:ln>
      </xdr:spPr>
      <xdr:txBody>
        <a:bodyPr vertOverflow="overflow" horzOverflow="overflow" wrap="square" lIns="25400" tIns="76200" rIns="25400" bIns="25400" rtlCol="0" anchor="ctr">
          <a:noAutofit/>
        </a:bodyPr>
        <a:lstStyle/>
        <a:p>
          <a:pPr algn="ctr">
            <a:lnSpc>
              <a:spcPct val="95000"/>
            </a:lnSpc>
          </a:pPr>
          <a:r>
            <a:rPr lang="ja-JP" altLang="en-US" sz="850" b="1" dirty="0">
              <a:solidFill>
                <a:srgbClr val="262626"/>
              </a:solidFill>
              <a:latin typeface="Meiryo UI"/>
              <a:ea typeface="Meiryo UI"/>
              <a:cs typeface="Meiryo UI"/>
            </a:rPr>
            <a:t>DB</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ストレージ</a:t>
          </a:r>
          <a:endParaRPr lang="ja-JP" altLang="en-US" sz="700" dirty="0">
            <a:latin typeface="Meiryo UI"/>
            <a:ea typeface="Meiryo UI"/>
          </a:endParaRPr>
        </a:p>
      </xdr:txBody>
    </xdr:sp>
    <xdr:clientData/>
  </xdr:twoCellAnchor>
  <xdr:twoCellAnchor editAs="oneCell">
    <xdr:from>
      <xdr:col>109</xdr:col>
      <xdr:colOff>0</xdr:colOff>
      <xdr:row>16</xdr:row>
      <xdr:rowOff>0</xdr:rowOff>
    </xdr:from>
    <xdr:to>
      <xdr:col>113</xdr:col>
      <xdr:colOff>0</xdr:colOff>
      <xdr:row>20</xdr:row>
      <xdr:rowOff>0</xdr:rowOff>
    </xdr:to>
    <xdr:sp macro="" textlink="">
      <xdr:nvSpPr>
        <xdr:cNvPr id="103" name="ノード: 円・標準（ルートC）">
          <a:extLst>
            <a:ext uri="{FF2B5EF4-FFF2-40B4-BE49-F238E27FC236}">
              <a16:creationId xmlns:a16="http://schemas.microsoft.com/office/drawing/2014/main" id="{00000000-0008-0000-0200-000067000000}"/>
            </a:ext>
          </a:extLst>
        </xdr:cNvPr>
        <xdr:cNvSpPr/>
      </xdr:nvSpPr>
      <xdr:spPr>
        <a:xfrm>
          <a:off x="20764500" y="3048000"/>
          <a:ext cx="762000" cy="762000"/>
        </a:xfrm>
        <a:custGeom>
          <a:avLst/>
          <a:gdLst>
            <a:gd name="wr" fmla="*/ w 1 2"/>
            <a:gd name="hr" fmla="*/ h 1 2"/>
            <a:gd name="dx0" fmla="sin wr 18900000"/>
            <a:gd name="dy0" fmla="cos hr 18900000"/>
            <a:gd name="px0" fmla="+- hc dx0 0"/>
            <a:gd name="py0" fmla="+- vc 0 dy0"/>
            <a:gd name="dx1" fmla="sin wr 20250000"/>
            <a:gd name="dy1" fmla="cos hr 20250000"/>
            <a:gd name="px1" fmla="+- hc dx1 0"/>
            <a:gd name="py1" fmla="+- vc 0 dy1"/>
            <a:gd name="dx2" fmla="sin wr 0"/>
            <a:gd name="dy2" fmla="cos hr 0"/>
            <a:gd name="px2" fmla="+- hc dx2 0"/>
            <a:gd name="py2" fmla="+- vc 0 dy2"/>
            <a:gd name="dx3" fmla="sin wr 1350000"/>
            <a:gd name="dy3" fmla="cos hr 1350000"/>
            <a:gd name="px3" fmla="+- hc dx3 0"/>
            <a:gd name="py3" fmla="+- vc 0 dy3"/>
            <a:gd name="dx4" fmla="sin wr 2700000"/>
            <a:gd name="dy4" fmla="cos hr 2700000"/>
            <a:gd name="px4" fmla="+- hc dx4 0"/>
            <a:gd name="py4" fmla="+- vc 0 dy4"/>
            <a:gd name="dx5" fmla="sin wr 4050000"/>
            <a:gd name="dy5" fmla="cos hr 4050000"/>
            <a:gd name="px5" fmla="+- hc dx5 0"/>
            <a:gd name="py5" fmla="+- vc 0 dy5"/>
            <a:gd name="dx6" fmla="sin wr 5400000"/>
            <a:gd name="dy6" fmla="cos hr 5400000"/>
            <a:gd name="px6" fmla="+- hc dx6 0"/>
            <a:gd name="py6" fmla="+- vc 0 dy6"/>
            <a:gd name="dx7" fmla="sin wr 6750000"/>
            <a:gd name="dy7" fmla="cos hr 6750000"/>
            <a:gd name="px7" fmla="+- hc dx7 0"/>
            <a:gd name="py7" fmla="+- vc 0 dy7"/>
            <a:gd name="dx8" fmla="sin wr 8100000"/>
            <a:gd name="dy8" fmla="cos hr 8100000"/>
            <a:gd name="px8" fmla="+- hc dx8 0"/>
            <a:gd name="py8" fmla="+- vc 0 dy8"/>
            <a:gd name="dx9" fmla="sin wr 9450000"/>
            <a:gd name="dy9" fmla="cos hr 9450000"/>
            <a:gd name="px9" fmla="+- hc dx9 0"/>
            <a:gd name="py9" fmla="+- vc 0 dy9"/>
            <a:gd name="dx10" fmla="sin wr 10800000"/>
            <a:gd name="dy10" fmla="cos hr 10800000"/>
            <a:gd name="px10" fmla="+- hc dx10 0"/>
            <a:gd name="py10" fmla="+- vc 0 dy10"/>
            <a:gd name="dx11" fmla="sin wr 12150000"/>
            <a:gd name="dy11" fmla="cos hr 12150000"/>
            <a:gd name="px11" fmla="+- hc dx11 0"/>
            <a:gd name="py11" fmla="+- vc 0 dy11"/>
            <a:gd name="dx12" fmla="sin wr 13500000"/>
            <a:gd name="dy12" fmla="cos hr 13500000"/>
            <a:gd name="px12" fmla="+- hc dx12 0"/>
            <a:gd name="py12" fmla="+- vc 0 dy12"/>
            <a:gd name="dx13" fmla="sin wr 14850000"/>
            <a:gd name="dy13" fmla="cos hr 14850000"/>
            <a:gd name="px13" fmla="+- hc dx13 0"/>
            <a:gd name="py13" fmla="+- vc 0 dy13"/>
            <a:gd name="dx14" fmla="sin wr 16200000"/>
            <a:gd name="dy14" fmla="cos hr 16200000"/>
            <a:gd name="px14" fmla="+- hc dx14 0"/>
            <a:gd name="py14" fmla="+- vc 0 dy14"/>
            <a:gd name="dx15" fmla="sin wr 17550000"/>
            <a:gd name="dy15" fmla="cos hr 17550000"/>
            <a:gd name="px15" fmla="+- hc dx15 0"/>
            <a:gd name="py15" fmla="+- vc 0 dy15"/>
          </a:gdLst>
          <a:ahLst/>
          <a:cxnLst>
            <a:cxn ang="10800000">
              <a:pos x="px0" y="py0"/>
            </a:cxn>
            <a:cxn ang="16200000">
              <a:pos x="px1" y="py1"/>
            </a:cxn>
            <a:cxn ang="16200000">
              <a:pos x="px2" y="py2"/>
            </a:cxn>
            <a:cxn ang="16200000">
              <a:pos x="px3" y="py3"/>
            </a:cxn>
            <a:cxn ang="0">
              <a:pos x="px4" y="py4"/>
            </a:cxn>
            <a:cxn ang="0">
              <a:pos x="px5" y="py5"/>
            </a:cxn>
            <a:cxn ang="0">
              <a:pos x="px6" y="py6"/>
            </a:cxn>
            <a:cxn ang="0">
              <a:pos x="px7" y="py7"/>
            </a:cxn>
            <a:cxn ang="0">
              <a:pos x="px8" y="py8"/>
            </a:cxn>
            <a:cxn ang="5400000">
              <a:pos x="px9" y="py9"/>
            </a:cxn>
            <a:cxn ang="5400000">
              <a:pos x="px10" y="py10"/>
            </a:cxn>
            <a:cxn ang="5400000">
              <a:pos x="px11" y="py11"/>
            </a:cxn>
            <a:cxn ang="10800000">
              <a:pos x="px12" y="py12"/>
            </a:cxn>
            <a:cxn ang="10800000">
              <a:pos x="px13" y="py13"/>
            </a:cxn>
            <a:cxn ang="10800000">
              <a:pos x="px14" y="py14"/>
            </a:cxn>
            <a:cxn ang="10800000">
              <a:pos x="px15" y="py15"/>
            </a:cxn>
          </a:cxnLst>
          <a:rect l="l" t="t" r="r" b="b"/>
          <a:pathLst>
            <a:path>
              <a:moveTo>
                <a:pt x="l" y="vc"/>
              </a:moveTo>
              <a:arcTo wR="wr" hR="hr" stAng="10800000" swAng="21600000"/>
              <a:close/>
            </a:path>
          </a:pathLst>
        </a:custGeom>
        <a:solidFill>
          <a:srgbClr val="FDECE4"/>
        </a:solidFill>
        <a:ln w="15875" cap="flat">
          <a:solidFill>
            <a:srgbClr val="C46B39"/>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利用者</a:t>
          </a:r>
          <a:endParaRPr lang="ja-JP" altLang="en-US" sz="850" dirty="0">
            <a:latin typeface="Meiryo UI"/>
            <a:ea typeface="Meiryo UI"/>
          </a:endParaRPr>
        </a:p>
      </xdr:txBody>
    </xdr:sp>
    <xdr:clientData/>
  </xdr:twoCellAnchor>
  <xdr:twoCellAnchor editAs="oneCell">
    <xdr:from>
      <xdr:col>105</xdr:col>
      <xdr:colOff>0</xdr:colOff>
      <xdr:row>21</xdr:row>
      <xdr:rowOff>0</xdr:rowOff>
    </xdr:from>
    <xdr:to>
      <xdr:col>113</xdr:col>
      <xdr:colOff>0</xdr:colOff>
      <xdr:row>25</xdr:row>
      <xdr:rowOff>0</xdr:rowOff>
    </xdr:to>
    <xdr:sp macro="" textlink="">
      <xdr:nvSpPr>
        <xdr:cNvPr id="104" name="ノード: カプセル・標準（ルートC）">
          <a:extLst>
            <a:ext uri="{FF2B5EF4-FFF2-40B4-BE49-F238E27FC236}">
              <a16:creationId xmlns:a16="http://schemas.microsoft.com/office/drawing/2014/main" id="{00000000-0008-0000-0200-000068000000}"/>
            </a:ext>
          </a:extLst>
        </xdr:cNvPr>
        <xdr:cNvSpPr/>
      </xdr:nvSpPr>
      <xdr:spPr>
        <a:xfrm>
          <a:off x="20002500" y="4000500"/>
          <a:ext cx="1524000" cy="762000"/>
        </a:xfrm>
        <a:custGeom>
          <a:avLst/>
          <a:gdLst>
            <a:gd name="x1" fmla="*/ w 1 4"/>
            <a:gd name="x2" fmla="*/ w 1 2"/>
            <a:gd name="x3" fmla="*/ w 3 4"/>
            <a:gd name="y1" fmla="*/ h 1 4"/>
            <a:gd name="y2" fmla="*/ h 1 2"/>
            <a:gd name="y3" fmla="*/ h 3 4"/>
            <a:gd name="smin" fmla="min w h"/>
            <a:gd name="rr" fmla="*/ smin 1 2"/>
            <a:gd name="rx" fmla="+- r 0 rr"/>
            <a:gd name="k" fmla="*/ rr 13397 100000"/>
            <a:gd name="rk" fmla="+- r 0 k"/>
            <a:gd name="q45" fmla="*/ rr 29289 100000"/>
            <a:gd name="q45r" fmla="+- r 0 q45"/>
            <a:gd name="q45b" fmla="+- b 0 q45"/>
          </a:gdLst>
          <a:ahLst/>
          <a:cxnLst>
            <a:cxn ang="10800000">
              <a:pos x="q45" y="q45"/>
            </a:cxn>
            <a:cxn ang="16200000">
              <a:pos x="x1" y="t"/>
            </a:cxn>
            <a:cxn ang="16200000">
              <a:pos x="x2" y="t"/>
            </a:cxn>
            <a:cxn ang="16200000">
              <a:pos x="x3" y="t"/>
            </a:cxn>
            <a:cxn ang="0">
              <a:pos x="q45r" y="q45"/>
            </a:cxn>
            <a:cxn ang="0">
              <a:pos x="rk" y="y1"/>
            </a:cxn>
            <a:cxn ang="0">
              <a:pos x="r" y="y2"/>
            </a:cxn>
            <a:cxn ang="0">
              <a:pos x="rk" y="y3"/>
            </a:cxn>
            <a:cxn ang="0">
              <a:pos x="q45r" y="q45b"/>
            </a:cxn>
            <a:cxn ang="5400000">
              <a:pos x="x3" y="b"/>
            </a:cxn>
            <a:cxn ang="5400000">
              <a:pos x="x2" y="b"/>
            </a:cxn>
            <a:cxn ang="5400000">
              <a:pos x="x1" y="b"/>
            </a:cxn>
            <a:cxn ang="10800000">
              <a:pos x="q45" y="q45b"/>
            </a:cxn>
            <a:cxn ang="10800000">
              <a:pos x="k" y="y3"/>
            </a:cxn>
            <a:cxn ang="10800000">
              <a:pos x="l" y="y2"/>
            </a:cxn>
            <a:cxn ang="10800000">
              <a:pos x="k" y="y1"/>
            </a:cxn>
          </a:cxnLst>
          <a:rect l="l" t="t" r="r" b="b"/>
          <a:pathLst>
            <a:path>
              <a:moveTo>
                <a:pt x="rr" y="t"/>
              </a:moveTo>
              <a:lnTo>
                <a:pt x="rx" y="t"/>
              </a:lnTo>
              <a:arcTo wR="rr" hR="rr" stAng="16200000" swAng="10800000"/>
              <a:lnTo>
                <a:pt x="rr" y="b"/>
              </a:lnTo>
              <a:arcTo wR="rr" hR="rr" stAng="5400000" swAng="10800000"/>
              <a:close/>
            </a:path>
          </a:pathLst>
        </a:custGeom>
        <a:solidFill>
          <a:srgbClr val="FDECE4"/>
        </a:solidFill>
        <a:ln w="15875" cap="flat">
          <a:solidFill>
            <a:srgbClr val="C46B39"/>
          </a:solidFill>
          <a:round/>
        </a:ln>
      </xdr:spPr>
      <xdr:txBody>
        <a:bodyPr vertOverflow="overflow" horzOverflow="overflow" wrap="square" lIns="101600" tIns="12700" rIns="101600" bIns="12700" rtlCol="0" anchor="ctr">
          <a:noAutofit/>
        </a:bodyPr>
        <a:lstStyle/>
        <a:p>
          <a:pPr algn="ctr">
            <a:lnSpc>
              <a:spcPct val="95000"/>
            </a:lnSpc>
          </a:pPr>
          <a:r>
            <a:rPr lang="ja-JP" altLang="en-US" sz="950" b="1" dirty="0">
              <a:solidFill>
                <a:srgbClr val="262626"/>
              </a:solidFill>
              <a:latin typeface="Meiryo UI"/>
              <a:ea typeface="Meiryo UI"/>
              <a:cs typeface="Meiryo UI"/>
            </a:rPr>
            <a:t>API・キュー</a:t>
          </a:r>
          <a:endParaRPr lang="ja-JP" altLang="en-US" sz="950" dirty="0">
            <a:latin typeface="Meiryo UI"/>
            <a:ea typeface="Meiryo UI"/>
          </a:endParaRPr>
        </a:p>
      </xdr:txBody>
    </xdr:sp>
    <xdr:clientData/>
  </xdr:twoCellAnchor>
  <xdr:twoCellAnchor editAs="oneCell">
    <xdr:from>
      <xdr:col>105</xdr:col>
      <xdr:colOff>0</xdr:colOff>
      <xdr:row>27</xdr:row>
      <xdr:rowOff>0</xdr:rowOff>
    </xdr:from>
    <xdr:to>
      <xdr:col>113</xdr:col>
      <xdr:colOff>0</xdr:colOff>
      <xdr:row>27</xdr:row>
      <xdr:rowOff>0</xdr:rowOff>
    </xdr:to>
    <xdr:cxnSp macro="">
      <xdr:nvCxnSpPr>
        <xdr:cNvPr id="105" name="線: オンライン連携・直線（ルートC）">
          <a:extLst>
            <a:ext uri="{FF2B5EF4-FFF2-40B4-BE49-F238E27FC236}">
              <a16:creationId xmlns:a16="http://schemas.microsoft.com/office/drawing/2014/main" id="{00000000-0008-0000-0200-000069000000}"/>
            </a:ext>
          </a:extLst>
        </xdr:cNvPr>
        <xdr:cNvCxnSpPr/>
      </xdr:nvCxnSpPr>
      <xdr:spPr>
        <a:xfrm>
          <a:off x="20002500" y="5143500"/>
          <a:ext cx="1524000" cy="0"/>
        </a:xfrm>
        <a:prstGeom prst="straightConnector1">
          <a:avLst/>
        </a:prstGeom>
        <a:ln w="19050" cap="flat">
          <a:solidFill>
            <a:srgbClr val="C46B39"/>
          </a:solidFill>
          <a:round/>
          <a:tailEnd type="triangle" w="med" len="med"/>
        </a:ln>
      </xdr:spPr>
    </xdr:cxnSp>
    <xdr:clientData/>
  </xdr:twoCellAnchor>
  <xdr:twoCellAnchor editAs="oneCell">
    <xdr:from>
      <xdr:col>105</xdr:col>
      <xdr:colOff>0</xdr:colOff>
      <xdr:row>28</xdr:row>
      <xdr:rowOff>0</xdr:rowOff>
    </xdr:from>
    <xdr:to>
      <xdr:col>113</xdr:col>
      <xdr:colOff>0</xdr:colOff>
      <xdr:row>28</xdr:row>
      <xdr:rowOff>0</xdr:rowOff>
    </xdr:to>
    <xdr:cxnSp macro="">
      <xdr:nvCxnSpPr>
        <xdr:cNvPr id="106" name="線: バッチ・ファイル・直線（ルートC）">
          <a:extLst>
            <a:ext uri="{FF2B5EF4-FFF2-40B4-BE49-F238E27FC236}">
              <a16:creationId xmlns:a16="http://schemas.microsoft.com/office/drawing/2014/main" id="{00000000-0008-0000-0200-00006A000000}"/>
            </a:ext>
          </a:extLst>
        </xdr:cNvPr>
        <xdr:cNvCxnSpPr/>
      </xdr:nvCxnSpPr>
      <xdr:spPr>
        <a:xfrm>
          <a:off x="20002500" y="5334000"/>
          <a:ext cx="1524000" cy="0"/>
        </a:xfrm>
        <a:prstGeom prst="straightConnector1">
          <a:avLst/>
        </a:prstGeom>
        <a:ln w="19050" cap="flat">
          <a:solidFill>
            <a:srgbClr val="C46B39"/>
          </a:solidFill>
          <a:prstDash val="dash"/>
          <a:round/>
          <a:tailEnd type="triangle" w="med" len="med"/>
        </a:ln>
      </xdr:spPr>
    </xdr:cxnSp>
    <xdr:clientData/>
  </xdr:twoCellAnchor>
  <xdr:twoCellAnchor editAs="oneCell">
    <xdr:from>
      <xdr:col>105</xdr:col>
      <xdr:colOff>0</xdr:colOff>
      <xdr:row>29</xdr:row>
      <xdr:rowOff>0</xdr:rowOff>
    </xdr:from>
    <xdr:to>
      <xdr:col>113</xdr:col>
      <xdr:colOff>0</xdr:colOff>
      <xdr:row>29</xdr:row>
      <xdr:rowOff>0</xdr:rowOff>
    </xdr:to>
    <xdr:cxnSp macro="">
      <xdr:nvCxnSpPr>
        <xdr:cNvPr id="107" name="線: 監視・運用・直線（ルートC）">
          <a:extLst>
            <a:ext uri="{FF2B5EF4-FFF2-40B4-BE49-F238E27FC236}">
              <a16:creationId xmlns:a16="http://schemas.microsoft.com/office/drawing/2014/main" id="{00000000-0008-0000-0200-00006B000000}"/>
            </a:ext>
          </a:extLst>
        </xdr:cNvPr>
        <xdr:cNvCxnSpPr/>
      </xdr:nvCxnSpPr>
      <xdr:spPr>
        <a:xfrm>
          <a:off x="20002500" y="5524500"/>
          <a:ext cx="1524000" cy="0"/>
        </a:xfrm>
        <a:prstGeom prst="straightConnector1">
          <a:avLst/>
        </a:prstGeom>
        <a:ln w="12700" cap="flat">
          <a:solidFill>
            <a:srgbClr val="C46B39"/>
          </a:solidFill>
          <a:prstDash val="sysDot"/>
          <a:round/>
          <a:tailEnd type="triangle" w="med" len="med"/>
        </a:ln>
      </xdr:spPr>
    </xdr:cxnSp>
    <xdr:clientData/>
  </xdr:twoCellAnchor>
  <xdr:twoCellAnchor editAs="oneCell">
    <xdr:from>
      <xdr:col>105</xdr:col>
      <xdr:colOff>0</xdr:colOff>
      <xdr:row>30</xdr:row>
      <xdr:rowOff>0</xdr:rowOff>
    </xdr:from>
    <xdr:to>
      <xdr:col>113</xdr:col>
      <xdr:colOff>0</xdr:colOff>
      <xdr:row>32</xdr:row>
      <xdr:rowOff>0</xdr:rowOff>
    </xdr:to>
    <xdr:cxnSp macro="">
      <xdr:nvCxnSpPr>
        <xdr:cNvPr id="108" name="線: オンライン連携・カギ線（ルートC）">
          <a:extLst>
            <a:ext uri="{FF2B5EF4-FFF2-40B4-BE49-F238E27FC236}">
              <a16:creationId xmlns:a16="http://schemas.microsoft.com/office/drawing/2014/main" id="{00000000-0008-0000-0200-00006C000000}"/>
            </a:ext>
          </a:extLst>
        </xdr:cNvPr>
        <xdr:cNvCxnSpPr/>
      </xdr:nvCxnSpPr>
      <xdr:spPr>
        <a:xfrm>
          <a:off x="20002500" y="5715000"/>
          <a:ext cx="1524000" cy="381000"/>
        </a:xfrm>
        <a:prstGeom prst="bentConnector3">
          <a:avLst/>
        </a:prstGeom>
        <a:ln w="19050" cap="flat">
          <a:solidFill>
            <a:srgbClr val="C46B39"/>
          </a:solidFill>
          <a:round/>
          <a:tailEnd type="triangle" w="med" len="med"/>
        </a:ln>
      </xdr:spPr>
    </xdr:cxnSp>
    <xdr:clientData/>
  </xdr:twoCellAnchor>
  <xdr:twoCellAnchor editAs="oneCell">
    <xdr:from>
      <xdr:col>105</xdr:col>
      <xdr:colOff>0</xdr:colOff>
      <xdr:row>34</xdr:row>
      <xdr:rowOff>0</xdr:rowOff>
    </xdr:from>
    <xdr:to>
      <xdr:col>113</xdr:col>
      <xdr:colOff>0</xdr:colOff>
      <xdr:row>38</xdr:row>
      <xdr:rowOff>0</xdr:rowOff>
    </xdr:to>
    <xdr:grpSp>
      <xdr:nvGrpSpPr>
        <xdr:cNvPr id="111" name="コメント: ポイント（ルートC）">
          <a:extLst>
            <a:ext uri="{FF2B5EF4-FFF2-40B4-BE49-F238E27FC236}">
              <a16:creationId xmlns:a16="http://schemas.microsoft.com/office/drawing/2014/main" id="{00000000-0008-0000-0200-00006F000000}"/>
            </a:ext>
          </a:extLst>
        </xdr:cNvPr>
        <xdr:cNvGrpSpPr/>
      </xdr:nvGrpSpPr>
      <xdr:grpSpPr>
        <a:xfrm>
          <a:off x="20002500" y="6477000"/>
          <a:ext cx="1524000" cy="762000"/>
          <a:chOff x="20002500" y="6477000"/>
          <a:chExt cx="1524000" cy="762000"/>
        </a:xfrm>
      </xdr:grpSpPr>
      <xdr:sp macro="" textlink="">
        <xdr:nvSpPr>
          <xdr:cNvPr id="109" name="本文">
            <a:extLst>
              <a:ext uri="{FF2B5EF4-FFF2-40B4-BE49-F238E27FC236}">
                <a16:creationId xmlns:a16="http://schemas.microsoft.com/office/drawing/2014/main" id="{00000000-0008-0000-0200-00006D000000}"/>
              </a:ext>
            </a:extLst>
          </xdr:cNvPr>
          <xdr:cNvSpPr/>
        </xdr:nvSpPr>
        <xdr:spPr>
          <a:xfrm>
            <a:off x="20002500" y="6477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EF6F2"/>
          </a:solidFill>
          <a:ln w="9525" cap="flat">
            <a:solidFill>
              <a:srgbClr val="EEC8B5"/>
            </a:solidFill>
            <a:round/>
          </a:ln>
        </xdr:spPr>
        <xdr:txBody>
          <a:bodyPr vertOverflow="overflow" horzOverflow="overflow" wrap="square" lIns="76200" tIns="228600" rIns="76200" bIns="38100" rtlCol="0" anchor="t">
            <a:noAutofit/>
          </a:bodyPr>
          <a:lstStyle/>
          <a:p>
            <a:pPr algn="l">
              <a:lnSpc>
                <a:spcPct val="100000"/>
              </a:lnSpc>
            </a:pPr>
            <a:r>
              <a:rPr lang="ja-JP" altLang="en-US" sz="800" b="0" dirty="0">
                <a:solidFill>
                  <a:srgbClr val="404040"/>
                </a:solidFill>
                <a:latin typeface="Meiryo UI"/>
                <a:ea typeface="Meiryo UI"/>
                <a:cs typeface="Meiryo UI"/>
              </a:rPr>
              <a:t>ポイントを記入</a:t>
            </a:r>
            <a:endParaRPr lang="ja-JP" altLang="en-US" sz="800" dirty="0">
              <a:latin typeface="Meiryo UI"/>
              <a:ea typeface="Meiryo UI"/>
            </a:endParaRPr>
          </a:p>
        </xdr:txBody>
      </xdr:sp>
      <xdr:sp macro="" textlink="">
        <xdr:nvSpPr>
          <xdr:cNvPr id="110" name="見出し">
            <a:extLst>
              <a:ext uri="{FF2B5EF4-FFF2-40B4-BE49-F238E27FC236}">
                <a16:creationId xmlns:a16="http://schemas.microsoft.com/office/drawing/2014/main" id="{00000000-0008-0000-0200-00006E000000}"/>
              </a:ext>
            </a:extLst>
          </xdr:cNvPr>
          <xdr:cNvSpPr/>
        </xdr:nvSpPr>
        <xdr:spPr>
          <a:xfrm>
            <a:off x="20002500" y="6477000"/>
            <a:ext cx="1524000" cy="190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C46B39"/>
          </a:solidFill>
          <a:ln w="9525" cap="flat">
            <a:solidFill>
              <a:srgbClr val="C46B39"/>
            </a:solidFill>
            <a:round/>
          </a:ln>
        </xdr:spPr>
        <xdr:txBody>
          <a:bodyPr vertOverflow="overflow" horzOverflow="overflow" wrap="none" lIns="76200" tIns="0" rIns="76200" bIns="0" rtlCol="0" anchor="ctr">
            <a:noAutofit/>
          </a:bodyPr>
          <a:lstStyle/>
          <a:p>
            <a:pPr algn="l"/>
            <a:r>
              <a:rPr lang="ja-JP" altLang="en-US" sz="750" b="1" dirty="0">
                <a:solidFill>
                  <a:srgbClr val="FFFFFF"/>
                </a:solidFill>
                <a:latin typeface="Meiryo UI"/>
                <a:ea typeface="Meiryo UI"/>
                <a:cs typeface="Meiryo UI"/>
              </a:rPr>
              <a:t>POINT</a:t>
            </a:r>
            <a:endParaRPr lang="ja-JP" altLang="en-US" sz="800" dirty="0">
              <a:latin typeface="Meiryo UI"/>
              <a:ea typeface="Meiryo UI"/>
            </a:endParaRPr>
          </a:p>
        </xdr:txBody>
      </xdr:sp>
    </xdr:grpSp>
    <xdr:clientData/>
  </xdr:twoCellAnchor>
  <xdr:twoCellAnchor editAs="oneCell">
    <xdr:from>
      <xdr:col>105</xdr:col>
      <xdr:colOff>0</xdr:colOff>
      <xdr:row>39</xdr:row>
      <xdr:rowOff>0</xdr:rowOff>
    </xdr:from>
    <xdr:to>
      <xdr:col>113</xdr:col>
      <xdr:colOff>0</xdr:colOff>
      <xdr:row>42</xdr:row>
      <xdr:rowOff>0</xdr:rowOff>
    </xdr:to>
    <xdr:grpSp>
      <xdr:nvGrpSpPr>
        <xdr:cNvPr id="114" name="コメント: 付記（ルートC）">
          <a:extLst>
            <a:ext uri="{FF2B5EF4-FFF2-40B4-BE49-F238E27FC236}">
              <a16:creationId xmlns:a16="http://schemas.microsoft.com/office/drawing/2014/main" id="{00000000-0008-0000-0200-000072000000}"/>
            </a:ext>
          </a:extLst>
        </xdr:cNvPr>
        <xdr:cNvGrpSpPr/>
      </xdr:nvGrpSpPr>
      <xdr:grpSpPr>
        <a:xfrm>
          <a:off x="20002500" y="7429500"/>
          <a:ext cx="1524000" cy="571500"/>
          <a:chOff x="20002500" y="7429500"/>
          <a:chExt cx="1524000" cy="571500"/>
        </a:xfrm>
      </xdr:grpSpPr>
      <xdr:sp macro="" textlink="">
        <xdr:nvSpPr>
          <xdr:cNvPr id="112" name="本文">
            <a:extLst>
              <a:ext uri="{FF2B5EF4-FFF2-40B4-BE49-F238E27FC236}">
                <a16:creationId xmlns:a16="http://schemas.microsoft.com/office/drawing/2014/main" id="{00000000-0008-0000-0200-000070000000}"/>
              </a:ext>
            </a:extLst>
          </xdr:cNvPr>
          <xdr:cNvSpPr/>
        </xdr:nvSpPr>
        <xdr:spPr>
          <a:xfrm>
            <a:off x="20002500" y="7429500"/>
            <a:ext cx="1524000" cy="571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EF6F2"/>
          </a:solidFill>
          <a:ln>
            <a:noFill/>
          </a:ln>
        </xdr:spPr>
        <xdr:txBody>
          <a:bodyPr vertOverflow="overflow" horzOverflow="overflow" wrap="square" lIns="114300" tIns="50800" rIns="76200" bIns="38100" rtlCol="0" anchor="t">
            <a:noAutofit/>
          </a:bodyPr>
          <a:lstStyle/>
          <a:p>
            <a:pPr algn="l"/>
            <a:r>
              <a:rPr lang="ja-JP" altLang="en-US" sz="800" b="1" dirty="0">
                <a:solidFill>
                  <a:srgbClr val="954717"/>
                </a:solidFill>
                <a:latin typeface="Meiryo UI"/>
                <a:ea typeface="Meiryo UI"/>
                <a:cs typeface="Meiryo UI"/>
              </a:rPr>
              <a:t>付記</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補足を記入</a:t>
            </a:r>
            <a:endParaRPr lang="ja-JP" altLang="en-US" sz="800" dirty="0">
              <a:latin typeface="Meiryo UI"/>
              <a:ea typeface="Meiryo UI"/>
            </a:endParaRPr>
          </a:p>
        </xdr:txBody>
      </xdr:sp>
      <xdr:sp macro="" textlink="">
        <xdr:nvSpPr>
          <xdr:cNvPr id="113" name="左ライン">
            <a:extLst>
              <a:ext uri="{FF2B5EF4-FFF2-40B4-BE49-F238E27FC236}">
                <a16:creationId xmlns:a16="http://schemas.microsoft.com/office/drawing/2014/main" id="{00000000-0008-0000-0200-000071000000}"/>
              </a:ext>
            </a:extLst>
          </xdr:cNvPr>
          <xdr:cNvSpPr/>
        </xdr:nvSpPr>
        <xdr:spPr>
          <a:xfrm>
            <a:off x="20002500" y="7429500"/>
            <a:ext cx="38100" cy="571500"/>
          </a:xfrm>
          <a:prstGeom prst="rect">
            <a:avLst/>
          </a:prstGeom>
          <a:solidFill>
            <a:srgbClr val="C46B39"/>
          </a:solidFill>
          <a:ln>
            <a:noFill/>
          </a:ln>
        </xdr:spPr>
        <xdr:txBody>
          <a:bodyPr vertOverflow="overflow" horzOverflow="overflow" wrap="square" lIns="38100" tIns="19050" rIns="38100" bIns="19050" rtlCol="0" anchor="ctr">
            <a:noAutofit/>
          </a:bodyPr>
          <a:lstStyle/>
          <a:p>
            <a:pPr algn="l"/>
            <a:endParaRPr lang="ja-JP" altLang="en-US" sz="600" dirty="0">
              <a:latin typeface="Meiryo UI"/>
              <a:ea typeface="Meiryo UI"/>
            </a:endParaRPr>
          </a:p>
        </xdr:txBody>
      </xdr:sp>
    </xdr:grpSp>
    <xdr:clientData/>
  </xdr:twoCellAnchor>
  <xdr:twoCellAnchor editAs="oneCell">
    <xdr:from>
      <xdr:col>105</xdr:col>
      <xdr:colOff>0</xdr:colOff>
      <xdr:row>43</xdr:row>
      <xdr:rowOff>0</xdr:rowOff>
    </xdr:from>
    <xdr:to>
      <xdr:col>113</xdr:col>
      <xdr:colOff>0</xdr:colOff>
      <xdr:row>45</xdr:row>
      <xdr:rowOff>0</xdr:rowOff>
    </xdr:to>
    <xdr:sp macro="" textlink="">
      <xdr:nvSpPr>
        <xdr:cNvPr id="115" name="コメント: 吹き出し（ルートC）">
          <a:extLst>
            <a:ext uri="{FF2B5EF4-FFF2-40B4-BE49-F238E27FC236}">
              <a16:creationId xmlns:a16="http://schemas.microsoft.com/office/drawing/2014/main" id="{00000000-0008-0000-0200-000073000000}"/>
            </a:ext>
          </a:extLst>
        </xdr:cNvPr>
        <xdr:cNvSpPr/>
      </xdr:nvSpPr>
      <xdr:spPr>
        <a:xfrm>
          <a:off x="20002500" y="8191500"/>
          <a:ext cx="1524000" cy="381000"/>
        </a:xfrm>
        <a:prstGeom prst="wedgeRoundRectCallout">
          <a:avLst>
            <a:gd name="adj1" fmla="val -30000"/>
            <a:gd name="adj2" fmla="val 95000"/>
            <a:gd name="adj3" fmla="val 16667"/>
          </a:avLst>
        </a:prstGeom>
        <a:solidFill>
          <a:srgbClr val="FFFFFF"/>
        </a:solidFill>
        <a:ln w="12700" cap="flat">
          <a:solidFill>
            <a:srgbClr val="C46B39"/>
          </a:solidFill>
          <a:round/>
        </a:ln>
      </xdr:spPr>
      <xdr:txBody>
        <a:bodyPr vertOverflow="overflow" horzOverflow="overflow" wrap="square" lIns="63500" tIns="25400" rIns="63500" bIns="25400" rtlCol="0" anchor="ctr">
          <a:noAutofit/>
        </a:bodyPr>
        <a:lstStyle/>
        <a:p>
          <a:pPr algn="l"/>
          <a:r>
            <a:rPr lang="ja-JP" altLang="en-US" sz="800" b="0" dirty="0">
              <a:solidFill>
                <a:srgbClr val="404040"/>
              </a:solidFill>
              <a:latin typeface="Meiryo UI"/>
              <a:ea typeface="Meiryo UI"/>
              <a:cs typeface="Meiryo UI"/>
            </a:rPr>
            <a:t>指摘・補足</a:t>
          </a:r>
          <a:endParaRPr lang="ja-JP" altLang="en-US" sz="800" dirty="0">
            <a:latin typeface="Meiryo UI"/>
            <a:ea typeface="Meiryo UI"/>
          </a:endParaRPr>
        </a:p>
      </xdr:txBody>
    </xdr:sp>
    <xdr:clientData/>
  </xdr:twoCellAnchor>
  <xdr:twoCellAnchor editAs="oneCell">
    <xdr:from>
      <xdr:col>105</xdr:col>
      <xdr:colOff>0</xdr:colOff>
      <xdr:row>47</xdr:row>
      <xdr:rowOff>0</xdr:rowOff>
    </xdr:from>
    <xdr:to>
      <xdr:col>107</xdr:col>
      <xdr:colOff>0</xdr:colOff>
      <xdr:row>48</xdr:row>
      <xdr:rowOff>0</xdr:rowOff>
    </xdr:to>
    <xdr:sp macro="" textlink="">
      <xdr:nvSpPr>
        <xdr:cNvPr id="116" name="番号: C1（ルートC）">
          <a:extLst>
            <a:ext uri="{FF2B5EF4-FFF2-40B4-BE49-F238E27FC236}">
              <a16:creationId xmlns:a16="http://schemas.microsoft.com/office/drawing/2014/main" id="{00000000-0008-0000-0200-000074000000}"/>
            </a:ext>
          </a:extLst>
        </xdr:cNvPr>
        <xdr:cNvSpPr/>
      </xdr:nvSpPr>
      <xdr:spPr>
        <a:xfrm>
          <a:off x="20002500" y="8953500"/>
          <a:ext cx="381000" cy="190500"/>
        </a:xfrm>
        <a:prstGeom prst="roundRect">
          <a:avLst>
            <a:gd name="adj" fmla="val 50000"/>
          </a:avLst>
        </a:prstGeom>
        <a:solidFill>
          <a:srgbClr val="C46B39"/>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C1</a:t>
          </a:r>
          <a:endParaRPr lang="ja-JP" altLang="en-US" sz="750" dirty="0">
            <a:latin typeface="Meiryo UI"/>
            <a:ea typeface="Meiryo UI"/>
          </a:endParaRPr>
        </a:p>
      </xdr:txBody>
    </xdr:sp>
    <xdr:clientData/>
  </xdr:twoCellAnchor>
  <xdr:twoCellAnchor editAs="oneCell">
    <xdr:from>
      <xdr:col>108</xdr:col>
      <xdr:colOff>0</xdr:colOff>
      <xdr:row>47</xdr:row>
      <xdr:rowOff>0</xdr:rowOff>
    </xdr:from>
    <xdr:to>
      <xdr:col>110</xdr:col>
      <xdr:colOff>0</xdr:colOff>
      <xdr:row>48</xdr:row>
      <xdr:rowOff>0</xdr:rowOff>
    </xdr:to>
    <xdr:sp macro="" textlink="">
      <xdr:nvSpPr>
        <xdr:cNvPr id="117" name="番号: C2（ルートC）">
          <a:extLst>
            <a:ext uri="{FF2B5EF4-FFF2-40B4-BE49-F238E27FC236}">
              <a16:creationId xmlns:a16="http://schemas.microsoft.com/office/drawing/2014/main" id="{00000000-0008-0000-0200-000075000000}"/>
            </a:ext>
          </a:extLst>
        </xdr:cNvPr>
        <xdr:cNvSpPr/>
      </xdr:nvSpPr>
      <xdr:spPr>
        <a:xfrm>
          <a:off x="20574000" y="8953500"/>
          <a:ext cx="381000" cy="190500"/>
        </a:xfrm>
        <a:prstGeom prst="roundRect">
          <a:avLst>
            <a:gd name="adj" fmla="val 50000"/>
          </a:avLst>
        </a:prstGeom>
        <a:solidFill>
          <a:srgbClr val="C46B39"/>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C2</a:t>
          </a:r>
          <a:endParaRPr lang="ja-JP" altLang="en-US" sz="750" dirty="0">
            <a:latin typeface="Meiryo UI"/>
            <a:ea typeface="Meiryo UI"/>
          </a:endParaRPr>
        </a:p>
      </xdr:txBody>
    </xdr:sp>
    <xdr:clientData/>
  </xdr:twoCellAnchor>
  <xdr:twoCellAnchor editAs="oneCell">
    <xdr:from>
      <xdr:col>105</xdr:col>
      <xdr:colOff>0</xdr:colOff>
      <xdr:row>49</xdr:row>
      <xdr:rowOff>0</xdr:rowOff>
    </xdr:from>
    <xdr:to>
      <xdr:col>113</xdr:col>
      <xdr:colOff>0</xdr:colOff>
      <xdr:row>50</xdr:row>
      <xdr:rowOff>0</xdr:rowOff>
    </xdr:to>
    <xdr:sp macro="" textlink="">
      <xdr:nvSpPr>
        <xdr:cNvPr id="118" name="線ラベル（ルートC）">
          <a:extLst>
            <a:ext uri="{FF2B5EF4-FFF2-40B4-BE49-F238E27FC236}">
              <a16:creationId xmlns:a16="http://schemas.microsoft.com/office/drawing/2014/main" id="{00000000-0008-0000-0200-000076000000}"/>
            </a:ext>
          </a:extLst>
        </xdr:cNvPr>
        <xdr:cNvSpPr/>
      </xdr:nvSpPr>
      <xdr:spPr>
        <a:xfrm>
          <a:off x="20002500" y="9334500"/>
          <a:ext cx="1524000" cy="190500"/>
        </a:xfrm>
        <a:prstGeom prst="roundRect">
          <a:avLst>
            <a:gd name="adj" fmla="val 50000"/>
          </a:avLst>
        </a:prstGeom>
        <a:solidFill>
          <a:srgbClr val="FFFFFF"/>
        </a:solidFill>
        <a:ln w="9525" cap="flat">
          <a:solidFill>
            <a:srgbClr val="C46B39"/>
          </a:solidFill>
          <a:round/>
        </a:ln>
      </xdr:spPr>
      <xdr:txBody>
        <a:bodyPr vertOverflow="overflow" horzOverflow="overflow" wrap="none" lIns="25400" tIns="0" rIns="25400" bIns="0" rtlCol="0" anchor="ctr">
          <a:noAutofit/>
        </a:bodyPr>
        <a:lstStyle/>
        <a:p>
          <a:pPr algn="ctr"/>
          <a:r>
            <a:rPr lang="ja-JP" altLang="en-US" sz="750" b="0" dirty="0">
              <a:solidFill>
                <a:srgbClr val="954717"/>
              </a:solidFill>
              <a:latin typeface="Meiryo UI"/>
              <a:ea typeface="Meiryo UI"/>
              <a:cs typeface="Meiryo UI"/>
            </a:rPr>
            <a:t>HTTPS（REST）</a:t>
          </a:r>
          <a:endParaRPr lang="ja-JP" altLang="en-US" sz="750" dirty="0">
            <a:latin typeface="Meiryo UI"/>
            <a:ea typeface="Meiryo UI"/>
          </a:endParaRPr>
        </a:p>
      </xdr:txBody>
    </xdr:sp>
    <xdr:clientData/>
  </xdr:twoCellAnchor>
  <xdr:twoCellAnchor editAs="oneCell">
    <xdr:from>
      <xdr:col>114</xdr:col>
      <xdr:colOff>0</xdr:colOff>
      <xdr:row>6</xdr:row>
      <xdr:rowOff>0</xdr:rowOff>
    </xdr:from>
    <xdr:to>
      <xdr:col>122</xdr:col>
      <xdr:colOff>0</xdr:colOff>
      <xdr:row>10</xdr:row>
      <xdr:rowOff>0</xdr:rowOff>
    </xdr:to>
    <xdr:sp macro="" textlink="">
      <xdr:nvSpPr>
        <xdr:cNvPr id="119" name="ノード: 角丸・標準（ルートD）">
          <a:extLst>
            <a:ext uri="{FF2B5EF4-FFF2-40B4-BE49-F238E27FC236}">
              <a16:creationId xmlns:a16="http://schemas.microsoft.com/office/drawing/2014/main" id="{DD4D5BDF-C36B-4D0A-9A02-46B78B31BB4E}"/>
            </a:ext>
          </a:extLst>
        </xdr:cNvPr>
        <xdr:cNvSpPr/>
      </xdr:nvSpPr>
      <xdr:spPr>
        <a:xfrm>
          <a:off x="21717000" y="1143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5EEFC"/>
        </a:solidFill>
        <a:ln w="15875" cap="flat">
          <a:solidFill>
            <a:srgbClr val="876BA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114</xdr:col>
      <xdr:colOff>0</xdr:colOff>
      <xdr:row>11</xdr:row>
      <xdr:rowOff>0</xdr:rowOff>
    </xdr:from>
    <xdr:to>
      <xdr:col>122</xdr:col>
      <xdr:colOff>0</xdr:colOff>
      <xdr:row>15</xdr:row>
      <xdr:rowOff>0</xdr:rowOff>
    </xdr:to>
    <xdr:sp macro="" textlink="">
      <xdr:nvSpPr>
        <xdr:cNvPr id="120" name="ノード: 角丸・強調（ルートD）">
          <a:extLst>
            <a:ext uri="{FF2B5EF4-FFF2-40B4-BE49-F238E27FC236}">
              <a16:creationId xmlns:a16="http://schemas.microsoft.com/office/drawing/2014/main" id="{256222F0-1705-4178-9AED-7D2552647B38}"/>
            </a:ext>
          </a:extLst>
        </xdr:cNvPr>
        <xdr:cNvSpPr/>
      </xdr:nvSpPr>
      <xdr:spPr>
        <a:xfrm>
          <a:off x="21717000" y="20955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876BA6"/>
        </a:solidFill>
        <a:ln w="15875" cap="flat">
          <a:solidFill>
            <a:srgbClr val="876BA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接続元</a:t>
          </a:r>
          <a:endParaRPr lang="ja-JP" altLang="en-US" sz="950" dirty="0">
            <a:latin typeface="Meiryo UI"/>
            <a:ea typeface="Meiryo UI"/>
          </a:endParaRPr>
        </a:p>
        <a:p>
          <a:pPr algn="ctr">
            <a:lnSpc>
              <a:spcPct val="95000"/>
            </a:lnSpc>
            <a:spcBef>
              <a:spcPts val="50"/>
            </a:spcBef>
          </a:pPr>
          <a:r>
            <a:rPr lang="ja-JP" altLang="en-US" sz="750" b="0" dirty="0">
              <a:solidFill>
                <a:srgbClr val="EEE4F8"/>
              </a:solidFill>
              <a:latin typeface="Meiryo UI"/>
              <a:ea typeface="Meiryo UI"/>
              <a:cs typeface="Meiryo UI"/>
            </a:rPr>
            <a:t>強調ノード</a:t>
          </a:r>
          <a:endParaRPr lang="ja-JP" altLang="en-US" sz="750" dirty="0">
            <a:latin typeface="Meiryo UI"/>
            <a:ea typeface="Meiryo UI"/>
          </a:endParaRPr>
        </a:p>
      </xdr:txBody>
    </xdr:sp>
    <xdr:clientData/>
  </xdr:twoCellAnchor>
  <xdr:twoCellAnchor editAs="oneCell">
    <xdr:from>
      <xdr:col>114</xdr:col>
      <xdr:colOff>0</xdr:colOff>
      <xdr:row>16</xdr:row>
      <xdr:rowOff>0</xdr:rowOff>
    </xdr:from>
    <xdr:to>
      <xdr:col>118</xdr:col>
      <xdr:colOff>0</xdr:colOff>
      <xdr:row>20</xdr:row>
      <xdr:rowOff>0</xdr:rowOff>
    </xdr:to>
    <xdr:sp macro="" textlink="">
      <xdr:nvSpPr>
        <xdr:cNvPr id="121" name="ノード: 円柱・標準（ルートD）">
          <a:extLst>
            <a:ext uri="{FF2B5EF4-FFF2-40B4-BE49-F238E27FC236}">
              <a16:creationId xmlns:a16="http://schemas.microsoft.com/office/drawing/2014/main" id="{19D836BB-B785-4864-B28C-1A451F215914}"/>
            </a:ext>
          </a:extLst>
        </xdr:cNvPr>
        <xdr:cNvSpPr/>
      </xdr:nvSpPr>
      <xdr:spPr>
        <a:xfrm>
          <a:off x="21717000" y="3048000"/>
          <a:ext cx="762000" cy="76200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F5EEFC"/>
        </a:solidFill>
        <a:ln w="15875" cap="flat">
          <a:solidFill>
            <a:srgbClr val="876BA6"/>
          </a:solidFill>
          <a:round/>
        </a:ln>
      </xdr:spPr>
      <xdr:txBody>
        <a:bodyPr vertOverflow="overflow" horzOverflow="overflow" wrap="square" lIns="25400" tIns="76200" rIns="25400" bIns="25400" rtlCol="0" anchor="ctr">
          <a:noAutofit/>
        </a:bodyPr>
        <a:lstStyle/>
        <a:p>
          <a:pPr algn="ctr">
            <a:lnSpc>
              <a:spcPct val="95000"/>
            </a:lnSpc>
          </a:pPr>
          <a:r>
            <a:rPr lang="ja-JP" altLang="en-US" sz="850" b="1" dirty="0">
              <a:solidFill>
                <a:srgbClr val="262626"/>
              </a:solidFill>
              <a:latin typeface="Meiryo UI"/>
              <a:ea typeface="Meiryo UI"/>
              <a:cs typeface="Meiryo UI"/>
            </a:rPr>
            <a:t>DB</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ストレージ</a:t>
          </a:r>
          <a:endParaRPr lang="ja-JP" altLang="en-US" sz="700" dirty="0">
            <a:latin typeface="Meiryo UI"/>
            <a:ea typeface="Meiryo UI"/>
          </a:endParaRPr>
        </a:p>
      </xdr:txBody>
    </xdr:sp>
    <xdr:clientData/>
  </xdr:twoCellAnchor>
  <xdr:twoCellAnchor editAs="oneCell">
    <xdr:from>
      <xdr:col>118</xdr:col>
      <xdr:colOff>0</xdr:colOff>
      <xdr:row>16</xdr:row>
      <xdr:rowOff>0</xdr:rowOff>
    </xdr:from>
    <xdr:to>
      <xdr:col>122</xdr:col>
      <xdr:colOff>0</xdr:colOff>
      <xdr:row>20</xdr:row>
      <xdr:rowOff>0</xdr:rowOff>
    </xdr:to>
    <xdr:sp macro="" textlink="">
      <xdr:nvSpPr>
        <xdr:cNvPr id="122" name="ノード: 円・標準（ルートD）">
          <a:extLst>
            <a:ext uri="{FF2B5EF4-FFF2-40B4-BE49-F238E27FC236}">
              <a16:creationId xmlns:a16="http://schemas.microsoft.com/office/drawing/2014/main" id="{87CF681F-A6BD-4B19-A6BA-9B315CC908CC}"/>
            </a:ext>
          </a:extLst>
        </xdr:cNvPr>
        <xdr:cNvSpPr/>
      </xdr:nvSpPr>
      <xdr:spPr>
        <a:xfrm>
          <a:off x="22479000" y="3048000"/>
          <a:ext cx="762000" cy="762000"/>
        </a:xfrm>
        <a:custGeom>
          <a:avLst/>
          <a:gdLst>
            <a:gd name="wr" fmla="*/ w 1 2"/>
            <a:gd name="hr" fmla="*/ h 1 2"/>
            <a:gd name="dx0" fmla="sin wr 18900000"/>
            <a:gd name="dy0" fmla="cos hr 18900000"/>
            <a:gd name="px0" fmla="+- hc dx0 0"/>
            <a:gd name="py0" fmla="+- vc 0 dy0"/>
            <a:gd name="dx1" fmla="sin wr 20250000"/>
            <a:gd name="dy1" fmla="cos hr 20250000"/>
            <a:gd name="px1" fmla="+- hc dx1 0"/>
            <a:gd name="py1" fmla="+- vc 0 dy1"/>
            <a:gd name="dx2" fmla="sin wr 0"/>
            <a:gd name="dy2" fmla="cos hr 0"/>
            <a:gd name="px2" fmla="+- hc dx2 0"/>
            <a:gd name="py2" fmla="+- vc 0 dy2"/>
            <a:gd name="dx3" fmla="sin wr 1350000"/>
            <a:gd name="dy3" fmla="cos hr 1350000"/>
            <a:gd name="px3" fmla="+- hc dx3 0"/>
            <a:gd name="py3" fmla="+- vc 0 dy3"/>
            <a:gd name="dx4" fmla="sin wr 2700000"/>
            <a:gd name="dy4" fmla="cos hr 2700000"/>
            <a:gd name="px4" fmla="+- hc dx4 0"/>
            <a:gd name="py4" fmla="+- vc 0 dy4"/>
            <a:gd name="dx5" fmla="sin wr 4050000"/>
            <a:gd name="dy5" fmla="cos hr 4050000"/>
            <a:gd name="px5" fmla="+- hc dx5 0"/>
            <a:gd name="py5" fmla="+- vc 0 dy5"/>
            <a:gd name="dx6" fmla="sin wr 5400000"/>
            <a:gd name="dy6" fmla="cos hr 5400000"/>
            <a:gd name="px6" fmla="+- hc dx6 0"/>
            <a:gd name="py6" fmla="+- vc 0 dy6"/>
            <a:gd name="dx7" fmla="sin wr 6750000"/>
            <a:gd name="dy7" fmla="cos hr 6750000"/>
            <a:gd name="px7" fmla="+- hc dx7 0"/>
            <a:gd name="py7" fmla="+- vc 0 dy7"/>
            <a:gd name="dx8" fmla="sin wr 8100000"/>
            <a:gd name="dy8" fmla="cos hr 8100000"/>
            <a:gd name="px8" fmla="+- hc dx8 0"/>
            <a:gd name="py8" fmla="+- vc 0 dy8"/>
            <a:gd name="dx9" fmla="sin wr 9450000"/>
            <a:gd name="dy9" fmla="cos hr 9450000"/>
            <a:gd name="px9" fmla="+- hc dx9 0"/>
            <a:gd name="py9" fmla="+- vc 0 dy9"/>
            <a:gd name="dx10" fmla="sin wr 10800000"/>
            <a:gd name="dy10" fmla="cos hr 10800000"/>
            <a:gd name="px10" fmla="+- hc dx10 0"/>
            <a:gd name="py10" fmla="+- vc 0 dy10"/>
            <a:gd name="dx11" fmla="sin wr 12150000"/>
            <a:gd name="dy11" fmla="cos hr 12150000"/>
            <a:gd name="px11" fmla="+- hc dx11 0"/>
            <a:gd name="py11" fmla="+- vc 0 dy11"/>
            <a:gd name="dx12" fmla="sin wr 13500000"/>
            <a:gd name="dy12" fmla="cos hr 13500000"/>
            <a:gd name="px12" fmla="+- hc dx12 0"/>
            <a:gd name="py12" fmla="+- vc 0 dy12"/>
            <a:gd name="dx13" fmla="sin wr 14850000"/>
            <a:gd name="dy13" fmla="cos hr 14850000"/>
            <a:gd name="px13" fmla="+- hc dx13 0"/>
            <a:gd name="py13" fmla="+- vc 0 dy13"/>
            <a:gd name="dx14" fmla="sin wr 16200000"/>
            <a:gd name="dy14" fmla="cos hr 16200000"/>
            <a:gd name="px14" fmla="+- hc dx14 0"/>
            <a:gd name="py14" fmla="+- vc 0 dy14"/>
            <a:gd name="dx15" fmla="sin wr 17550000"/>
            <a:gd name="dy15" fmla="cos hr 17550000"/>
            <a:gd name="px15" fmla="+- hc dx15 0"/>
            <a:gd name="py15" fmla="+- vc 0 dy15"/>
          </a:gdLst>
          <a:ahLst/>
          <a:cxnLst>
            <a:cxn ang="10800000">
              <a:pos x="px0" y="py0"/>
            </a:cxn>
            <a:cxn ang="16200000">
              <a:pos x="px1" y="py1"/>
            </a:cxn>
            <a:cxn ang="16200000">
              <a:pos x="px2" y="py2"/>
            </a:cxn>
            <a:cxn ang="16200000">
              <a:pos x="px3" y="py3"/>
            </a:cxn>
            <a:cxn ang="0">
              <a:pos x="px4" y="py4"/>
            </a:cxn>
            <a:cxn ang="0">
              <a:pos x="px5" y="py5"/>
            </a:cxn>
            <a:cxn ang="0">
              <a:pos x="px6" y="py6"/>
            </a:cxn>
            <a:cxn ang="0">
              <a:pos x="px7" y="py7"/>
            </a:cxn>
            <a:cxn ang="0">
              <a:pos x="px8" y="py8"/>
            </a:cxn>
            <a:cxn ang="5400000">
              <a:pos x="px9" y="py9"/>
            </a:cxn>
            <a:cxn ang="5400000">
              <a:pos x="px10" y="py10"/>
            </a:cxn>
            <a:cxn ang="5400000">
              <a:pos x="px11" y="py11"/>
            </a:cxn>
            <a:cxn ang="10800000">
              <a:pos x="px12" y="py12"/>
            </a:cxn>
            <a:cxn ang="10800000">
              <a:pos x="px13" y="py13"/>
            </a:cxn>
            <a:cxn ang="10800000">
              <a:pos x="px14" y="py14"/>
            </a:cxn>
            <a:cxn ang="10800000">
              <a:pos x="px15" y="py15"/>
            </a:cxn>
          </a:cxnLst>
          <a:rect l="l" t="t" r="r" b="b"/>
          <a:pathLst>
            <a:path>
              <a:moveTo>
                <a:pt x="l" y="vc"/>
              </a:moveTo>
              <a:arcTo wR="wr" hR="hr" stAng="10800000" swAng="21600000"/>
              <a:close/>
            </a:path>
          </a:pathLst>
        </a:custGeom>
        <a:solidFill>
          <a:srgbClr val="F5EEFC"/>
        </a:solidFill>
        <a:ln w="15875" cap="flat">
          <a:solidFill>
            <a:srgbClr val="876BA6"/>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利用者</a:t>
          </a:r>
          <a:endParaRPr lang="ja-JP" altLang="en-US" sz="850" dirty="0">
            <a:latin typeface="Meiryo UI"/>
            <a:ea typeface="Meiryo UI"/>
          </a:endParaRPr>
        </a:p>
      </xdr:txBody>
    </xdr:sp>
    <xdr:clientData/>
  </xdr:twoCellAnchor>
  <xdr:twoCellAnchor editAs="oneCell">
    <xdr:from>
      <xdr:col>114</xdr:col>
      <xdr:colOff>0</xdr:colOff>
      <xdr:row>21</xdr:row>
      <xdr:rowOff>0</xdr:rowOff>
    </xdr:from>
    <xdr:to>
      <xdr:col>122</xdr:col>
      <xdr:colOff>0</xdr:colOff>
      <xdr:row>25</xdr:row>
      <xdr:rowOff>0</xdr:rowOff>
    </xdr:to>
    <xdr:sp macro="" textlink="">
      <xdr:nvSpPr>
        <xdr:cNvPr id="123" name="ノード: カプセル・標準（ルートD）">
          <a:extLst>
            <a:ext uri="{FF2B5EF4-FFF2-40B4-BE49-F238E27FC236}">
              <a16:creationId xmlns:a16="http://schemas.microsoft.com/office/drawing/2014/main" id="{E7A13FC8-CCDA-4A5A-9326-F05D9A2412B1}"/>
            </a:ext>
          </a:extLst>
        </xdr:cNvPr>
        <xdr:cNvSpPr/>
      </xdr:nvSpPr>
      <xdr:spPr>
        <a:xfrm>
          <a:off x="21717000" y="4000500"/>
          <a:ext cx="1524000" cy="762000"/>
        </a:xfrm>
        <a:custGeom>
          <a:avLst/>
          <a:gdLst>
            <a:gd name="x1" fmla="*/ w 1 4"/>
            <a:gd name="x2" fmla="*/ w 1 2"/>
            <a:gd name="x3" fmla="*/ w 3 4"/>
            <a:gd name="y1" fmla="*/ h 1 4"/>
            <a:gd name="y2" fmla="*/ h 1 2"/>
            <a:gd name="y3" fmla="*/ h 3 4"/>
            <a:gd name="smin" fmla="min w h"/>
            <a:gd name="rr" fmla="*/ smin 1 2"/>
            <a:gd name="rx" fmla="+- r 0 rr"/>
            <a:gd name="k" fmla="*/ rr 13397 100000"/>
            <a:gd name="rk" fmla="+- r 0 k"/>
            <a:gd name="q45" fmla="*/ rr 29289 100000"/>
            <a:gd name="q45r" fmla="+- r 0 q45"/>
            <a:gd name="q45b" fmla="+- b 0 q45"/>
          </a:gdLst>
          <a:ahLst/>
          <a:cxnLst>
            <a:cxn ang="10800000">
              <a:pos x="q45" y="q45"/>
            </a:cxn>
            <a:cxn ang="16200000">
              <a:pos x="x1" y="t"/>
            </a:cxn>
            <a:cxn ang="16200000">
              <a:pos x="x2" y="t"/>
            </a:cxn>
            <a:cxn ang="16200000">
              <a:pos x="x3" y="t"/>
            </a:cxn>
            <a:cxn ang="0">
              <a:pos x="q45r" y="q45"/>
            </a:cxn>
            <a:cxn ang="0">
              <a:pos x="rk" y="y1"/>
            </a:cxn>
            <a:cxn ang="0">
              <a:pos x="r" y="y2"/>
            </a:cxn>
            <a:cxn ang="0">
              <a:pos x="rk" y="y3"/>
            </a:cxn>
            <a:cxn ang="0">
              <a:pos x="q45r" y="q45b"/>
            </a:cxn>
            <a:cxn ang="5400000">
              <a:pos x="x3" y="b"/>
            </a:cxn>
            <a:cxn ang="5400000">
              <a:pos x="x2" y="b"/>
            </a:cxn>
            <a:cxn ang="5400000">
              <a:pos x="x1" y="b"/>
            </a:cxn>
            <a:cxn ang="10800000">
              <a:pos x="q45" y="q45b"/>
            </a:cxn>
            <a:cxn ang="10800000">
              <a:pos x="k" y="y3"/>
            </a:cxn>
            <a:cxn ang="10800000">
              <a:pos x="l" y="y2"/>
            </a:cxn>
            <a:cxn ang="10800000">
              <a:pos x="k" y="y1"/>
            </a:cxn>
          </a:cxnLst>
          <a:rect l="l" t="t" r="r" b="b"/>
          <a:pathLst>
            <a:path>
              <a:moveTo>
                <a:pt x="rr" y="t"/>
              </a:moveTo>
              <a:lnTo>
                <a:pt x="rx" y="t"/>
              </a:lnTo>
              <a:arcTo wR="rr" hR="rr" stAng="16200000" swAng="10800000"/>
              <a:lnTo>
                <a:pt x="rr" y="b"/>
              </a:lnTo>
              <a:arcTo wR="rr" hR="rr" stAng="5400000" swAng="10800000"/>
              <a:close/>
            </a:path>
          </a:pathLst>
        </a:custGeom>
        <a:solidFill>
          <a:srgbClr val="F5EEFC"/>
        </a:solidFill>
        <a:ln w="15875" cap="flat">
          <a:solidFill>
            <a:srgbClr val="876BA6"/>
          </a:solidFill>
          <a:round/>
        </a:ln>
      </xdr:spPr>
      <xdr:txBody>
        <a:bodyPr vertOverflow="overflow" horzOverflow="overflow" wrap="square" lIns="101600" tIns="12700" rIns="101600" bIns="12700" rtlCol="0" anchor="ctr">
          <a:noAutofit/>
        </a:bodyPr>
        <a:lstStyle/>
        <a:p>
          <a:pPr algn="ctr">
            <a:lnSpc>
              <a:spcPct val="95000"/>
            </a:lnSpc>
          </a:pPr>
          <a:r>
            <a:rPr lang="ja-JP" altLang="en-US" sz="950" b="1" dirty="0">
              <a:solidFill>
                <a:srgbClr val="262626"/>
              </a:solidFill>
              <a:latin typeface="Meiryo UI"/>
              <a:ea typeface="Meiryo UI"/>
              <a:cs typeface="Meiryo UI"/>
            </a:rPr>
            <a:t>API・キュー</a:t>
          </a:r>
          <a:endParaRPr lang="ja-JP" altLang="en-US" sz="950" dirty="0">
            <a:latin typeface="Meiryo UI"/>
            <a:ea typeface="Meiryo UI"/>
          </a:endParaRPr>
        </a:p>
      </xdr:txBody>
    </xdr:sp>
    <xdr:clientData/>
  </xdr:twoCellAnchor>
  <xdr:twoCellAnchor editAs="oneCell">
    <xdr:from>
      <xdr:col>114</xdr:col>
      <xdr:colOff>0</xdr:colOff>
      <xdr:row>27</xdr:row>
      <xdr:rowOff>0</xdr:rowOff>
    </xdr:from>
    <xdr:to>
      <xdr:col>122</xdr:col>
      <xdr:colOff>0</xdr:colOff>
      <xdr:row>27</xdr:row>
      <xdr:rowOff>0</xdr:rowOff>
    </xdr:to>
    <xdr:cxnSp macro="">
      <xdr:nvCxnSpPr>
        <xdr:cNvPr id="124" name="線: オンライン連携・直線（ルートD）">
          <a:extLst>
            <a:ext uri="{FF2B5EF4-FFF2-40B4-BE49-F238E27FC236}">
              <a16:creationId xmlns:a16="http://schemas.microsoft.com/office/drawing/2014/main" id="{1BFC09A8-C860-4DA5-A90B-821FBECF168C}"/>
            </a:ext>
          </a:extLst>
        </xdr:cNvPr>
        <xdr:cNvCxnSpPr/>
      </xdr:nvCxnSpPr>
      <xdr:spPr>
        <a:xfrm>
          <a:off x="21717000" y="5143500"/>
          <a:ext cx="1524000" cy="0"/>
        </a:xfrm>
        <a:prstGeom prst="straightConnector1">
          <a:avLst/>
        </a:prstGeom>
        <a:ln w="19050" cap="flat">
          <a:solidFill>
            <a:srgbClr val="876BA6"/>
          </a:solidFill>
          <a:round/>
          <a:tailEnd type="triangle" w="med" len="med"/>
        </a:ln>
      </xdr:spPr>
    </xdr:cxnSp>
    <xdr:clientData/>
  </xdr:twoCellAnchor>
  <xdr:twoCellAnchor editAs="oneCell">
    <xdr:from>
      <xdr:col>114</xdr:col>
      <xdr:colOff>0</xdr:colOff>
      <xdr:row>28</xdr:row>
      <xdr:rowOff>0</xdr:rowOff>
    </xdr:from>
    <xdr:to>
      <xdr:col>122</xdr:col>
      <xdr:colOff>0</xdr:colOff>
      <xdr:row>28</xdr:row>
      <xdr:rowOff>0</xdr:rowOff>
    </xdr:to>
    <xdr:cxnSp macro="">
      <xdr:nvCxnSpPr>
        <xdr:cNvPr id="125" name="線: バッチ・ファイル・直線（ルートD）">
          <a:extLst>
            <a:ext uri="{FF2B5EF4-FFF2-40B4-BE49-F238E27FC236}">
              <a16:creationId xmlns:a16="http://schemas.microsoft.com/office/drawing/2014/main" id="{81FCFD9E-9E24-4BA8-B337-AF3E498E0911}"/>
            </a:ext>
          </a:extLst>
        </xdr:cNvPr>
        <xdr:cNvCxnSpPr/>
      </xdr:nvCxnSpPr>
      <xdr:spPr>
        <a:xfrm>
          <a:off x="21717000" y="5334000"/>
          <a:ext cx="1524000" cy="0"/>
        </a:xfrm>
        <a:prstGeom prst="straightConnector1">
          <a:avLst/>
        </a:prstGeom>
        <a:ln w="19050" cap="flat">
          <a:solidFill>
            <a:srgbClr val="876BA6"/>
          </a:solidFill>
          <a:prstDash val="dash"/>
          <a:round/>
          <a:tailEnd type="triangle" w="med" len="med"/>
        </a:ln>
      </xdr:spPr>
    </xdr:cxnSp>
    <xdr:clientData/>
  </xdr:twoCellAnchor>
  <xdr:twoCellAnchor editAs="oneCell">
    <xdr:from>
      <xdr:col>114</xdr:col>
      <xdr:colOff>0</xdr:colOff>
      <xdr:row>29</xdr:row>
      <xdr:rowOff>0</xdr:rowOff>
    </xdr:from>
    <xdr:to>
      <xdr:col>122</xdr:col>
      <xdr:colOff>0</xdr:colOff>
      <xdr:row>29</xdr:row>
      <xdr:rowOff>0</xdr:rowOff>
    </xdr:to>
    <xdr:cxnSp macro="">
      <xdr:nvCxnSpPr>
        <xdr:cNvPr id="126" name="線: 監視・運用・直線（ルートD）">
          <a:extLst>
            <a:ext uri="{FF2B5EF4-FFF2-40B4-BE49-F238E27FC236}">
              <a16:creationId xmlns:a16="http://schemas.microsoft.com/office/drawing/2014/main" id="{6FCDAD16-2540-4665-8185-9CA12E0A7D11}"/>
            </a:ext>
          </a:extLst>
        </xdr:cNvPr>
        <xdr:cNvCxnSpPr/>
      </xdr:nvCxnSpPr>
      <xdr:spPr>
        <a:xfrm>
          <a:off x="21717000" y="5524500"/>
          <a:ext cx="1524000" cy="0"/>
        </a:xfrm>
        <a:prstGeom prst="straightConnector1">
          <a:avLst/>
        </a:prstGeom>
        <a:ln w="12700" cap="flat">
          <a:solidFill>
            <a:srgbClr val="876BA6"/>
          </a:solidFill>
          <a:prstDash val="sysDot"/>
          <a:round/>
          <a:tailEnd type="triangle" w="med" len="med"/>
        </a:ln>
      </xdr:spPr>
    </xdr:cxnSp>
    <xdr:clientData/>
  </xdr:twoCellAnchor>
  <xdr:twoCellAnchor editAs="oneCell">
    <xdr:from>
      <xdr:col>114</xdr:col>
      <xdr:colOff>0</xdr:colOff>
      <xdr:row>30</xdr:row>
      <xdr:rowOff>0</xdr:rowOff>
    </xdr:from>
    <xdr:to>
      <xdr:col>122</xdr:col>
      <xdr:colOff>0</xdr:colOff>
      <xdr:row>32</xdr:row>
      <xdr:rowOff>0</xdr:rowOff>
    </xdr:to>
    <xdr:cxnSp macro="">
      <xdr:nvCxnSpPr>
        <xdr:cNvPr id="127" name="線: オンライン連携・カギ線（ルートD）">
          <a:extLst>
            <a:ext uri="{FF2B5EF4-FFF2-40B4-BE49-F238E27FC236}">
              <a16:creationId xmlns:a16="http://schemas.microsoft.com/office/drawing/2014/main" id="{96CAE52E-2573-4C8D-A92C-114A821B7B1C}"/>
            </a:ext>
          </a:extLst>
        </xdr:cNvPr>
        <xdr:cNvCxnSpPr/>
      </xdr:nvCxnSpPr>
      <xdr:spPr>
        <a:xfrm>
          <a:off x="21717000" y="5715000"/>
          <a:ext cx="1524000" cy="381000"/>
        </a:xfrm>
        <a:prstGeom prst="bentConnector3">
          <a:avLst/>
        </a:prstGeom>
        <a:ln w="19050" cap="flat">
          <a:solidFill>
            <a:srgbClr val="876BA6"/>
          </a:solidFill>
          <a:round/>
          <a:tailEnd type="triangle" w="med" len="med"/>
        </a:ln>
      </xdr:spPr>
    </xdr:cxnSp>
    <xdr:clientData/>
  </xdr:twoCellAnchor>
  <xdr:twoCellAnchor editAs="oneCell">
    <xdr:from>
      <xdr:col>114</xdr:col>
      <xdr:colOff>0</xdr:colOff>
      <xdr:row>34</xdr:row>
      <xdr:rowOff>0</xdr:rowOff>
    </xdr:from>
    <xdr:to>
      <xdr:col>122</xdr:col>
      <xdr:colOff>0</xdr:colOff>
      <xdr:row>38</xdr:row>
      <xdr:rowOff>0</xdr:rowOff>
    </xdr:to>
    <xdr:grpSp>
      <xdr:nvGrpSpPr>
        <xdr:cNvPr id="128" name="コメント: ポイント（ルートD）">
          <a:extLst>
            <a:ext uri="{FF2B5EF4-FFF2-40B4-BE49-F238E27FC236}">
              <a16:creationId xmlns:a16="http://schemas.microsoft.com/office/drawing/2014/main" id="{003C4DC0-5D20-4F41-A2D2-ECBA3ADB7F68}"/>
            </a:ext>
          </a:extLst>
        </xdr:cNvPr>
        <xdr:cNvGrpSpPr/>
      </xdr:nvGrpSpPr>
      <xdr:grpSpPr>
        <a:xfrm>
          <a:off x="21717000" y="6477000"/>
          <a:ext cx="1524000" cy="762000"/>
          <a:chOff x="21717000" y="6477000"/>
          <a:chExt cx="1524000" cy="762000"/>
        </a:xfrm>
      </xdr:grpSpPr>
      <xdr:sp macro="" textlink="">
        <xdr:nvSpPr>
          <xdr:cNvPr id="129" name="本文">
            <a:extLst>
              <a:ext uri="{FF2B5EF4-FFF2-40B4-BE49-F238E27FC236}">
                <a16:creationId xmlns:a16="http://schemas.microsoft.com/office/drawing/2014/main" id="{49D3232C-4A35-4868-84ED-9BD0486E8EFE}"/>
              </a:ext>
            </a:extLst>
          </xdr:cNvPr>
          <xdr:cNvSpPr/>
        </xdr:nvSpPr>
        <xdr:spPr>
          <a:xfrm>
            <a:off x="21717000" y="6477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AF6FD"/>
          </a:solidFill>
          <a:ln w="9525" cap="flat">
            <a:solidFill>
              <a:srgbClr val="DBCCEB"/>
            </a:solidFill>
            <a:round/>
          </a:ln>
        </xdr:spPr>
        <xdr:txBody>
          <a:bodyPr vertOverflow="overflow" horzOverflow="overflow" wrap="square" lIns="76200" tIns="228600" rIns="76200" bIns="38100" rtlCol="0" anchor="t">
            <a:noAutofit/>
          </a:bodyPr>
          <a:lstStyle/>
          <a:p>
            <a:pPr algn="l">
              <a:lnSpc>
                <a:spcPct val="100000"/>
              </a:lnSpc>
            </a:pPr>
            <a:r>
              <a:rPr lang="ja-JP" altLang="en-US" sz="800" b="0" dirty="0">
                <a:solidFill>
                  <a:srgbClr val="404040"/>
                </a:solidFill>
                <a:latin typeface="Meiryo UI"/>
                <a:ea typeface="Meiryo UI"/>
                <a:cs typeface="Meiryo UI"/>
              </a:rPr>
              <a:t>ポイントを記入</a:t>
            </a:r>
            <a:endParaRPr lang="ja-JP" altLang="en-US" sz="800" dirty="0">
              <a:latin typeface="Meiryo UI"/>
              <a:ea typeface="Meiryo UI"/>
            </a:endParaRPr>
          </a:p>
        </xdr:txBody>
      </xdr:sp>
      <xdr:sp macro="" textlink="">
        <xdr:nvSpPr>
          <xdr:cNvPr id="130" name="見出し">
            <a:extLst>
              <a:ext uri="{FF2B5EF4-FFF2-40B4-BE49-F238E27FC236}">
                <a16:creationId xmlns:a16="http://schemas.microsoft.com/office/drawing/2014/main" id="{0A673E5C-10F7-4FF5-AFB3-9E0BC184A324}"/>
              </a:ext>
            </a:extLst>
          </xdr:cNvPr>
          <xdr:cNvSpPr/>
        </xdr:nvSpPr>
        <xdr:spPr>
          <a:xfrm>
            <a:off x="21717000" y="6477000"/>
            <a:ext cx="1524000" cy="190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876BA6"/>
          </a:solidFill>
          <a:ln w="9525" cap="flat">
            <a:solidFill>
              <a:srgbClr val="876BA6"/>
            </a:solidFill>
            <a:round/>
          </a:ln>
        </xdr:spPr>
        <xdr:txBody>
          <a:bodyPr vertOverflow="overflow" horzOverflow="overflow" wrap="none" lIns="76200" tIns="0" rIns="76200" bIns="0" rtlCol="0" anchor="ctr">
            <a:noAutofit/>
          </a:bodyPr>
          <a:lstStyle/>
          <a:p>
            <a:pPr algn="l"/>
            <a:r>
              <a:rPr lang="ja-JP" altLang="en-US" sz="750" b="1" dirty="0">
                <a:solidFill>
                  <a:srgbClr val="FFFFFF"/>
                </a:solidFill>
                <a:latin typeface="Meiryo UI"/>
                <a:ea typeface="Meiryo UI"/>
                <a:cs typeface="Meiryo UI"/>
              </a:rPr>
              <a:t>POINT</a:t>
            </a:r>
            <a:endParaRPr lang="ja-JP" altLang="en-US" sz="800" dirty="0">
              <a:latin typeface="Meiryo UI"/>
              <a:ea typeface="Meiryo UI"/>
            </a:endParaRPr>
          </a:p>
        </xdr:txBody>
      </xdr:sp>
    </xdr:grpSp>
    <xdr:clientData/>
  </xdr:twoCellAnchor>
  <xdr:twoCellAnchor editAs="oneCell">
    <xdr:from>
      <xdr:col>114</xdr:col>
      <xdr:colOff>0</xdr:colOff>
      <xdr:row>39</xdr:row>
      <xdr:rowOff>0</xdr:rowOff>
    </xdr:from>
    <xdr:to>
      <xdr:col>122</xdr:col>
      <xdr:colOff>0</xdr:colOff>
      <xdr:row>42</xdr:row>
      <xdr:rowOff>0</xdr:rowOff>
    </xdr:to>
    <xdr:grpSp>
      <xdr:nvGrpSpPr>
        <xdr:cNvPr id="131" name="コメント: 付記（ルートD）">
          <a:extLst>
            <a:ext uri="{FF2B5EF4-FFF2-40B4-BE49-F238E27FC236}">
              <a16:creationId xmlns:a16="http://schemas.microsoft.com/office/drawing/2014/main" id="{7BFD9773-EE34-4B65-AE67-D518A349409C}"/>
            </a:ext>
          </a:extLst>
        </xdr:cNvPr>
        <xdr:cNvGrpSpPr/>
      </xdr:nvGrpSpPr>
      <xdr:grpSpPr>
        <a:xfrm>
          <a:off x="21717000" y="7429500"/>
          <a:ext cx="1524000" cy="571500"/>
          <a:chOff x="21717000" y="7429500"/>
          <a:chExt cx="1524000" cy="571500"/>
        </a:xfrm>
      </xdr:grpSpPr>
      <xdr:sp macro="" textlink="">
        <xdr:nvSpPr>
          <xdr:cNvPr id="132" name="本文">
            <a:extLst>
              <a:ext uri="{FF2B5EF4-FFF2-40B4-BE49-F238E27FC236}">
                <a16:creationId xmlns:a16="http://schemas.microsoft.com/office/drawing/2014/main" id="{4BE98E0C-A0D2-465E-81C9-29C0862CFBCD}"/>
              </a:ext>
            </a:extLst>
          </xdr:cNvPr>
          <xdr:cNvSpPr/>
        </xdr:nvSpPr>
        <xdr:spPr>
          <a:xfrm>
            <a:off x="21717000" y="7429500"/>
            <a:ext cx="1524000" cy="571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AF6FD"/>
          </a:solidFill>
          <a:ln>
            <a:noFill/>
          </a:ln>
        </xdr:spPr>
        <xdr:txBody>
          <a:bodyPr vertOverflow="overflow" horzOverflow="overflow" wrap="square" lIns="114300" tIns="50800" rIns="76200" bIns="38100" rtlCol="0" anchor="t">
            <a:noAutofit/>
          </a:bodyPr>
          <a:lstStyle/>
          <a:p>
            <a:pPr algn="l"/>
            <a:r>
              <a:rPr lang="ja-JP" altLang="en-US" sz="800" b="1" dirty="0">
                <a:solidFill>
                  <a:srgbClr val="5D4578"/>
                </a:solidFill>
                <a:latin typeface="Meiryo UI"/>
                <a:ea typeface="Meiryo UI"/>
                <a:cs typeface="Meiryo UI"/>
              </a:rPr>
              <a:t>付記</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補足を記入</a:t>
            </a:r>
            <a:endParaRPr lang="ja-JP" altLang="en-US" sz="800" dirty="0">
              <a:latin typeface="Meiryo UI"/>
              <a:ea typeface="Meiryo UI"/>
            </a:endParaRPr>
          </a:p>
        </xdr:txBody>
      </xdr:sp>
      <xdr:sp macro="" textlink="">
        <xdr:nvSpPr>
          <xdr:cNvPr id="133" name="左ライン">
            <a:extLst>
              <a:ext uri="{FF2B5EF4-FFF2-40B4-BE49-F238E27FC236}">
                <a16:creationId xmlns:a16="http://schemas.microsoft.com/office/drawing/2014/main" id="{752E5C25-B015-4787-AA0B-AA39FBB18727}"/>
              </a:ext>
            </a:extLst>
          </xdr:cNvPr>
          <xdr:cNvSpPr/>
        </xdr:nvSpPr>
        <xdr:spPr>
          <a:xfrm>
            <a:off x="21717000" y="7429500"/>
            <a:ext cx="38100" cy="571500"/>
          </a:xfrm>
          <a:prstGeom prst="rect">
            <a:avLst/>
          </a:prstGeom>
          <a:solidFill>
            <a:srgbClr val="876BA6"/>
          </a:solidFill>
          <a:ln>
            <a:noFill/>
          </a:ln>
        </xdr:spPr>
        <xdr:txBody>
          <a:bodyPr vertOverflow="overflow" horzOverflow="overflow" wrap="square" lIns="38100" tIns="19050" rIns="38100" bIns="19050" rtlCol="0" anchor="ctr">
            <a:noAutofit/>
          </a:bodyPr>
          <a:lstStyle/>
          <a:p>
            <a:pPr algn="l"/>
            <a:endParaRPr lang="ja-JP" altLang="en-US" sz="600" dirty="0">
              <a:latin typeface="Meiryo UI"/>
              <a:ea typeface="Meiryo UI"/>
            </a:endParaRPr>
          </a:p>
        </xdr:txBody>
      </xdr:sp>
    </xdr:grpSp>
    <xdr:clientData/>
  </xdr:twoCellAnchor>
  <xdr:twoCellAnchor editAs="oneCell">
    <xdr:from>
      <xdr:col>114</xdr:col>
      <xdr:colOff>0</xdr:colOff>
      <xdr:row>43</xdr:row>
      <xdr:rowOff>0</xdr:rowOff>
    </xdr:from>
    <xdr:to>
      <xdr:col>122</xdr:col>
      <xdr:colOff>0</xdr:colOff>
      <xdr:row>45</xdr:row>
      <xdr:rowOff>0</xdr:rowOff>
    </xdr:to>
    <xdr:sp macro="" textlink="">
      <xdr:nvSpPr>
        <xdr:cNvPr id="134" name="コメント: 吹き出し（ルートD）">
          <a:extLst>
            <a:ext uri="{FF2B5EF4-FFF2-40B4-BE49-F238E27FC236}">
              <a16:creationId xmlns:a16="http://schemas.microsoft.com/office/drawing/2014/main" id="{2FB6B0A2-0EE6-4127-B6BA-C468D1F2F08D}"/>
            </a:ext>
          </a:extLst>
        </xdr:cNvPr>
        <xdr:cNvSpPr/>
      </xdr:nvSpPr>
      <xdr:spPr>
        <a:xfrm>
          <a:off x="21717000" y="8191500"/>
          <a:ext cx="1524000" cy="381000"/>
        </a:xfrm>
        <a:prstGeom prst="wedgeRoundRectCallout">
          <a:avLst>
            <a:gd name="adj1" fmla="val -30000"/>
            <a:gd name="adj2" fmla="val 95000"/>
            <a:gd name="adj3" fmla="val 16667"/>
          </a:avLst>
        </a:prstGeom>
        <a:solidFill>
          <a:srgbClr val="FFFFFF"/>
        </a:solidFill>
        <a:ln w="12700" cap="flat">
          <a:solidFill>
            <a:srgbClr val="876BA6"/>
          </a:solidFill>
          <a:round/>
        </a:ln>
      </xdr:spPr>
      <xdr:txBody>
        <a:bodyPr vertOverflow="overflow" horzOverflow="overflow" wrap="square" lIns="63500" tIns="25400" rIns="63500" bIns="25400" rtlCol="0" anchor="ctr">
          <a:noAutofit/>
        </a:bodyPr>
        <a:lstStyle/>
        <a:p>
          <a:pPr algn="l"/>
          <a:r>
            <a:rPr lang="ja-JP" altLang="en-US" sz="800" b="0" dirty="0">
              <a:solidFill>
                <a:srgbClr val="404040"/>
              </a:solidFill>
              <a:latin typeface="Meiryo UI"/>
              <a:ea typeface="Meiryo UI"/>
              <a:cs typeface="Meiryo UI"/>
            </a:rPr>
            <a:t>指摘・補足</a:t>
          </a:r>
          <a:endParaRPr lang="ja-JP" altLang="en-US" sz="800" dirty="0">
            <a:latin typeface="Meiryo UI"/>
            <a:ea typeface="Meiryo UI"/>
          </a:endParaRPr>
        </a:p>
      </xdr:txBody>
    </xdr:sp>
    <xdr:clientData/>
  </xdr:twoCellAnchor>
  <xdr:twoCellAnchor editAs="oneCell">
    <xdr:from>
      <xdr:col>114</xdr:col>
      <xdr:colOff>0</xdr:colOff>
      <xdr:row>47</xdr:row>
      <xdr:rowOff>0</xdr:rowOff>
    </xdr:from>
    <xdr:to>
      <xdr:col>116</xdr:col>
      <xdr:colOff>0</xdr:colOff>
      <xdr:row>48</xdr:row>
      <xdr:rowOff>0</xdr:rowOff>
    </xdr:to>
    <xdr:sp macro="" textlink="">
      <xdr:nvSpPr>
        <xdr:cNvPr id="135" name="番号: A1（ルートD）">
          <a:extLst>
            <a:ext uri="{FF2B5EF4-FFF2-40B4-BE49-F238E27FC236}">
              <a16:creationId xmlns:a16="http://schemas.microsoft.com/office/drawing/2014/main" id="{3BCB7475-80A5-41EB-8CD5-99A0F75DEC9C}"/>
            </a:ext>
          </a:extLst>
        </xdr:cNvPr>
        <xdr:cNvSpPr/>
      </xdr:nvSpPr>
      <xdr:spPr>
        <a:xfrm>
          <a:off x="21717000" y="8953500"/>
          <a:ext cx="381000" cy="190500"/>
        </a:xfrm>
        <a:prstGeom prst="roundRect">
          <a:avLst>
            <a:gd name="adj" fmla="val 50000"/>
          </a:avLst>
        </a:prstGeom>
        <a:solidFill>
          <a:srgbClr val="876BA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D1</a:t>
          </a:r>
          <a:endParaRPr lang="ja-JP" altLang="en-US" sz="750" dirty="0">
            <a:latin typeface="Meiryo UI"/>
            <a:ea typeface="Meiryo UI"/>
          </a:endParaRPr>
        </a:p>
      </xdr:txBody>
    </xdr:sp>
    <xdr:clientData/>
  </xdr:twoCellAnchor>
  <xdr:twoCellAnchor editAs="oneCell">
    <xdr:from>
      <xdr:col>117</xdr:col>
      <xdr:colOff>0</xdr:colOff>
      <xdr:row>47</xdr:row>
      <xdr:rowOff>0</xdr:rowOff>
    </xdr:from>
    <xdr:to>
      <xdr:col>119</xdr:col>
      <xdr:colOff>0</xdr:colOff>
      <xdr:row>48</xdr:row>
      <xdr:rowOff>0</xdr:rowOff>
    </xdr:to>
    <xdr:sp macro="" textlink="">
      <xdr:nvSpPr>
        <xdr:cNvPr id="136" name="番号: A2（ルートD）">
          <a:extLst>
            <a:ext uri="{FF2B5EF4-FFF2-40B4-BE49-F238E27FC236}">
              <a16:creationId xmlns:a16="http://schemas.microsoft.com/office/drawing/2014/main" id="{78C84915-E172-42EB-A91B-7D2D97BD4F2A}"/>
            </a:ext>
          </a:extLst>
        </xdr:cNvPr>
        <xdr:cNvSpPr/>
      </xdr:nvSpPr>
      <xdr:spPr>
        <a:xfrm>
          <a:off x="22288500" y="8953500"/>
          <a:ext cx="381000" cy="190500"/>
        </a:xfrm>
        <a:prstGeom prst="roundRect">
          <a:avLst>
            <a:gd name="adj" fmla="val 50000"/>
          </a:avLst>
        </a:prstGeom>
        <a:solidFill>
          <a:srgbClr val="876BA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D2</a:t>
          </a:r>
          <a:endParaRPr lang="ja-JP" altLang="en-US" sz="750" dirty="0">
            <a:latin typeface="Meiryo UI"/>
            <a:ea typeface="Meiryo UI"/>
          </a:endParaRPr>
        </a:p>
      </xdr:txBody>
    </xdr:sp>
    <xdr:clientData/>
  </xdr:twoCellAnchor>
  <xdr:twoCellAnchor editAs="oneCell">
    <xdr:from>
      <xdr:col>114</xdr:col>
      <xdr:colOff>0</xdr:colOff>
      <xdr:row>49</xdr:row>
      <xdr:rowOff>0</xdr:rowOff>
    </xdr:from>
    <xdr:to>
      <xdr:col>122</xdr:col>
      <xdr:colOff>0</xdr:colOff>
      <xdr:row>50</xdr:row>
      <xdr:rowOff>0</xdr:rowOff>
    </xdr:to>
    <xdr:sp macro="" textlink="">
      <xdr:nvSpPr>
        <xdr:cNvPr id="137" name="線ラベル（ルートD）">
          <a:extLst>
            <a:ext uri="{FF2B5EF4-FFF2-40B4-BE49-F238E27FC236}">
              <a16:creationId xmlns:a16="http://schemas.microsoft.com/office/drawing/2014/main" id="{64AE655C-16DE-404D-8C06-0431AED2EA2A}"/>
            </a:ext>
          </a:extLst>
        </xdr:cNvPr>
        <xdr:cNvSpPr/>
      </xdr:nvSpPr>
      <xdr:spPr>
        <a:xfrm>
          <a:off x="21717000" y="9334500"/>
          <a:ext cx="1524000" cy="190500"/>
        </a:xfrm>
        <a:prstGeom prst="roundRect">
          <a:avLst>
            <a:gd name="adj" fmla="val 50000"/>
          </a:avLst>
        </a:prstGeom>
        <a:solidFill>
          <a:srgbClr val="FFFFFF"/>
        </a:solidFill>
        <a:ln w="9525" cap="flat">
          <a:solidFill>
            <a:srgbClr val="876BA6"/>
          </a:solidFill>
          <a:round/>
        </a:ln>
      </xdr:spPr>
      <xdr:txBody>
        <a:bodyPr vertOverflow="overflow" horzOverflow="overflow" wrap="none" lIns="25400" tIns="0" rIns="25400" bIns="0" rtlCol="0" anchor="ctr">
          <a:noAutofit/>
        </a:bodyPr>
        <a:lstStyle/>
        <a:p>
          <a:pPr algn="ctr"/>
          <a:r>
            <a:rPr lang="ja-JP" altLang="en-US" sz="750" b="0" dirty="0">
              <a:solidFill>
                <a:srgbClr val="5D4578"/>
              </a:solidFill>
              <a:latin typeface="Meiryo UI"/>
              <a:ea typeface="Meiryo UI"/>
              <a:cs typeface="Meiryo UI"/>
            </a:rPr>
            <a:t>HTTPS（REST）</a:t>
          </a:r>
          <a:endParaRPr lang="ja-JP" altLang="en-US" sz="750" dirty="0">
            <a:latin typeface="Meiryo UI"/>
            <a:ea typeface="Meiryo UI"/>
          </a:endParaRPr>
        </a:p>
      </xdr:txBody>
    </xdr:sp>
    <xdr:clientData/>
  </xdr:twoCellAnchor>
  <xdr:twoCellAnchor editAs="oneCell">
    <xdr:from>
      <xdr:col>123</xdr:col>
      <xdr:colOff>0</xdr:colOff>
      <xdr:row>6</xdr:row>
      <xdr:rowOff>0</xdr:rowOff>
    </xdr:from>
    <xdr:to>
      <xdr:col>131</xdr:col>
      <xdr:colOff>0</xdr:colOff>
      <xdr:row>10</xdr:row>
      <xdr:rowOff>0</xdr:rowOff>
    </xdr:to>
    <xdr:sp macro="" textlink="">
      <xdr:nvSpPr>
        <xdr:cNvPr id="138" name="ノード: 角丸・標準（ルートE）">
          <a:extLst>
            <a:ext uri="{FF2B5EF4-FFF2-40B4-BE49-F238E27FC236}">
              <a16:creationId xmlns:a16="http://schemas.microsoft.com/office/drawing/2014/main" id="{F59A1076-5924-440B-BF1C-E0E6EF6B3A5C}"/>
            </a:ext>
          </a:extLst>
        </xdr:cNvPr>
        <xdr:cNvSpPr/>
      </xdr:nvSpPr>
      <xdr:spPr>
        <a:xfrm>
          <a:off x="23431500" y="1143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ECF0"/>
        </a:solidFill>
        <a:ln w="15875" cap="flat">
          <a:solidFill>
            <a:srgbClr val="B04B68"/>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123</xdr:col>
      <xdr:colOff>0</xdr:colOff>
      <xdr:row>11</xdr:row>
      <xdr:rowOff>0</xdr:rowOff>
    </xdr:from>
    <xdr:to>
      <xdr:col>131</xdr:col>
      <xdr:colOff>0</xdr:colOff>
      <xdr:row>15</xdr:row>
      <xdr:rowOff>0</xdr:rowOff>
    </xdr:to>
    <xdr:sp macro="" textlink="">
      <xdr:nvSpPr>
        <xdr:cNvPr id="139" name="ノード: 角丸・強調（ルートE）">
          <a:extLst>
            <a:ext uri="{FF2B5EF4-FFF2-40B4-BE49-F238E27FC236}">
              <a16:creationId xmlns:a16="http://schemas.microsoft.com/office/drawing/2014/main" id="{58B73F36-69C4-4C71-A073-7FA5303126C6}"/>
            </a:ext>
          </a:extLst>
        </xdr:cNvPr>
        <xdr:cNvSpPr/>
      </xdr:nvSpPr>
      <xdr:spPr>
        <a:xfrm>
          <a:off x="23431500" y="20955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B04B68"/>
        </a:solidFill>
        <a:ln w="15875" cap="flat">
          <a:solidFill>
            <a:srgbClr val="B04B68"/>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接続元</a:t>
          </a:r>
          <a:endParaRPr lang="ja-JP" altLang="en-US" sz="950" dirty="0">
            <a:latin typeface="Meiryo UI"/>
            <a:ea typeface="Meiryo UI"/>
          </a:endParaRPr>
        </a:p>
        <a:p>
          <a:pPr algn="ctr">
            <a:lnSpc>
              <a:spcPct val="95000"/>
            </a:lnSpc>
            <a:spcBef>
              <a:spcPts val="50"/>
            </a:spcBef>
          </a:pPr>
          <a:r>
            <a:rPr lang="ja-JP" altLang="en-US" sz="750" b="0" dirty="0">
              <a:solidFill>
                <a:srgbClr val="FDE1E7"/>
              </a:solidFill>
              <a:latin typeface="Meiryo UI"/>
              <a:ea typeface="Meiryo UI"/>
              <a:cs typeface="Meiryo UI"/>
            </a:rPr>
            <a:t>強調ノード</a:t>
          </a:r>
          <a:endParaRPr lang="ja-JP" altLang="en-US" sz="750" dirty="0">
            <a:latin typeface="Meiryo UI"/>
            <a:ea typeface="Meiryo UI"/>
          </a:endParaRPr>
        </a:p>
      </xdr:txBody>
    </xdr:sp>
    <xdr:clientData/>
  </xdr:twoCellAnchor>
  <xdr:twoCellAnchor editAs="oneCell">
    <xdr:from>
      <xdr:col>123</xdr:col>
      <xdr:colOff>0</xdr:colOff>
      <xdr:row>16</xdr:row>
      <xdr:rowOff>0</xdr:rowOff>
    </xdr:from>
    <xdr:to>
      <xdr:col>127</xdr:col>
      <xdr:colOff>0</xdr:colOff>
      <xdr:row>20</xdr:row>
      <xdr:rowOff>0</xdr:rowOff>
    </xdr:to>
    <xdr:sp macro="" textlink="">
      <xdr:nvSpPr>
        <xdr:cNvPr id="140" name="ノード: 円柱・標準（ルートE）">
          <a:extLst>
            <a:ext uri="{FF2B5EF4-FFF2-40B4-BE49-F238E27FC236}">
              <a16:creationId xmlns:a16="http://schemas.microsoft.com/office/drawing/2014/main" id="{2006D434-35A8-49A9-904A-B04D30BE2662}"/>
            </a:ext>
          </a:extLst>
        </xdr:cNvPr>
        <xdr:cNvSpPr/>
      </xdr:nvSpPr>
      <xdr:spPr>
        <a:xfrm>
          <a:off x="23431500" y="3048000"/>
          <a:ext cx="762000" cy="76200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FFECF0"/>
        </a:solidFill>
        <a:ln w="15875" cap="flat">
          <a:solidFill>
            <a:srgbClr val="B04B68"/>
          </a:solidFill>
          <a:round/>
        </a:ln>
      </xdr:spPr>
      <xdr:txBody>
        <a:bodyPr vertOverflow="overflow" horzOverflow="overflow" wrap="square" lIns="25400" tIns="76200" rIns="25400" bIns="25400" rtlCol="0" anchor="ctr">
          <a:noAutofit/>
        </a:bodyPr>
        <a:lstStyle/>
        <a:p>
          <a:pPr algn="ctr">
            <a:lnSpc>
              <a:spcPct val="95000"/>
            </a:lnSpc>
          </a:pPr>
          <a:r>
            <a:rPr lang="ja-JP" altLang="en-US" sz="850" b="1" dirty="0">
              <a:solidFill>
                <a:srgbClr val="262626"/>
              </a:solidFill>
              <a:latin typeface="Meiryo UI"/>
              <a:ea typeface="Meiryo UI"/>
              <a:cs typeface="Meiryo UI"/>
            </a:rPr>
            <a:t>DB</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ストレージ</a:t>
          </a:r>
          <a:endParaRPr lang="ja-JP" altLang="en-US" sz="700" dirty="0">
            <a:latin typeface="Meiryo UI"/>
            <a:ea typeface="Meiryo UI"/>
          </a:endParaRPr>
        </a:p>
      </xdr:txBody>
    </xdr:sp>
    <xdr:clientData/>
  </xdr:twoCellAnchor>
  <xdr:twoCellAnchor editAs="oneCell">
    <xdr:from>
      <xdr:col>127</xdr:col>
      <xdr:colOff>0</xdr:colOff>
      <xdr:row>16</xdr:row>
      <xdr:rowOff>0</xdr:rowOff>
    </xdr:from>
    <xdr:to>
      <xdr:col>131</xdr:col>
      <xdr:colOff>0</xdr:colOff>
      <xdr:row>20</xdr:row>
      <xdr:rowOff>0</xdr:rowOff>
    </xdr:to>
    <xdr:sp macro="" textlink="">
      <xdr:nvSpPr>
        <xdr:cNvPr id="141" name="ノード: 円・標準（ルートE）">
          <a:extLst>
            <a:ext uri="{FF2B5EF4-FFF2-40B4-BE49-F238E27FC236}">
              <a16:creationId xmlns:a16="http://schemas.microsoft.com/office/drawing/2014/main" id="{2F77A3E5-6A09-4C68-B604-DE19FA286E8A}"/>
            </a:ext>
          </a:extLst>
        </xdr:cNvPr>
        <xdr:cNvSpPr/>
      </xdr:nvSpPr>
      <xdr:spPr>
        <a:xfrm>
          <a:off x="24193500" y="3048000"/>
          <a:ext cx="762000" cy="762000"/>
        </a:xfrm>
        <a:custGeom>
          <a:avLst/>
          <a:gdLst>
            <a:gd name="wr" fmla="*/ w 1 2"/>
            <a:gd name="hr" fmla="*/ h 1 2"/>
            <a:gd name="dx0" fmla="sin wr 18900000"/>
            <a:gd name="dy0" fmla="cos hr 18900000"/>
            <a:gd name="px0" fmla="+- hc dx0 0"/>
            <a:gd name="py0" fmla="+- vc 0 dy0"/>
            <a:gd name="dx1" fmla="sin wr 20250000"/>
            <a:gd name="dy1" fmla="cos hr 20250000"/>
            <a:gd name="px1" fmla="+- hc dx1 0"/>
            <a:gd name="py1" fmla="+- vc 0 dy1"/>
            <a:gd name="dx2" fmla="sin wr 0"/>
            <a:gd name="dy2" fmla="cos hr 0"/>
            <a:gd name="px2" fmla="+- hc dx2 0"/>
            <a:gd name="py2" fmla="+- vc 0 dy2"/>
            <a:gd name="dx3" fmla="sin wr 1350000"/>
            <a:gd name="dy3" fmla="cos hr 1350000"/>
            <a:gd name="px3" fmla="+- hc dx3 0"/>
            <a:gd name="py3" fmla="+- vc 0 dy3"/>
            <a:gd name="dx4" fmla="sin wr 2700000"/>
            <a:gd name="dy4" fmla="cos hr 2700000"/>
            <a:gd name="px4" fmla="+- hc dx4 0"/>
            <a:gd name="py4" fmla="+- vc 0 dy4"/>
            <a:gd name="dx5" fmla="sin wr 4050000"/>
            <a:gd name="dy5" fmla="cos hr 4050000"/>
            <a:gd name="px5" fmla="+- hc dx5 0"/>
            <a:gd name="py5" fmla="+- vc 0 dy5"/>
            <a:gd name="dx6" fmla="sin wr 5400000"/>
            <a:gd name="dy6" fmla="cos hr 5400000"/>
            <a:gd name="px6" fmla="+- hc dx6 0"/>
            <a:gd name="py6" fmla="+- vc 0 dy6"/>
            <a:gd name="dx7" fmla="sin wr 6750000"/>
            <a:gd name="dy7" fmla="cos hr 6750000"/>
            <a:gd name="px7" fmla="+- hc dx7 0"/>
            <a:gd name="py7" fmla="+- vc 0 dy7"/>
            <a:gd name="dx8" fmla="sin wr 8100000"/>
            <a:gd name="dy8" fmla="cos hr 8100000"/>
            <a:gd name="px8" fmla="+- hc dx8 0"/>
            <a:gd name="py8" fmla="+- vc 0 dy8"/>
            <a:gd name="dx9" fmla="sin wr 9450000"/>
            <a:gd name="dy9" fmla="cos hr 9450000"/>
            <a:gd name="px9" fmla="+- hc dx9 0"/>
            <a:gd name="py9" fmla="+- vc 0 dy9"/>
            <a:gd name="dx10" fmla="sin wr 10800000"/>
            <a:gd name="dy10" fmla="cos hr 10800000"/>
            <a:gd name="px10" fmla="+- hc dx10 0"/>
            <a:gd name="py10" fmla="+- vc 0 dy10"/>
            <a:gd name="dx11" fmla="sin wr 12150000"/>
            <a:gd name="dy11" fmla="cos hr 12150000"/>
            <a:gd name="px11" fmla="+- hc dx11 0"/>
            <a:gd name="py11" fmla="+- vc 0 dy11"/>
            <a:gd name="dx12" fmla="sin wr 13500000"/>
            <a:gd name="dy12" fmla="cos hr 13500000"/>
            <a:gd name="px12" fmla="+- hc dx12 0"/>
            <a:gd name="py12" fmla="+- vc 0 dy12"/>
            <a:gd name="dx13" fmla="sin wr 14850000"/>
            <a:gd name="dy13" fmla="cos hr 14850000"/>
            <a:gd name="px13" fmla="+- hc dx13 0"/>
            <a:gd name="py13" fmla="+- vc 0 dy13"/>
            <a:gd name="dx14" fmla="sin wr 16200000"/>
            <a:gd name="dy14" fmla="cos hr 16200000"/>
            <a:gd name="px14" fmla="+- hc dx14 0"/>
            <a:gd name="py14" fmla="+- vc 0 dy14"/>
            <a:gd name="dx15" fmla="sin wr 17550000"/>
            <a:gd name="dy15" fmla="cos hr 17550000"/>
            <a:gd name="px15" fmla="+- hc dx15 0"/>
            <a:gd name="py15" fmla="+- vc 0 dy15"/>
          </a:gdLst>
          <a:ahLst/>
          <a:cxnLst>
            <a:cxn ang="10800000">
              <a:pos x="px0" y="py0"/>
            </a:cxn>
            <a:cxn ang="16200000">
              <a:pos x="px1" y="py1"/>
            </a:cxn>
            <a:cxn ang="16200000">
              <a:pos x="px2" y="py2"/>
            </a:cxn>
            <a:cxn ang="16200000">
              <a:pos x="px3" y="py3"/>
            </a:cxn>
            <a:cxn ang="0">
              <a:pos x="px4" y="py4"/>
            </a:cxn>
            <a:cxn ang="0">
              <a:pos x="px5" y="py5"/>
            </a:cxn>
            <a:cxn ang="0">
              <a:pos x="px6" y="py6"/>
            </a:cxn>
            <a:cxn ang="0">
              <a:pos x="px7" y="py7"/>
            </a:cxn>
            <a:cxn ang="0">
              <a:pos x="px8" y="py8"/>
            </a:cxn>
            <a:cxn ang="5400000">
              <a:pos x="px9" y="py9"/>
            </a:cxn>
            <a:cxn ang="5400000">
              <a:pos x="px10" y="py10"/>
            </a:cxn>
            <a:cxn ang="5400000">
              <a:pos x="px11" y="py11"/>
            </a:cxn>
            <a:cxn ang="10800000">
              <a:pos x="px12" y="py12"/>
            </a:cxn>
            <a:cxn ang="10800000">
              <a:pos x="px13" y="py13"/>
            </a:cxn>
            <a:cxn ang="10800000">
              <a:pos x="px14" y="py14"/>
            </a:cxn>
            <a:cxn ang="10800000">
              <a:pos x="px15" y="py15"/>
            </a:cxn>
          </a:cxnLst>
          <a:rect l="l" t="t" r="r" b="b"/>
          <a:pathLst>
            <a:path>
              <a:moveTo>
                <a:pt x="l" y="vc"/>
              </a:moveTo>
              <a:arcTo wR="wr" hR="hr" stAng="10800000" swAng="21600000"/>
              <a:close/>
            </a:path>
          </a:pathLst>
        </a:custGeom>
        <a:solidFill>
          <a:srgbClr val="FFECF0"/>
        </a:solidFill>
        <a:ln w="15875" cap="flat">
          <a:solidFill>
            <a:srgbClr val="B04B68"/>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利用者</a:t>
          </a:r>
          <a:endParaRPr lang="ja-JP" altLang="en-US" sz="850" dirty="0">
            <a:latin typeface="Meiryo UI"/>
            <a:ea typeface="Meiryo UI"/>
          </a:endParaRPr>
        </a:p>
      </xdr:txBody>
    </xdr:sp>
    <xdr:clientData/>
  </xdr:twoCellAnchor>
  <xdr:twoCellAnchor editAs="oneCell">
    <xdr:from>
      <xdr:col>123</xdr:col>
      <xdr:colOff>0</xdr:colOff>
      <xdr:row>21</xdr:row>
      <xdr:rowOff>0</xdr:rowOff>
    </xdr:from>
    <xdr:to>
      <xdr:col>131</xdr:col>
      <xdr:colOff>0</xdr:colOff>
      <xdr:row>25</xdr:row>
      <xdr:rowOff>0</xdr:rowOff>
    </xdr:to>
    <xdr:sp macro="" textlink="">
      <xdr:nvSpPr>
        <xdr:cNvPr id="142" name="ノード: カプセル・標準（ルートE）">
          <a:extLst>
            <a:ext uri="{FF2B5EF4-FFF2-40B4-BE49-F238E27FC236}">
              <a16:creationId xmlns:a16="http://schemas.microsoft.com/office/drawing/2014/main" id="{851FE29F-C50A-4DC6-A1C9-84B58A0DC3CA}"/>
            </a:ext>
          </a:extLst>
        </xdr:cNvPr>
        <xdr:cNvSpPr/>
      </xdr:nvSpPr>
      <xdr:spPr>
        <a:xfrm>
          <a:off x="23431500" y="4000500"/>
          <a:ext cx="1524000" cy="762000"/>
        </a:xfrm>
        <a:custGeom>
          <a:avLst/>
          <a:gdLst>
            <a:gd name="x1" fmla="*/ w 1 4"/>
            <a:gd name="x2" fmla="*/ w 1 2"/>
            <a:gd name="x3" fmla="*/ w 3 4"/>
            <a:gd name="y1" fmla="*/ h 1 4"/>
            <a:gd name="y2" fmla="*/ h 1 2"/>
            <a:gd name="y3" fmla="*/ h 3 4"/>
            <a:gd name="smin" fmla="min w h"/>
            <a:gd name="rr" fmla="*/ smin 1 2"/>
            <a:gd name="rx" fmla="+- r 0 rr"/>
            <a:gd name="k" fmla="*/ rr 13397 100000"/>
            <a:gd name="rk" fmla="+- r 0 k"/>
            <a:gd name="q45" fmla="*/ rr 29289 100000"/>
            <a:gd name="q45r" fmla="+- r 0 q45"/>
            <a:gd name="q45b" fmla="+- b 0 q45"/>
          </a:gdLst>
          <a:ahLst/>
          <a:cxnLst>
            <a:cxn ang="10800000">
              <a:pos x="q45" y="q45"/>
            </a:cxn>
            <a:cxn ang="16200000">
              <a:pos x="x1" y="t"/>
            </a:cxn>
            <a:cxn ang="16200000">
              <a:pos x="x2" y="t"/>
            </a:cxn>
            <a:cxn ang="16200000">
              <a:pos x="x3" y="t"/>
            </a:cxn>
            <a:cxn ang="0">
              <a:pos x="q45r" y="q45"/>
            </a:cxn>
            <a:cxn ang="0">
              <a:pos x="rk" y="y1"/>
            </a:cxn>
            <a:cxn ang="0">
              <a:pos x="r" y="y2"/>
            </a:cxn>
            <a:cxn ang="0">
              <a:pos x="rk" y="y3"/>
            </a:cxn>
            <a:cxn ang="0">
              <a:pos x="q45r" y="q45b"/>
            </a:cxn>
            <a:cxn ang="5400000">
              <a:pos x="x3" y="b"/>
            </a:cxn>
            <a:cxn ang="5400000">
              <a:pos x="x2" y="b"/>
            </a:cxn>
            <a:cxn ang="5400000">
              <a:pos x="x1" y="b"/>
            </a:cxn>
            <a:cxn ang="10800000">
              <a:pos x="q45" y="q45b"/>
            </a:cxn>
            <a:cxn ang="10800000">
              <a:pos x="k" y="y3"/>
            </a:cxn>
            <a:cxn ang="10800000">
              <a:pos x="l" y="y2"/>
            </a:cxn>
            <a:cxn ang="10800000">
              <a:pos x="k" y="y1"/>
            </a:cxn>
          </a:cxnLst>
          <a:rect l="l" t="t" r="r" b="b"/>
          <a:pathLst>
            <a:path>
              <a:moveTo>
                <a:pt x="rr" y="t"/>
              </a:moveTo>
              <a:lnTo>
                <a:pt x="rx" y="t"/>
              </a:lnTo>
              <a:arcTo wR="rr" hR="rr" stAng="16200000" swAng="10800000"/>
              <a:lnTo>
                <a:pt x="rr" y="b"/>
              </a:lnTo>
              <a:arcTo wR="rr" hR="rr" stAng="5400000" swAng="10800000"/>
              <a:close/>
            </a:path>
          </a:pathLst>
        </a:custGeom>
        <a:solidFill>
          <a:srgbClr val="FFECF0"/>
        </a:solidFill>
        <a:ln w="15875" cap="flat">
          <a:solidFill>
            <a:srgbClr val="B04B68"/>
          </a:solidFill>
          <a:round/>
        </a:ln>
      </xdr:spPr>
      <xdr:txBody>
        <a:bodyPr vertOverflow="overflow" horzOverflow="overflow" wrap="square" lIns="101600" tIns="12700" rIns="101600" bIns="12700" rtlCol="0" anchor="ctr">
          <a:noAutofit/>
        </a:bodyPr>
        <a:lstStyle/>
        <a:p>
          <a:pPr algn="ctr">
            <a:lnSpc>
              <a:spcPct val="95000"/>
            </a:lnSpc>
          </a:pPr>
          <a:r>
            <a:rPr lang="ja-JP" altLang="en-US" sz="950" b="1" dirty="0">
              <a:solidFill>
                <a:srgbClr val="262626"/>
              </a:solidFill>
              <a:latin typeface="Meiryo UI"/>
              <a:ea typeface="Meiryo UI"/>
              <a:cs typeface="Meiryo UI"/>
            </a:rPr>
            <a:t>API・キュー</a:t>
          </a:r>
          <a:endParaRPr lang="ja-JP" altLang="en-US" sz="950" dirty="0">
            <a:latin typeface="Meiryo UI"/>
            <a:ea typeface="Meiryo UI"/>
          </a:endParaRPr>
        </a:p>
      </xdr:txBody>
    </xdr:sp>
    <xdr:clientData/>
  </xdr:twoCellAnchor>
  <xdr:twoCellAnchor editAs="oneCell">
    <xdr:from>
      <xdr:col>123</xdr:col>
      <xdr:colOff>0</xdr:colOff>
      <xdr:row>27</xdr:row>
      <xdr:rowOff>0</xdr:rowOff>
    </xdr:from>
    <xdr:to>
      <xdr:col>131</xdr:col>
      <xdr:colOff>0</xdr:colOff>
      <xdr:row>27</xdr:row>
      <xdr:rowOff>0</xdr:rowOff>
    </xdr:to>
    <xdr:cxnSp macro="">
      <xdr:nvCxnSpPr>
        <xdr:cNvPr id="143" name="線: オンライン連携・直線（ルートE）">
          <a:extLst>
            <a:ext uri="{FF2B5EF4-FFF2-40B4-BE49-F238E27FC236}">
              <a16:creationId xmlns:a16="http://schemas.microsoft.com/office/drawing/2014/main" id="{0C810BB5-0809-4586-9923-F5485C0E983B}"/>
            </a:ext>
          </a:extLst>
        </xdr:cNvPr>
        <xdr:cNvCxnSpPr/>
      </xdr:nvCxnSpPr>
      <xdr:spPr>
        <a:xfrm>
          <a:off x="23431500" y="5143500"/>
          <a:ext cx="1524000" cy="0"/>
        </a:xfrm>
        <a:prstGeom prst="straightConnector1">
          <a:avLst/>
        </a:prstGeom>
        <a:ln w="19050" cap="flat">
          <a:solidFill>
            <a:srgbClr val="B04B68"/>
          </a:solidFill>
          <a:round/>
          <a:tailEnd type="triangle" w="med" len="med"/>
        </a:ln>
      </xdr:spPr>
    </xdr:cxnSp>
    <xdr:clientData/>
  </xdr:twoCellAnchor>
  <xdr:twoCellAnchor editAs="oneCell">
    <xdr:from>
      <xdr:col>123</xdr:col>
      <xdr:colOff>0</xdr:colOff>
      <xdr:row>28</xdr:row>
      <xdr:rowOff>0</xdr:rowOff>
    </xdr:from>
    <xdr:to>
      <xdr:col>131</xdr:col>
      <xdr:colOff>0</xdr:colOff>
      <xdr:row>28</xdr:row>
      <xdr:rowOff>0</xdr:rowOff>
    </xdr:to>
    <xdr:cxnSp macro="">
      <xdr:nvCxnSpPr>
        <xdr:cNvPr id="144" name="線: バッチ・ファイル・直線（ルートE）">
          <a:extLst>
            <a:ext uri="{FF2B5EF4-FFF2-40B4-BE49-F238E27FC236}">
              <a16:creationId xmlns:a16="http://schemas.microsoft.com/office/drawing/2014/main" id="{2D791C13-80F7-407A-893C-A9F6BE9253FE}"/>
            </a:ext>
          </a:extLst>
        </xdr:cNvPr>
        <xdr:cNvCxnSpPr/>
      </xdr:nvCxnSpPr>
      <xdr:spPr>
        <a:xfrm>
          <a:off x="23431500" y="5334000"/>
          <a:ext cx="1524000" cy="0"/>
        </a:xfrm>
        <a:prstGeom prst="straightConnector1">
          <a:avLst/>
        </a:prstGeom>
        <a:ln w="19050" cap="flat">
          <a:solidFill>
            <a:srgbClr val="B04B68"/>
          </a:solidFill>
          <a:prstDash val="dash"/>
          <a:round/>
          <a:tailEnd type="triangle" w="med" len="med"/>
        </a:ln>
      </xdr:spPr>
    </xdr:cxnSp>
    <xdr:clientData/>
  </xdr:twoCellAnchor>
  <xdr:twoCellAnchor editAs="oneCell">
    <xdr:from>
      <xdr:col>123</xdr:col>
      <xdr:colOff>0</xdr:colOff>
      <xdr:row>29</xdr:row>
      <xdr:rowOff>0</xdr:rowOff>
    </xdr:from>
    <xdr:to>
      <xdr:col>131</xdr:col>
      <xdr:colOff>0</xdr:colOff>
      <xdr:row>29</xdr:row>
      <xdr:rowOff>0</xdr:rowOff>
    </xdr:to>
    <xdr:cxnSp macro="">
      <xdr:nvCxnSpPr>
        <xdr:cNvPr id="145" name="線: 監視・運用・直線（ルートE）">
          <a:extLst>
            <a:ext uri="{FF2B5EF4-FFF2-40B4-BE49-F238E27FC236}">
              <a16:creationId xmlns:a16="http://schemas.microsoft.com/office/drawing/2014/main" id="{BAD12874-A213-468B-BADC-7336C3181731}"/>
            </a:ext>
          </a:extLst>
        </xdr:cNvPr>
        <xdr:cNvCxnSpPr/>
      </xdr:nvCxnSpPr>
      <xdr:spPr>
        <a:xfrm>
          <a:off x="23431500" y="5524500"/>
          <a:ext cx="1524000" cy="0"/>
        </a:xfrm>
        <a:prstGeom prst="straightConnector1">
          <a:avLst/>
        </a:prstGeom>
        <a:ln w="12700" cap="flat">
          <a:solidFill>
            <a:srgbClr val="B04B68"/>
          </a:solidFill>
          <a:prstDash val="sysDot"/>
          <a:round/>
          <a:tailEnd type="triangle" w="med" len="med"/>
        </a:ln>
      </xdr:spPr>
    </xdr:cxnSp>
    <xdr:clientData/>
  </xdr:twoCellAnchor>
  <xdr:twoCellAnchor editAs="oneCell">
    <xdr:from>
      <xdr:col>123</xdr:col>
      <xdr:colOff>0</xdr:colOff>
      <xdr:row>30</xdr:row>
      <xdr:rowOff>0</xdr:rowOff>
    </xdr:from>
    <xdr:to>
      <xdr:col>131</xdr:col>
      <xdr:colOff>0</xdr:colOff>
      <xdr:row>32</xdr:row>
      <xdr:rowOff>0</xdr:rowOff>
    </xdr:to>
    <xdr:cxnSp macro="">
      <xdr:nvCxnSpPr>
        <xdr:cNvPr id="146" name="線: オンライン連携・カギ線（ルートE）">
          <a:extLst>
            <a:ext uri="{FF2B5EF4-FFF2-40B4-BE49-F238E27FC236}">
              <a16:creationId xmlns:a16="http://schemas.microsoft.com/office/drawing/2014/main" id="{ECC8CBB1-F634-4176-87C9-A8131231EEAE}"/>
            </a:ext>
          </a:extLst>
        </xdr:cNvPr>
        <xdr:cNvCxnSpPr/>
      </xdr:nvCxnSpPr>
      <xdr:spPr>
        <a:xfrm>
          <a:off x="23431500" y="5715000"/>
          <a:ext cx="1524000" cy="381000"/>
        </a:xfrm>
        <a:prstGeom prst="bentConnector3">
          <a:avLst/>
        </a:prstGeom>
        <a:ln w="19050" cap="flat">
          <a:solidFill>
            <a:srgbClr val="B04B68"/>
          </a:solidFill>
          <a:round/>
          <a:tailEnd type="triangle" w="med" len="med"/>
        </a:ln>
      </xdr:spPr>
    </xdr:cxnSp>
    <xdr:clientData/>
  </xdr:twoCellAnchor>
  <xdr:twoCellAnchor editAs="oneCell">
    <xdr:from>
      <xdr:col>123</xdr:col>
      <xdr:colOff>0</xdr:colOff>
      <xdr:row>34</xdr:row>
      <xdr:rowOff>0</xdr:rowOff>
    </xdr:from>
    <xdr:to>
      <xdr:col>131</xdr:col>
      <xdr:colOff>0</xdr:colOff>
      <xdr:row>38</xdr:row>
      <xdr:rowOff>0</xdr:rowOff>
    </xdr:to>
    <xdr:grpSp>
      <xdr:nvGrpSpPr>
        <xdr:cNvPr id="147" name="コメント: ポイント（ルートE）">
          <a:extLst>
            <a:ext uri="{FF2B5EF4-FFF2-40B4-BE49-F238E27FC236}">
              <a16:creationId xmlns:a16="http://schemas.microsoft.com/office/drawing/2014/main" id="{C9DA534F-42DB-4263-B116-74FEE94ED638}"/>
            </a:ext>
          </a:extLst>
        </xdr:cNvPr>
        <xdr:cNvGrpSpPr/>
      </xdr:nvGrpSpPr>
      <xdr:grpSpPr>
        <a:xfrm>
          <a:off x="23431500" y="6477000"/>
          <a:ext cx="1524000" cy="762000"/>
          <a:chOff x="23431500" y="6477000"/>
          <a:chExt cx="1524000" cy="762000"/>
        </a:xfrm>
      </xdr:grpSpPr>
      <xdr:sp macro="" textlink="">
        <xdr:nvSpPr>
          <xdr:cNvPr id="148" name="本文">
            <a:extLst>
              <a:ext uri="{FF2B5EF4-FFF2-40B4-BE49-F238E27FC236}">
                <a16:creationId xmlns:a16="http://schemas.microsoft.com/office/drawing/2014/main" id="{7F86F726-10CF-45FA-B45C-B0532E86C105}"/>
              </a:ext>
            </a:extLst>
          </xdr:cNvPr>
          <xdr:cNvSpPr/>
        </xdr:nvSpPr>
        <xdr:spPr>
          <a:xfrm>
            <a:off x="23431500" y="6477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FF5F7"/>
          </a:solidFill>
          <a:ln w="9525" cap="flat">
            <a:solidFill>
              <a:srgbClr val="F3C6CF"/>
            </a:solidFill>
            <a:round/>
          </a:ln>
        </xdr:spPr>
        <xdr:txBody>
          <a:bodyPr vertOverflow="overflow" horzOverflow="overflow" wrap="square" lIns="76200" tIns="228600" rIns="76200" bIns="38100" rtlCol="0" anchor="t">
            <a:noAutofit/>
          </a:bodyPr>
          <a:lstStyle/>
          <a:p>
            <a:pPr algn="l">
              <a:lnSpc>
                <a:spcPct val="100000"/>
              </a:lnSpc>
            </a:pPr>
            <a:r>
              <a:rPr lang="ja-JP" altLang="en-US" sz="800" b="0" dirty="0">
                <a:solidFill>
                  <a:srgbClr val="404040"/>
                </a:solidFill>
                <a:latin typeface="Meiryo UI"/>
                <a:ea typeface="Meiryo UI"/>
                <a:cs typeface="Meiryo UI"/>
              </a:rPr>
              <a:t>ポイントを記入</a:t>
            </a:r>
            <a:endParaRPr lang="ja-JP" altLang="en-US" sz="800" dirty="0">
              <a:latin typeface="Meiryo UI"/>
              <a:ea typeface="Meiryo UI"/>
            </a:endParaRPr>
          </a:p>
        </xdr:txBody>
      </xdr:sp>
      <xdr:sp macro="" textlink="">
        <xdr:nvSpPr>
          <xdr:cNvPr id="149" name="見出し">
            <a:extLst>
              <a:ext uri="{FF2B5EF4-FFF2-40B4-BE49-F238E27FC236}">
                <a16:creationId xmlns:a16="http://schemas.microsoft.com/office/drawing/2014/main" id="{85D5CB85-A1AC-417A-8AE4-54D8612B791F}"/>
              </a:ext>
            </a:extLst>
          </xdr:cNvPr>
          <xdr:cNvSpPr/>
        </xdr:nvSpPr>
        <xdr:spPr>
          <a:xfrm>
            <a:off x="23431500" y="6477000"/>
            <a:ext cx="1524000" cy="190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B04B68"/>
          </a:solidFill>
          <a:ln w="9525" cap="flat">
            <a:solidFill>
              <a:srgbClr val="B04B68"/>
            </a:solidFill>
            <a:round/>
          </a:ln>
        </xdr:spPr>
        <xdr:txBody>
          <a:bodyPr vertOverflow="overflow" horzOverflow="overflow" wrap="none" lIns="76200" tIns="0" rIns="76200" bIns="0" rtlCol="0" anchor="ctr">
            <a:noAutofit/>
          </a:bodyPr>
          <a:lstStyle/>
          <a:p>
            <a:pPr algn="l"/>
            <a:r>
              <a:rPr lang="ja-JP" altLang="en-US" sz="750" b="1" dirty="0">
                <a:solidFill>
                  <a:srgbClr val="FFFFFF"/>
                </a:solidFill>
                <a:latin typeface="Meiryo UI"/>
                <a:ea typeface="Meiryo UI"/>
                <a:cs typeface="Meiryo UI"/>
              </a:rPr>
              <a:t>POINT</a:t>
            </a:r>
            <a:endParaRPr lang="ja-JP" altLang="en-US" sz="800" dirty="0">
              <a:latin typeface="Meiryo UI"/>
              <a:ea typeface="Meiryo UI"/>
            </a:endParaRPr>
          </a:p>
        </xdr:txBody>
      </xdr:sp>
    </xdr:grpSp>
    <xdr:clientData/>
  </xdr:twoCellAnchor>
  <xdr:twoCellAnchor editAs="oneCell">
    <xdr:from>
      <xdr:col>123</xdr:col>
      <xdr:colOff>0</xdr:colOff>
      <xdr:row>39</xdr:row>
      <xdr:rowOff>0</xdr:rowOff>
    </xdr:from>
    <xdr:to>
      <xdr:col>131</xdr:col>
      <xdr:colOff>0</xdr:colOff>
      <xdr:row>42</xdr:row>
      <xdr:rowOff>0</xdr:rowOff>
    </xdr:to>
    <xdr:grpSp>
      <xdr:nvGrpSpPr>
        <xdr:cNvPr id="150" name="コメント: 付記（ルートE）">
          <a:extLst>
            <a:ext uri="{FF2B5EF4-FFF2-40B4-BE49-F238E27FC236}">
              <a16:creationId xmlns:a16="http://schemas.microsoft.com/office/drawing/2014/main" id="{5673BC3D-FABC-4B94-9423-A6F87E3C5AFE}"/>
            </a:ext>
          </a:extLst>
        </xdr:cNvPr>
        <xdr:cNvGrpSpPr/>
      </xdr:nvGrpSpPr>
      <xdr:grpSpPr>
        <a:xfrm>
          <a:off x="23431500" y="7429500"/>
          <a:ext cx="1524000" cy="571500"/>
          <a:chOff x="23431500" y="7429500"/>
          <a:chExt cx="1524000" cy="571500"/>
        </a:xfrm>
      </xdr:grpSpPr>
      <xdr:sp macro="" textlink="">
        <xdr:nvSpPr>
          <xdr:cNvPr id="151" name="本文">
            <a:extLst>
              <a:ext uri="{FF2B5EF4-FFF2-40B4-BE49-F238E27FC236}">
                <a16:creationId xmlns:a16="http://schemas.microsoft.com/office/drawing/2014/main" id="{A547B0D8-B9E1-4592-AFA3-D661882A5ED7}"/>
              </a:ext>
            </a:extLst>
          </xdr:cNvPr>
          <xdr:cNvSpPr/>
        </xdr:nvSpPr>
        <xdr:spPr>
          <a:xfrm>
            <a:off x="23431500" y="7429500"/>
            <a:ext cx="1524000" cy="571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FF5F7"/>
          </a:solidFill>
          <a:ln>
            <a:noFill/>
          </a:ln>
        </xdr:spPr>
        <xdr:txBody>
          <a:bodyPr vertOverflow="overflow" horzOverflow="overflow" wrap="square" lIns="114300" tIns="50800" rIns="76200" bIns="38100" rtlCol="0" anchor="t">
            <a:noAutofit/>
          </a:bodyPr>
          <a:lstStyle/>
          <a:p>
            <a:pPr algn="l"/>
            <a:r>
              <a:rPr lang="ja-JP" altLang="en-US" sz="800" b="1" dirty="0">
                <a:solidFill>
                  <a:srgbClr val="7E2643"/>
                </a:solidFill>
                <a:latin typeface="Meiryo UI"/>
                <a:ea typeface="Meiryo UI"/>
                <a:cs typeface="Meiryo UI"/>
              </a:rPr>
              <a:t>付記</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補足を記入</a:t>
            </a:r>
            <a:endParaRPr lang="ja-JP" altLang="en-US" sz="800" dirty="0">
              <a:latin typeface="Meiryo UI"/>
              <a:ea typeface="Meiryo UI"/>
            </a:endParaRPr>
          </a:p>
        </xdr:txBody>
      </xdr:sp>
      <xdr:sp macro="" textlink="">
        <xdr:nvSpPr>
          <xdr:cNvPr id="152" name="左ライン">
            <a:extLst>
              <a:ext uri="{FF2B5EF4-FFF2-40B4-BE49-F238E27FC236}">
                <a16:creationId xmlns:a16="http://schemas.microsoft.com/office/drawing/2014/main" id="{0D256272-95EC-4B19-A3AE-D68703494E85}"/>
              </a:ext>
            </a:extLst>
          </xdr:cNvPr>
          <xdr:cNvSpPr/>
        </xdr:nvSpPr>
        <xdr:spPr>
          <a:xfrm>
            <a:off x="23431500" y="7429500"/>
            <a:ext cx="38100" cy="571500"/>
          </a:xfrm>
          <a:prstGeom prst="rect">
            <a:avLst/>
          </a:prstGeom>
          <a:solidFill>
            <a:srgbClr val="B04B68"/>
          </a:solidFill>
          <a:ln>
            <a:noFill/>
          </a:ln>
        </xdr:spPr>
        <xdr:txBody>
          <a:bodyPr vertOverflow="overflow" horzOverflow="overflow" wrap="square" lIns="38100" tIns="19050" rIns="38100" bIns="19050" rtlCol="0" anchor="ctr">
            <a:noAutofit/>
          </a:bodyPr>
          <a:lstStyle/>
          <a:p>
            <a:pPr algn="l"/>
            <a:endParaRPr lang="ja-JP" altLang="en-US" sz="600" dirty="0">
              <a:latin typeface="Meiryo UI"/>
              <a:ea typeface="Meiryo UI"/>
            </a:endParaRPr>
          </a:p>
        </xdr:txBody>
      </xdr:sp>
    </xdr:grpSp>
    <xdr:clientData/>
  </xdr:twoCellAnchor>
  <xdr:twoCellAnchor editAs="oneCell">
    <xdr:from>
      <xdr:col>123</xdr:col>
      <xdr:colOff>0</xdr:colOff>
      <xdr:row>43</xdr:row>
      <xdr:rowOff>0</xdr:rowOff>
    </xdr:from>
    <xdr:to>
      <xdr:col>131</xdr:col>
      <xdr:colOff>0</xdr:colOff>
      <xdr:row>45</xdr:row>
      <xdr:rowOff>0</xdr:rowOff>
    </xdr:to>
    <xdr:sp macro="" textlink="">
      <xdr:nvSpPr>
        <xdr:cNvPr id="153" name="コメント: 吹き出し（ルートE）">
          <a:extLst>
            <a:ext uri="{FF2B5EF4-FFF2-40B4-BE49-F238E27FC236}">
              <a16:creationId xmlns:a16="http://schemas.microsoft.com/office/drawing/2014/main" id="{8E73756A-A348-47BC-BBEC-2F1A70FC2E00}"/>
            </a:ext>
          </a:extLst>
        </xdr:cNvPr>
        <xdr:cNvSpPr/>
      </xdr:nvSpPr>
      <xdr:spPr>
        <a:xfrm>
          <a:off x="23431500" y="8191500"/>
          <a:ext cx="1524000" cy="381000"/>
        </a:xfrm>
        <a:prstGeom prst="wedgeRoundRectCallout">
          <a:avLst>
            <a:gd name="adj1" fmla="val -30000"/>
            <a:gd name="adj2" fmla="val 95000"/>
            <a:gd name="adj3" fmla="val 16667"/>
          </a:avLst>
        </a:prstGeom>
        <a:solidFill>
          <a:srgbClr val="FFFFFF"/>
        </a:solidFill>
        <a:ln w="12700" cap="flat">
          <a:solidFill>
            <a:srgbClr val="B04B68"/>
          </a:solidFill>
          <a:round/>
        </a:ln>
      </xdr:spPr>
      <xdr:txBody>
        <a:bodyPr vertOverflow="overflow" horzOverflow="overflow" wrap="square" lIns="63500" tIns="25400" rIns="63500" bIns="25400" rtlCol="0" anchor="ctr">
          <a:noAutofit/>
        </a:bodyPr>
        <a:lstStyle/>
        <a:p>
          <a:pPr algn="l"/>
          <a:r>
            <a:rPr lang="ja-JP" altLang="en-US" sz="800" b="0" dirty="0">
              <a:solidFill>
                <a:srgbClr val="404040"/>
              </a:solidFill>
              <a:latin typeface="Meiryo UI"/>
              <a:ea typeface="Meiryo UI"/>
              <a:cs typeface="Meiryo UI"/>
            </a:rPr>
            <a:t>指摘・補足</a:t>
          </a:r>
          <a:endParaRPr lang="ja-JP" altLang="en-US" sz="800" dirty="0">
            <a:latin typeface="Meiryo UI"/>
            <a:ea typeface="Meiryo UI"/>
          </a:endParaRPr>
        </a:p>
      </xdr:txBody>
    </xdr:sp>
    <xdr:clientData/>
  </xdr:twoCellAnchor>
  <xdr:twoCellAnchor editAs="oneCell">
    <xdr:from>
      <xdr:col>123</xdr:col>
      <xdr:colOff>0</xdr:colOff>
      <xdr:row>47</xdr:row>
      <xdr:rowOff>0</xdr:rowOff>
    </xdr:from>
    <xdr:to>
      <xdr:col>125</xdr:col>
      <xdr:colOff>0</xdr:colOff>
      <xdr:row>48</xdr:row>
      <xdr:rowOff>0</xdr:rowOff>
    </xdr:to>
    <xdr:sp macro="" textlink="">
      <xdr:nvSpPr>
        <xdr:cNvPr id="154" name="番号: A1（ルートE）">
          <a:extLst>
            <a:ext uri="{FF2B5EF4-FFF2-40B4-BE49-F238E27FC236}">
              <a16:creationId xmlns:a16="http://schemas.microsoft.com/office/drawing/2014/main" id="{F7B8F5D8-718D-47B4-A8B3-4529874BE7CF}"/>
            </a:ext>
          </a:extLst>
        </xdr:cNvPr>
        <xdr:cNvSpPr/>
      </xdr:nvSpPr>
      <xdr:spPr>
        <a:xfrm>
          <a:off x="23431500" y="8953500"/>
          <a:ext cx="381000" cy="190500"/>
        </a:xfrm>
        <a:prstGeom prst="roundRect">
          <a:avLst>
            <a:gd name="adj" fmla="val 50000"/>
          </a:avLst>
        </a:prstGeom>
        <a:solidFill>
          <a:srgbClr val="B04B68"/>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E1</a:t>
          </a:r>
          <a:endParaRPr lang="ja-JP" altLang="en-US" sz="750" dirty="0">
            <a:latin typeface="Meiryo UI"/>
            <a:ea typeface="Meiryo UI"/>
          </a:endParaRPr>
        </a:p>
      </xdr:txBody>
    </xdr:sp>
    <xdr:clientData/>
  </xdr:twoCellAnchor>
  <xdr:twoCellAnchor editAs="oneCell">
    <xdr:from>
      <xdr:col>126</xdr:col>
      <xdr:colOff>0</xdr:colOff>
      <xdr:row>47</xdr:row>
      <xdr:rowOff>0</xdr:rowOff>
    </xdr:from>
    <xdr:to>
      <xdr:col>128</xdr:col>
      <xdr:colOff>0</xdr:colOff>
      <xdr:row>48</xdr:row>
      <xdr:rowOff>0</xdr:rowOff>
    </xdr:to>
    <xdr:sp macro="" textlink="">
      <xdr:nvSpPr>
        <xdr:cNvPr id="155" name="番号: A2（ルートE）">
          <a:extLst>
            <a:ext uri="{FF2B5EF4-FFF2-40B4-BE49-F238E27FC236}">
              <a16:creationId xmlns:a16="http://schemas.microsoft.com/office/drawing/2014/main" id="{D61DE75B-79DC-4BA3-8DB6-A6AB50B4F0FF}"/>
            </a:ext>
          </a:extLst>
        </xdr:cNvPr>
        <xdr:cNvSpPr/>
      </xdr:nvSpPr>
      <xdr:spPr>
        <a:xfrm>
          <a:off x="24003000" y="8953500"/>
          <a:ext cx="381000" cy="190500"/>
        </a:xfrm>
        <a:prstGeom prst="roundRect">
          <a:avLst>
            <a:gd name="adj" fmla="val 50000"/>
          </a:avLst>
        </a:prstGeom>
        <a:solidFill>
          <a:srgbClr val="B04B68"/>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E2</a:t>
          </a:r>
          <a:endParaRPr lang="ja-JP" altLang="en-US" sz="750" dirty="0">
            <a:latin typeface="Meiryo UI"/>
            <a:ea typeface="Meiryo UI"/>
          </a:endParaRPr>
        </a:p>
      </xdr:txBody>
    </xdr:sp>
    <xdr:clientData/>
  </xdr:twoCellAnchor>
  <xdr:twoCellAnchor editAs="oneCell">
    <xdr:from>
      <xdr:col>123</xdr:col>
      <xdr:colOff>0</xdr:colOff>
      <xdr:row>49</xdr:row>
      <xdr:rowOff>0</xdr:rowOff>
    </xdr:from>
    <xdr:to>
      <xdr:col>131</xdr:col>
      <xdr:colOff>0</xdr:colOff>
      <xdr:row>50</xdr:row>
      <xdr:rowOff>0</xdr:rowOff>
    </xdr:to>
    <xdr:sp macro="" textlink="">
      <xdr:nvSpPr>
        <xdr:cNvPr id="156" name="線ラベル（ルートE）">
          <a:extLst>
            <a:ext uri="{FF2B5EF4-FFF2-40B4-BE49-F238E27FC236}">
              <a16:creationId xmlns:a16="http://schemas.microsoft.com/office/drawing/2014/main" id="{75E2720D-B06A-45BC-BD22-5F47C1D5AA35}"/>
            </a:ext>
          </a:extLst>
        </xdr:cNvPr>
        <xdr:cNvSpPr/>
      </xdr:nvSpPr>
      <xdr:spPr>
        <a:xfrm>
          <a:off x="23431500" y="9334500"/>
          <a:ext cx="1524000" cy="190500"/>
        </a:xfrm>
        <a:prstGeom prst="roundRect">
          <a:avLst>
            <a:gd name="adj" fmla="val 50000"/>
          </a:avLst>
        </a:prstGeom>
        <a:solidFill>
          <a:srgbClr val="FFFFFF"/>
        </a:solidFill>
        <a:ln w="9525" cap="flat">
          <a:solidFill>
            <a:srgbClr val="B04B68"/>
          </a:solidFill>
          <a:round/>
        </a:ln>
      </xdr:spPr>
      <xdr:txBody>
        <a:bodyPr vertOverflow="overflow" horzOverflow="overflow" wrap="none" lIns="25400" tIns="0" rIns="25400" bIns="0" rtlCol="0" anchor="ctr">
          <a:noAutofit/>
        </a:bodyPr>
        <a:lstStyle/>
        <a:p>
          <a:pPr algn="ctr"/>
          <a:r>
            <a:rPr lang="ja-JP" altLang="en-US" sz="750" b="0" dirty="0">
              <a:solidFill>
                <a:srgbClr val="7E2643"/>
              </a:solidFill>
              <a:latin typeface="Meiryo UI"/>
              <a:ea typeface="Meiryo UI"/>
              <a:cs typeface="Meiryo UI"/>
            </a:rPr>
            <a:t>HTTPS（REST）</a:t>
          </a:r>
          <a:endParaRPr lang="ja-JP" altLang="en-US" sz="750" dirty="0">
            <a:latin typeface="Meiryo UI"/>
            <a:ea typeface="Meiryo UI"/>
          </a:endParaRPr>
        </a:p>
      </xdr:txBody>
    </xdr:sp>
    <xdr:clientData/>
  </xdr:twoCellAnchor>
  <xdr:twoCellAnchor editAs="oneCell">
    <xdr:from>
      <xdr:col>132</xdr:col>
      <xdr:colOff>0</xdr:colOff>
      <xdr:row>6</xdr:row>
      <xdr:rowOff>0</xdr:rowOff>
    </xdr:from>
    <xdr:to>
      <xdr:col>140</xdr:col>
      <xdr:colOff>0</xdr:colOff>
      <xdr:row>10</xdr:row>
      <xdr:rowOff>0</xdr:rowOff>
    </xdr:to>
    <xdr:sp macro="" textlink="">
      <xdr:nvSpPr>
        <xdr:cNvPr id="157" name="ノード: 角丸・標準（ルートF）">
          <a:extLst>
            <a:ext uri="{FF2B5EF4-FFF2-40B4-BE49-F238E27FC236}">
              <a16:creationId xmlns:a16="http://schemas.microsoft.com/office/drawing/2014/main" id="{48C89C79-F971-4C27-B34D-2888FDCD975F}"/>
            </a:ext>
          </a:extLst>
        </xdr:cNvPr>
        <xdr:cNvSpPr/>
      </xdr:nvSpPr>
      <xdr:spPr>
        <a:xfrm>
          <a:off x="25146000" y="1143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4F1E2"/>
        </a:solidFill>
        <a:ln w="15875" cap="flat">
          <a:solidFill>
            <a:srgbClr val="6B651D"/>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132</xdr:col>
      <xdr:colOff>0</xdr:colOff>
      <xdr:row>11</xdr:row>
      <xdr:rowOff>0</xdr:rowOff>
    </xdr:from>
    <xdr:to>
      <xdr:col>140</xdr:col>
      <xdr:colOff>0</xdr:colOff>
      <xdr:row>15</xdr:row>
      <xdr:rowOff>0</xdr:rowOff>
    </xdr:to>
    <xdr:sp macro="" textlink="">
      <xdr:nvSpPr>
        <xdr:cNvPr id="158" name="ノード: 角丸・強調（ルートF）">
          <a:extLst>
            <a:ext uri="{FF2B5EF4-FFF2-40B4-BE49-F238E27FC236}">
              <a16:creationId xmlns:a16="http://schemas.microsoft.com/office/drawing/2014/main" id="{DFC93B69-3659-434F-8A7B-72DED7C9B9D7}"/>
            </a:ext>
          </a:extLst>
        </xdr:cNvPr>
        <xdr:cNvSpPr/>
      </xdr:nvSpPr>
      <xdr:spPr>
        <a:xfrm>
          <a:off x="25146000" y="20955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6B651D"/>
        </a:solidFill>
        <a:ln w="15875" cap="flat">
          <a:solidFill>
            <a:srgbClr val="6B651D"/>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接続元</a:t>
          </a:r>
          <a:endParaRPr lang="ja-JP" altLang="en-US" sz="950" dirty="0">
            <a:latin typeface="Meiryo UI"/>
            <a:ea typeface="Meiryo UI"/>
          </a:endParaRPr>
        </a:p>
        <a:p>
          <a:pPr algn="ctr">
            <a:lnSpc>
              <a:spcPct val="95000"/>
            </a:lnSpc>
            <a:spcBef>
              <a:spcPts val="50"/>
            </a:spcBef>
          </a:pPr>
          <a:r>
            <a:rPr lang="ja-JP" altLang="en-US" sz="750" b="0" dirty="0">
              <a:solidFill>
                <a:srgbClr val="EDE8D4"/>
              </a:solidFill>
              <a:latin typeface="Meiryo UI"/>
              <a:ea typeface="Meiryo UI"/>
              <a:cs typeface="Meiryo UI"/>
            </a:rPr>
            <a:t>強調ノード</a:t>
          </a:r>
          <a:endParaRPr lang="ja-JP" altLang="en-US" sz="750" dirty="0">
            <a:latin typeface="Meiryo UI"/>
            <a:ea typeface="Meiryo UI"/>
          </a:endParaRPr>
        </a:p>
      </xdr:txBody>
    </xdr:sp>
    <xdr:clientData/>
  </xdr:twoCellAnchor>
  <xdr:twoCellAnchor editAs="oneCell">
    <xdr:from>
      <xdr:col>132</xdr:col>
      <xdr:colOff>0</xdr:colOff>
      <xdr:row>16</xdr:row>
      <xdr:rowOff>0</xdr:rowOff>
    </xdr:from>
    <xdr:to>
      <xdr:col>136</xdr:col>
      <xdr:colOff>0</xdr:colOff>
      <xdr:row>20</xdr:row>
      <xdr:rowOff>0</xdr:rowOff>
    </xdr:to>
    <xdr:sp macro="" textlink="">
      <xdr:nvSpPr>
        <xdr:cNvPr id="159" name="ノード: 円柱・標準（ルートF）">
          <a:extLst>
            <a:ext uri="{FF2B5EF4-FFF2-40B4-BE49-F238E27FC236}">
              <a16:creationId xmlns:a16="http://schemas.microsoft.com/office/drawing/2014/main" id="{64DF2FC5-CB57-4B46-9AA6-F72FE101FC84}"/>
            </a:ext>
          </a:extLst>
        </xdr:cNvPr>
        <xdr:cNvSpPr/>
      </xdr:nvSpPr>
      <xdr:spPr>
        <a:xfrm>
          <a:off x="25146000" y="3048000"/>
          <a:ext cx="762000" cy="76200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F4F1E2"/>
        </a:solidFill>
        <a:ln w="15875" cap="flat">
          <a:solidFill>
            <a:srgbClr val="6B651D"/>
          </a:solidFill>
          <a:round/>
        </a:ln>
      </xdr:spPr>
      <xdr:txBody>
        <a:bodyPr vertOverflow="overflow" horzOverflow="overflow" wrap="square" lIns="25400" tIns="76200" rIns="25400" bIns="25400" rtlCol="0" anchor="ctr">
          <a:noAutofit/>
        </a:bodyPr>
        <a:lstStyle/>
        <a:p>
          <a:pPr algn="ctr">
            <a:lnSpc>
              <a:spcPct val="95000"/>
            </a:lnSpc>
          </a:pPr>
          <a:r>
            <a:rPr lang="ja-JP" altLang="en-US" sz="850" b="1" dirty="0">
              <a:solidFill>
                <a:srgbClr val="262626"/>
              </a:solidFill>
              <a:latin typeface="Meiryo UI"/>
              <a:ea typeface="Meiryo UI"/>
              <a:cs typeface="Meiryo UI"/>
            </a:rPr>
            <a:t>DB</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ストレージ</a:t>
          </a:r>
          <a:endParaRPr lang="ja-JP" altLang="en-US" sz="700" dirty="0">
            <a:latin typeface="Meiryo UI"/>
            <a:ea typeface="Meiryo UI"/>
          </a:endParaRPr>
        </a:p>
      </xdr:txBody>
    </xdr:sp>
    <xdr:clientData/>
  </xdr:twoCellAnchor>
  <xdr:twoCellAnchor editAs="oneCell">
    <xdr:from>
      <xdr:col>136</xdr:col>
      <xdr:colOff>0</xdr:colOff>
      <xdr:row>16</xdr:row>
      <xdr:rowOff>0</xdr:rowOff>
    </xdr:from>
    <xdr:to>
      <xdr:col>140</xdr:col>
      <xdr:colOff>0</xdr:colOff>
      <xdr:row>20</xdr:row>
      <xdr:rowOff>0</xdr:rowOff>
    </xdr:to>
    <xdr:sp macro="" textlink="">
      <xdr:nvSpPr>
        <xdr:cNvPr id="160" name="ノード: 円・標準（ルートF）">
          <a:extLst>
            <a:ext uri="{FF2B5EF4-FFF2-40B4-BE49-F238E27FC236}">
              <a16:creationId xmlns:a16="http://schemas.microsoft.com/office/drawing/2014/main" id="{069B8ACF-0CE5-4D5A-8F2B-37A0B01D2C1E}"/>
            </a:ext>
          </a:extLst>
        </xdr:cNvPr>
        <xdr:cNvSpPr/>
      </xdr:nvSpPr>
      <xdr:spPr>
        <a:xfrm>
          <a:off x="25908000" y="3048000"/>
          <a:ext cx="762000" cy="762000"/>
        </a:xfrm>
        <a:custGeom>
          <a:avLst/>
          <a:gdLst>
            <a:gd name="wr" fmla="*/ w 1 2"/>
            <a:gd name="hr" fmla="*/ h 1 2"/>
            <a:gd name="dx0" fmla="sin wr 18900000"/>
            <a:gd name="dy0" fmla="cos hr 18900000"/>
            <a:gd name="px0" fmla="+- hc dx0 0"/>
            <a:gd name="py0" fmla="+- vc 0 dy0"/>
            <a:gd name="dx1" fmla="sin wr 20250000"/>
            <a:gd name="dy1" fmla="cos hr 20250000"/>
            <a:gd name="px1" fmla="+- hc dx1 0"/>
            <a:gd name="py1" fmla="+- vc 0 dy1"/>
            <a:gd name="dx2" fmla="sin wr 0"/>
            <a:gd name="dy2" fmla="cos hr 0"/>
            <a:gd name="px2" fmla="+- hc dx2 0"/>
            <a:gd name="py2" fmla="+- vc 0 dy2"/>
            <a:gd name="dx3" fmla="sin wr 1350000"/>
            <a:gd name="dy3" fmla="cos hr 1350000"/>
            <a:gd name="px3" fmla="+- hc dx3 0"/>
            <a:gd name="py3" fmla="+- vc 0 dy3"/>
            <a:gd name="dx4" fmla="sin wr 2700000"/>
            <a:gd name="dy4" fmla="cos hr 2700000"/>
            <a:gd name="px4" fmla="+- hc dx4 0"/>
            <a:gd name="py4" fmla="+- vc 0 dy4"/>
            <a:gd name="dx5" fmla="sin wr 4050000"/>
            <a:gd name="dy5" fmla="cos hr 4050000"/>
            <a:gd name="px5" fmla="+- hc dx5 0"/>
            <a:gd name="py5" fmla="+- vc 0 dy5"/>
            <a:gd name="dx6" fmla="sin wr 5400000"/>
            <a:gd name="dy6" fmla="cos hr 5400000"/>
            <a:gd name="px6" fmla="+- hc dx6 0"/>
            <a:gd name="py6" fmla="+- vc 0 dy6"/>
            <a:gd name="dx7" fmla="sin wr 6750000"/>
            <a:gd name="dy7" fmla="cos hr 6750000"/>
            <a:gd name="px7" fmla="+- hc dx7 0"/>
            <a:gd name="py7" fmla="+- vc 0 dy7"/>
            <a:gd name="dx8" fmla="sin wr 8100000"/>
            <a:gd name="dy8" fmla="cos hr 8100000"/>
            <a:gd name="px8" fmla="+- hc dx8 0"/>
            <a:gd name="py8" fmla="+- vc 0 dy8"/>
            <a:gd name="dx9" fmla="sin wr 9450000"/>
            <a:gd name="dy9" fmla="cos hr 9450000"/>
            <a:gd name="px9" fmla="+- hc dx9 0"/>
            <a:gd name="py9" fmla="+- vc 0 dy9"/>
            <a:gd name="dx10" fmla="sin wr 10800000"/>
            <a:gd name="dy10" fmla="cos hr 10800000"/>
            <a:gd name="px10" fmla="+- hc dx10 0"/>
            <a:gd name="py10" fmla="+- vc 0 dy10"/>
            <a:gd name="dx11" fmla="sin wr 12150000"/>
            <a:gd name="dy11" fmla="cos hr 12150000"/>
            <a:gd name="px11" fmla="+- hc dx11 0"/>
            <a:gd name="py11" fmla="+- vc 0 dy11"/>
            <a:gd name="dx12" fmla="sin wr 13500000"/>
            <a:gd name="dy12" fmla="cos hr 13500000"/>
            <a:gd name="px12" fmla="+- hc dx12 0"/>
            <a:gd name="py12" fmla="+- vc 0 dy12"/>
            <a:gd name="dx13" fmla="sin wr 14850000"/>
            <a:gd name="dy13" fmla="cos hr 14850000"/>
            <a:gd name="px13" fmla="+- hc dx13 0"/>
            <a:gd name="py13" fmla="+- vc 0 dy13"/>
            <a:gd name="dx14" fmla="sin wr 16200000"/>
            <a:gd name="dy14" fmla="cos hr 16200000"/>
            <a:gd name="px14" fmla="+- hc dx14 0"/>
            <a:gd name="py14" fmla="+- vc 0 dy14"/>
            <a:gd name="dx15" fmla="sin wr 17550000"/>
            <a:gd name="dy15" fmla="cos hr 17550000"/>
            <a:gd name="px15" fmla="+- hc dx15 0"/>
            <a:gd name="py15" fmla="+- vc 0 dy15"/>
          </a:gdLst>
          <a:ahLst/>
          <a:cxnLst>
            <a:cxn ang="10800000">
              <a:pos x="px0" y="py0"/>
            </a:cxn>
            <a:cxn ang="16200000">
              <a:pos x="px1" y="py1"/>
            </a:cxn>
            <a:cxn ang="16200000">
              <a:pos x="px2" y="py2"/>
            </a:cxn>
            <a:cxn ang="16200000">
              <a:pos x="px3" y="py3"/>
            </a:cxn>
            <a:cxn ang="0">
              <a:pos x="px4" y="py4"/>
            </a:cxn>
            <a:cxn ang="0">
              <a:pos x="px5" y="py5"/>
            </a:cxn>
            <a:cxn ang="0">
              <a:pos x="px6" y="py6"/>
            </a:cxn>
            <a:cxn ang="0">
              <a:pos x="px7" y="py7"/>
            </a:cxn>
            <a:cxn ang="0">
              <a:pos x="px8" y="py8"/>
            </a:cxn>
            <a:cxn ang="5400000">
              <a:pos x="px9" y="py9"/>
            </a:cxn>
            <a:cxn ang="5400000">
              <a:pos x="px10" y="py10"/>
            </a:cxn>
            <a:cxn ang="5400000">
              <a:pos x="px11" y="py11"/>
            </a:cxn>
            <a:cxn ang="10800000">
              <a:pos x="px12" y="py12"/>
            </a:cxn>
            <a:cxn ang="10800000">
              <a:pos x="px13" y="py13"/>
            </a:cxn>
            <a:cxn ang="10800000">
              <a:pos x="px14" y="py14"/>
            </a:cxn>
            <a:cxn ang="10800000">
              <a:pos x="px15" y="py15"/>
            </a:cxn>
          </a:cxnLst>
          <a:rect l="l" t="t" r="r" b="b"/>
          <a:pathLst>
            <a:path>
              <a:moveTo>
                <a:pt x="l" y="vc"/>
              </a:moveTo>
              <a:arcTo wR="wr" hR="hr" stAng="10800000" swAng="21600000"/>
              <a:close/>
            </a:path>
          </a:pathLst>
        </a:custGeom>
        <a:solidFill>
          <a:srgbClr val="F4F1E2"/>
        </a:solidFill>
        <a:ln w="15875" cap="flat">
          <a:solidFill>
            <a:srgbClr val="6B651D"/>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利用者</a:t>
          </a:r>
          <a:endParaRPr lang="ja-JP" altLang="en-US" sz="850" dirty="0">
            <a:latin typeface="Meiryo UI"/>
            <a:ea typeface="Meiryo UI"/>
          </a:endParaRPr>
        </a:p>
      </xdr:txBody>
    </xdr:sp>
    <xdr:clientData/>
  </xdr:twoCellAnchor>
  <xdr:twoCellAnchor editAs="oneCell">
    <xdr:from>
      <xdr:col>132</xdr:col>
      <xdr:colOff>0</xdr:colOff>
      <xdr:row>21</xdr:row>
      <xdr:rowOff>0</xdr:rowOff>
    </xdr:from>
    <xdr:to>
      <xdr:col>140</xdr:col>
      <xdr:colOff>0</xdr:colOff>
      <xdr:row>25</xdr:row>
      <xdr:rowOff>0</xdr:rowOff>
    </xdr:to>
    <xdr:sp macro="" textlink="">
      <xdr:nvSpPr>
        <xdr:cNvPr id="161" name="ノード: カプセル・標準（ルートF）">
          <a:extLst>
            <a:ext uri="{FF2B5EF4-FFF2-40B4-BE49-F238E27FC236}">
              <a16:creationId xmlns:a16="http://schemas.microsoft.com/office/drawing/2014/main" id="{93629ECB-0741-4D80-9616-B0B6A32F1BB8}"/>
            </a:ext>
          </a:extLst>
        </xdr:cNvPr>
        <xdr:cNvSpPr/>
      </xdr:nvSpPr>
      <xdr:spPr>
        <a:xfrm>
          <a:off x="25146000" y="4000500"/>
          <a:ext cx="1524000" cy="762000"/>
        </a:xfrm>
        <a:custGeom>
          <a:avLst/>
          <a:gdLst>
            <a:gd name="x1" fmla="*/ w 1 4"/>
            <a:gd name="x2" fmla="*/ w 1 2"/>
            <a:gd name="x3" fmla="*/ w 3 4"/>
            <a:gd name="y1" fmla="*/ h 1 4"/>
            <a:gd name="y2" fmla="*/ h 1 2"/>
            <a:gd name="y3" fmla="*/ h 3 4"/>
            <a:gd name="smin" fmla="min w h"/>
            <a:gd name="rr" fmla="*/ smin 1 2"/>
            <a:gd name="rx" fmla="+- r 0 rr"/>
            <a:gd name="k" fmla="*/ rr 13397 100000"/>
            <a:gd name="rk" fmla="+- r 0 k"/>
            <a:gd name="q45" fmla="*/ rr 29289 100000"/>
            <a:gd name="q45r" fmla="+- r 0 q45"/>
            <a:gd name="q45b" fmla="+- b 0 q45"/>
          </a:gdLst>
          <a:ahLst/>
          <a:cxnLst>
            <a:cxn ang="10800000">
              <a:pos x="q45" y="q45"/>
            </a:cxn>
            <a:cxn ang="16200000">
              <a:pos x="x1" y="t"/>
            </a:cxn>
            <a:cxn ang="16200000">
              <a:pos x="x2" y="t"/>
            </a:cxn>
            <a:cxn ang="16200000">
              <a:pos x="x3" y="t"/>
            </a:cxn>
            <a:cxn ang="0">
              <a:pos x="q45r" y="q45"/>
            </a:cxn>
            <a:cxn ang="0">
              <a:pos x="rk" y="y1"/>
            </a:cxn>
            <a:cxn ang="0">
              <a:pos x="r" y="y2"/>
            </a:cxn>
            <a:cxn ang="0">
              <a:pos x="rk" y="y3"/>
            </a:cxn>
            <a:cxn ang="0">
              <a:pos x="q45r" y="q45b"/>
            </a:cxn>
            <a:cxn ang="5400000">
              <a:pos x="x3" y="b"/>
            </a:cxn>
            <a:cxn ang="5400000">
              <a:pos x="x2" y="b"/>
            </a:cxn>
            <a:cxn ang="5400000">
              <a:pos x="x1" y="b"/>
            </a:cxn>
            <a:cxn ang="10800000">
              <a:pos x="q45" y="q45b"/>
            </a:cxn>
            <a:cxn ang="10800000">
              <a:pos x="k" y="y3"/>
            </a:cxn>
            <a:cxn ang="10800000">
              <a:pos x="l" y="y2"/>
            </a:cxn>
            <a:cxn ang="10800000">
              <a:pos x="k" y="y1"/>
            </a:cxn>
          </a:cxnLst>
          <a:rect l="l" t="t" r="r" b="b"/>
          <a:pathLst>
            <a:path>
              <a:moveTo>
                <a:pt x="rr" y="t"/>
              </a:moveTo>
              <a:lnTo>
                <a:pt x="rx" y="t"/>
              </a:lnTo>
              <a:arcTo wR="rr" hR="rr" stAng="16200000" swAng="10800000"/>
              <a:lnTo>
                <a:pt x="rr" y="b"/>
              </a:lnTo>
              <a:arcTo wR="rr" hR="rr" stAng="5400000" swAng="10800000"/>
              <a:close/>
            </a:path>
          </a:pathLst>
        </a:custGeom>
        <a:solidFill>
          <a:srgbClr val="F4F1E2"/>
        </a:solidFill>
        <a:ln w="15875" cap="flat">
          <a:solidFill>
            <a:srgbClr val="6B651D"/>
          </a:solidFill>
          <a:round/>
        </a:ln>
      </xdr:spPr>
      <xdr:txBody>
        <a:bodyPr vertOverflow="overflow" horzOverflow="overflow" wrap="square" lIns="101600" tIns="12700" rIns="101600" bIns="12700" rtlCol="0" anchor="ctr">
          <a:noAutofit/>
        </a:bodyPr>
        <a:lstStyle/>
        <a:p>
          <a:pPr algn="ctr">
            <a:lnSpc>
              <a:spcPct val="95000"/>
            </a:lnSpc>
          </a:pPr>
          <a:r>
            <a:rPr lang="ja-JP" altLang="en-US" sz="950" b="1" dirty="0">
              <a:solidFill>
                <a:srgbClr val="262626"/>
              </a:solidFill>
              <a:latin typeface="Meiryo UI"/>
              <a:ea typeface="Meiryo UI"/>
              <a:cs typeface="Meiryo UI"/>
            </a:rPr>
            <a:t>API・キュー</a:t>
          </a:r>
          <a:endParaRPr lang="ja-JP" altLang="en-US" sz="950" dirty="0">
            <a:latin typeface="Meiryo UI"/>
            <a:ea typeface="Meiryo UI"/>
          </a:endParaRPr>
        </a:p>
      </xdr:txBody>
    </xdr:sp>
    <xdr:clientData/>
  </xdr:twoCellAnchor>
  <xdr:twoCellAnchor editAs="oneCell">
    <xdr:from>
      <xdr:col>132</xdr:col>
      <xdr:colOff>0</xdr:colOff>
      <xdr:row>27</xdr:row>
      <xdr:rowOff>0</xdr:rowOff>
    </xdr:from>
    <xdr:to>
      <xdr:col>140</xdr:col>
      <xdr:colOff>0</xdr:colOff>
      <xdr:row>27</xdr:row>
      <xdr:rowOff>0</xdr:rowOff>
    </xdr:to>
    <xdr:cxnSp macro="">
      <xdr:nvCxnSpPr>
        <xdr:cNvPr id="162" name="線: オンライン連携・直線（ルートF）">
          <a:extLst>
            <a:ext uri="{FF2B5EF4-FFF2-40B4-BE49-F238E27FC236}">
              <a16:creationId xmlns:a16="http://schemas.microsoft.com/office/drawing/2014/main" id="{7EF0A585-CA7A-4952-9356-480CD2F5F359}"/>
            </a:ext>
          </a:extLst>
        </xdr:cNvPr>
        <xdr:cNvCxnSpPr/>
      </xdr:nvCxnSpPr>
      <xdr:spPr>
        <a:xfrm>
          <a:off x="25146000" y="5143500"/>
          <a:ext cx="1524000" cy="0"/>
        </a:xfrm>
        <a:prstGeom prst="straightConnector1">
          <a:avLst/>
        </a:prstGeom>
        <a:ln w="19050" cap="flat">
          <a:solidFill>
            <a:srgbClr val="6B651D"/>
          </a:solidFill>
          <a:round/>
          <a:tailEnd type="triangle" w="med" len="med"/>
        </a:ln>
      </xdr:spPr>
    </xdr:cxnSp>
    <xdr:clientData/>
  </xdr:twoCellAnchor>
  <xdr:twoCellAnchor editAs="oneCell">
    <xdr:from>
      <xdr:col>132</xdr:col>
      <xdr:colOff>0</xdr:colOff>
      <xdr:row>28</xdr:row>
      <xdr:rowOff>0</xdr:rowOff>
    </xdr:from>
    <xdr:to>
      <xdr:col>140</xdr:col>
      <xdr:colOff>0</xdr:colOff>
      <xdr:row>28</xdr:row>
      <xdr:rowOff>0</xdr:rowOff>
    </xdr:to>
    <xdr:cxnSp macro="">
      <xdr:nvCxnSpPr>
        <xdr:cNvPr id="163" name="線: バッチ・ファイル・直線（ルートF）">
          <a:extLst>
            <a:ext uri="{FF2B5EF4-FFF2-40B4-BE49-F238E27FC236}">
              <a16:creationId xmlns:a16="http://schemas.microsoft.com/office/drawing/2014/main" id="{46A0EE9F-591D-4872-961D-C61AB499CF20}"/>
            </a:ext>
          </a:extLst>
        </xdr:cNvPr>
        <xdr:cNvCxnSpPr/>
      </xdr:nvCxnSpPr>
      <xdr:spPr>
        <a:xfrm>
          <a:off x="25146000" y="5334000"/>
          <a:ext cx="1524000" cy="0"/>
        </a:xfrm>
        <a:prstGeom prst="straightConnector1">
          <a:avLst/>
        </a:prstGeom>
        <a:ln w="19050" cap="flat">
          <a:solidFill>
            <a:srgbClr val="6B651D"/>
          </a:solidFill>
          <a:prstDash val="dash"/>
          <a:round/>
          <a:tailEnd type="triangle" w="med" len="med"/>
        </a:ln>
      </xdr:spPr>
    </xdr:cxnSp>
    <xdr:clientData/>
  </xdr:twoCellAnchor>
  <xdr:twoCellAnchor editAs="oneCell">
    <xdr:from>
      <xdr:col>132</xdr:col>
      <xdr:colOff>0</xdr:colOff>
      <xdr:row>29</xdr:row>
      <xdr:rowOff>0</xdr:rowOff>
    </xdr:from>
    <xdr:to>
      <xdr:col>140</xdr:col>
      <xdr:colOff>0</xdr:colOff>
      <xdr:row>29</xdr:row>
      <xdr:rowOff>0</xdr:rowOff>
    </xdr:to>
    <xdr:cxnSp macro="">
      <xdr:nvCxnSpPr>
        <xdr:cNvPr id="164" name="線: 監視・運用・直線（ルートF）">
          <a:extLst>
            <a:ext uri="{FF2B5EF4-FFF2-40B4-BE49-F238E27FC236}">
              <a16:creationId xmlns:a16="http://schemas.microsoft.com/office/drawing/2014/main" id="{DB493DE4-8C3A-4B8B-B7F5-E6E7D90AF916}"/>
            </a:ext>
          </a:extLst>
        </xdr:cNvPr>
        <xdr:cNvCxnSpPr/>
      </xdr:nvCxnSpPr>
      <xdr:spPr>
        <a:xfrm>
          <a:off x="25146000" y="5524500"/>
          <a:ext cx="1524000" cy="0"/>
        </a:xfrm>
        <a:prstGeom prst="straightConnector1">
          <a:avLst/>
        </a:prstGeom>
        <a:ln w="12700" cap="flat">
          <a:solidFill>
            <a:srgbClr val="6B651D"/>
          </a:solidFill>
          <a:prstDash val="sysDot"/>
          <a:round/>
          <a:tailEnd type="triangle" w="med" len="med"/>
        </a:ln>
      </xdr:spPr>
    </xdr:cxnSp>
    <xdr:clientData/>
  </xdr:twoCellAnchor>
  <xdr:twoCellAnchor editAs="oneCell">
    <xdr:from>
      <xdr:col>132</xdr:col>
      <xdr:colOff>0</xdr:colOff>
      <xdr:row>30</xdr:row>
      <xdr:rowOff>0</xdr:rowOff>
    </xdr:from>
    <xdr:to>
      <xdr:col>140</xdr:col>
      <xdr:colOff>0</xdr:colOff>
      <xdr:row>32</xdr:row>
      <xdr:rowOff>0</xdr:rowOff>
    </xdr:to>
    <xdr:cxnSp macro="">
      <xdr:nvCxnSpPr>
        <xdr:cNvPr id="165" name="線: オンライン連携・カギ線（ルートF）">
          <a:extLst>
            <a:ext uri="{FF2B5EF4-FFF2-40B4-BE49-F238E27FC236}">
              <a16:creationId xmlns:a16="http://schemas.microsoft.com/office/drawing/2014/main" id="{3B33ABF2-8DBA-4DFA-806D-94EA88784481}"/>
            </a:ext>
          </a:extLst>
        </xdr:cNvPr>
        <xdr:cNvCxnSpPr/>
      </xdr:nvCxnSpPr>
      <xdr:spPr>
        <a:xfrm>
          <a:off x="25146000" y="5715000"/>
          <a:ext cx="1524000" cy="381000"/>
        </a:xfrm>
        <a:prstGeom prst="bentConnector3">
          <a:avLst/>
        </a:prstGeom>
        <a:ln w="19050" cap="flat">
          <a:solidFill>
            <a:srgbClr val="6B651D"/>
          </a:solidFill>
          <a:round/>
          <a:tailEnd type="triangle" w="med" len="med"/>
        </a:ln>
      </xdr:spPr>
    </xdr:cxnSp>
    <xdr:clientData/>
  </xdr:twoCellAnchor>
  <xdr:twoCellAnchor editAs="oneCell">
    <xdr:from>
      <xdr:col>132</xdr:col>
      <xdr:colOff>0</xdr:colOff>
      <xdr:row>34</xdr:row>
      <xdr:rowOff>0</xdr:rowOff>
    </xdr:from>
    <xdr:to>
      <xdr:col>140</xdr:col>
      <xdr:colOff>0</xdr:colOff>
      <xdr:row>38</xdr:row>
      <xdr:rowOff>0</xdr:rowOff>
    </xdr:to>
    <xdr:grpSp>
      <xdr:nvGrpSpPr>
        <xdr:cNvPr id="166" name="コメント: ポイント（ルートF）">
          <a:extLst>
            <a:ext uri="{FF2B5EF4-FFF2-40B4-BE49-F238E27FC236}">
              <a16:creationId xmlns:a16="http://schemas.microsoft.com/office/drawing/2014/main" id="{69CB3BAF-29AC-4435-B09C-0C88CDD86465}"/>
            </a:ext>
          </a:extLst>
        </xdr:cNvPr>
        <xdr:cNvGrpSpPr/>
      </xdr:nvGrpSpPr>
      <xdr:grpSpPr>
        <a:xfrm>
          <a:off x="25146000" y="6477000"/>
          <a:ext cx="1524000" cy="762000"/>
          <a:chOff x="25146000" y="6477000"/>
          <a:chExt cx="1524000" cy="762000"/>
        </a:xfrm>
      </xdr:grpSpPr>
      <xdr:sp macro="" textlink="">
        <xdr:nvSpPr>
          <xdr:cNvPr id="167" name="本文">
            <a:extLst>
              <a:ext uri="{FF2B5EF4-FFF2-40B4-BE49-F238E27FC236}">
                <a16:creationId xmlns:a16="http://schemas.microsoft.com/office/drawing/2014/main" id="{F9603691-A9BE-4EF6-A135-F6DDC66D392D}"/>
              </a:ext>
            </a:extLst>
          </xdr:cNvPr>
          <xdr:cNvSpPr/>
        </xdr:nvSpPr>
        <xdr:spPr>
          <a:xfrm>
            <a:off x="25146000" y="6477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AF8F1"/>
          </a:solidFill>
          <a:ln w="9525" cap="flat">
            <a:solidFill>
              <a:srgbClr val="D9D2B1"/>
            </a:solidFill>
            <a:round/>
          </a:ln>
        </xdr:spPr>
        <xdr:txBody>
          <a:bodyPr vertOverflow="overflow" horzOverflow="overflow" wrap="square" lIns="76200" tIns="228600" rIns="76200" bIns="38100" rtlCol="0" anchor="t">
            <a:noAutofit/>
          </a:bodyPr>
          <a:lstStyle/>
          <a:p>
            <a:pPr algn="l">
              <a:lnSpc>
                <a:spcPct val="100000"/>
              </a:lnSpc>
            </a:pPr>
            <a:r>
              <a:rPr lang="ja-JP" altLang="en-US" sz="800" b="0" dirty="0">
                <a:solidFill>
                  <a:srgbClr val="404040"/>
                </a:solidFill>
                <a:latin typeface="Meiryo UI"/>
                <a:ea typeface="Meiryo UI"/>
                <a:cs typeface="Meiryo UI"/>
              </a:rPr>
              <a:t>ポイントを記入</a:t>
            </a:r>
            <a:endParaRPr lang="ja-JP" altLang="en-US" sz="800" dirty="0">
              <a:latin typeface="Meiryo UI"/>
              <a:ea typeface="Meiryo UI"/>
            </a:endParaRPr>
          </a:p>
        </xdr:txBody>
      </xdr:sp>
      <xdr:sp macro="" textlink="">
        <xdr:nvSpPr>
          <xdr:cNvPr id="168" name="見出し">
            <a:extLst>
              <a:ext uri="{FF2B5EF4-FFF2-40B4-BE49-F238E27FC236}">
                <a16:creationId xmlns:a16="http://schemas.microsoft.com/office/drawing/2014/main" id="{08AD9672-78C3-41D4-B09F-04BC69FA5EBB}"/>
              </a:ext>
            </a:extLst>
          </xdr:cNvPr>
          <xdr:cNvSpPr/>
        </xdr:nvSpPr>
        <xdr:spPr>
          <a:xfrm>
            <a:off x="25146000" y="6477000"/>
            <a:ext cx="1524000" cy="190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6B651D"/>
          </a:solidFill>
          <a:ln w="9525" cap="flat">
            <a:solidFill>
              <a:srgbClr val="6B651D"/>
            </a:solidFill>
            <a:round/>
          </a:ln>
        </xdr:spPr>
        <xdr:txBody>
          <a:bodyPr vertOverflow="overflow" horzOverflow="overflow" wrap="none" lIns="76200" tIns="0" rIns="76200" bIns="0" rtlCol="0" anchor="ctr">
            <a:noAutofit/>
          </a:bodyPr>
          <a:lstStyle/>
          <a:p>
            <a:pPr algn="l"/>
            <a:r>
              <a:rPr lang="ja-JP" altLang="en-US" sz="750" b="1" dirty="0">
                <a:solidFill>
                  <a:srgbClr val="FFFFFF"/>
                </a:solidFill>
                <a:latin typeface="Meiryo UI"/>
                <a:ea typeface="Meiryo UI"/>
                <a:cs typeface="Meiryo UI"/>
              </a:rPr>
              <a:t>POINT</a:t>
            </a:r>
            <a:endParaRPr lang="ja-JP" altLang="en-US" sz="800" dirty="0">
              <a:latin typeface="Meiryo UI"/>
              <a:ea typeface="Meiryo UI"/>
            </a:endParaRPr>
          </a:p>
        </xdr:txBody>
      </xdr:sp>
    </xdr:grpSp>
    <xdr:clientData/>
  </xdr:twoCellAnchor>
  <xdr:twoCellAnchor editAs="oneCell">
    <xdr:from>
      <xdr:col>132</xdr:col>
      <xdr:colOff>0</xdr:colOff>
      <xdr:row>39</xdr:row>
      <xdr:rowOff>0</xdr:rowOff>
    </xdr:from>
    <xdr:to>
      <xdr:col>140</xdr:col>
      <xdr:colOff>0</xdr:colOff>
      <xdr:row>42</xdr:row>
      <xdr:rowOff>0</xdr:rowOff>
    </xdr:to>
    <xdr:grpSp>
      <xdr:nvGrpSpPr>
        <xdr:cNvPr id="169" name="コメント: 付記（ルートF）">
          <a:extLst>
            <a:ext uri="{FF2B5EF4-FFF2-40B4-BE49-F238E27FC236}">
              <a16:creationId xmlns:a16="http://schemas.microsoft.com/office/drawing/2014/main" id="{7AFBA75F-6218-435C-8E8B-D07F44C5A774}"/>
            </a:ext>
          </a:extLst>
        </xdr:cNvPr>
        <xdr:cNvGrpSpPr/>
      </xdr:nvGrpSpPr>
      <xdr:grpSpPr>
        <a:xfrm>
          <a:off x="25146000" y="7429500"/>
          <a:ext cx="1524000" cy="571500"/>
          <a:chOff x="25146000" y="7429500"/>
          <a:chExt cx="1524000" cy="571500"/>
        </a:xfrm>
      </xdr:grpSpPr>
      <xdr:sp macro="" textlink="">
        <xdr:nvSpPr>
          <xdr:cNvPr id="170" name="本文">
            <a:extLst>
              <a:ext uri="{FF2B5EF4-FFF2-40B4-BE49-F238E27FC236}">
                <a16:creationId xmlns:a16="http://schemas.microsoft.com/office/drawing/2014/main" id="{FEBFDBBF-9879-4045-AEB9-2E4AE08E16E5}"/>
              </a:ext>
            </a:extLst>
          </xdr:cNvPr>
          <xdr:cNvSpPr/>
        </xdr:nvSpPr>
        <xdr:spPr>
          <a:xfrm>
            <a:off x="25146000" y="7429500"/>
            <a:ext cx="1524000" cy="571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AF8F1"/>
          </a:solidFill>
          <a:ln>
            <a:noFill/>
          </a:ln>
        </xdr:spPr>
        <xdr:txBody>
          <a:bodyPr vertOverflow="overflow" horzOverflow="overflow" wrap="square" lIns="114300" tIns="50800" rIns="76200" bIns="38100" rtlCol="0" anchor="t">
            <a:noAutofit/>
          </a:bodyPr>
          <a:lstStyle/>
          <a:p>
            <a:pPr algn="l"/>
            <a:r>
              <a:rPr lang="ja-JP" altLang="en-US" sz="800" b="1" dirty="0">
                <a:solidFill>
                  <a:srgbClr val="433F00"/>
                </a:solidFill>
                <a:latin typeface="Meiryo UI"/>
                <a:ea typeface="Meiryo UI"/>
                <a:cs typeface="Meiryo UI"/>
              </a:rPr>
              <a:t>付記</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補足を記入</a:t>
            </a:r>
            <a:endParaRPr lang="ja-JP" altLang="en-US" sz="800" dirty="0">
              <a:latin typeface="Meiryo UI"/>
              <a:ea typeface="Meiryo UI"/>
            </a:endParaRPr>
          </a:p>
        </xdr:txBody>
      </xdr:sp>
      <xdr:sp macro="" textlink="">
        <xdr:nvSpPr>
          <xdr:cNvPr id="171" name="左ライン">
            <a:extLst>
              <a:ext uri="{FF2B5EF4-FFF2-40B4-BE49-F238E27FC236}">
                <a16:creationId xmlns:a16="http://schemas.microsoft.com/office/drawing/2014/main" id="{32577BA8-76B4-456A-8C76-AAC343C368E2}"/>
              </a:ext>
            </a:extLst>
          </xdr:cNvPr>
          <xdr:cNvSpPr/>
        </xdr:nvSpPr>
        <xdr:spPr>
          <a:xfrm>
            <a:off x="25146000" y="7429500"/>
            <a:ext cx="38100" cy="571500"/>
          </a:xfrm>
          <a:prstGeom prst="rect">
            <a:avLst/>
          </a:prstGeom>
          <a:solidFill>
            <a:srgbClr val="6B651D"/>
          </a:solidFill>
          <a:ln>
            <a:noFill/>
          </a:ln>
        </xdr:spPr>
        <xdr:txBody>
          <a:bodyPr vertOverflow="overflow" horzOverflow="overflow" wrap="square" lIns="38100" tIns="19050" rIns="38100" bIns="19050" rtlCol="0" anchor="ctr">
            <a:noAutofit/>
          </a:bodyPr>
          <a:lstStyle/>
          <a:p>
            <a:pPr algn="l"/>
            <a:endParaRPr lang="ja-JP" altLang="en-US" sz="600" dirty="0">
              <a:latin typeface="Meiryo UI"/>
              <a:ea typeface="Meiryo UI"/>
            </a:endParaRPr>
          </a:p>
        </xdr:txBody>
      </xdr:sp>
    </xdr:grpSp>
    <xdr:clientData/>
  </xdr:twoCellAnchor>
  <xdr:twoCellAnchor editAs="oneCell">
    <xdr:from>
      <xdr:col>132</xdr:col>
      <xdr:colOff>0</xdr:colOff>
      <xdr:row>43</xdr:row>
      <xdr:rowOff>0</xdr:rowOff>
    </xdr:from>
    <xdr:to>
      <xdr:col>140</xdr:col>
      <xdr:colOff>0</xdr:colOff>
      <xdr:row>45</xdr:row>
      <xdr:rowOff>0</xdr:rowOff>
    </xdr:to>
    <xdr:sp macro="" textlink="">
      <xdr:nvSpPr>
        <xdr:cNvPr id="172" name="コメント: 吹き出し（ルートF）">
          <a:extLst>
            <a:ext uri="{FF2B5EF4-FFF2-40B4-BE49-F238E27FC236}">
              <a16:creationId xmlns:a16="http://schemas.microsoft.com/office/drawing/2014/main" id="{D6107330-9831-46D5-900B-F2D8EB54687F}"/>
            </a:ext>
          </a:extLst>
        </xdr:cNvPr>
        <xdr:cNvSpPr/>
      </xdr:nvSpPr>
      <xdr:spPr>
        <a:xfrm>
          <a:off x="25146000" y="8191500"/>
          <a:ext cx="1524000" cy="381000"/>
        </a:xfrm>
        <a:prstGeom prst="wedgeRoundRectCallout">
          <a:avLst>
            <a:gd name="adj1" fmla="val -30000"/>
            <a:gd name="adj2" fmla="val 95000"/>
            <a:gd name="adj3" fmla="val 16667"/>
          </a:avLst>
        </a:prstGeom>
        <a:solidFill>
          <a:srgbClr val="FFFFFF"/>
        </a:solidFill>
        <a:ln w="12700" cap="flat">
          <a:solidFill>
            <a:srgbClr val="6B651D"/>
          </a:solidFill>
          <a:round/>
        </a:ln>
      </xdr:spPr>
      <xdr:txBody>
        <a:bodyPr vertOverflow="overflow" horzOverflow="overflow" wrap="square" lIns="63500" tIns="25400" rIns="63500" bIns="25400" rtlCol="0" anchor="ctr">
          <a:noAutofit/>
        </a:bodyPr>
        <a:lstStyle/>
        <a:p>
          <a:pPr algn="l"/>
          <a:r>
            <a:rPr lang="ja-JP" altLang="en-US" sz="800" b="0" dirty="0">
              <a:solidFill>
                <a:srgbClr val="404040"/>
              </a:solidFill>
              <a:latin typeface="Meiryo UI"/>
              <a:ea typeface="Meiryo UI"/>
              <a:cs typeface="Meiryo UI"/>
            </a:rPr>
            <a:t>指摘・補足</a:t>
          </a:r>
          <a:endParaRPr lang="ja-JP" altLang="en-US" sz="800" dirty="0">
            <a:latin typeface="Meiryo UI"/>
            <a:ea typeface="Meiryo UI"/>
          </a:endParaRPr>
        </a:p>
      </xdr:txBody>
    </xdr:sp>
    <xdr:clientData/>
  </xdr:twoCellAnchor>
  <xdr:twoCellAnchor editAs="oneCell">
    <xdr:from>
      <xdr:col>132</xdr:col>
      <xdr:colOff>0</xdr:colOff>
      <xdr:row>47</xdr:row>
      <xdr:rowOff>0</xdr:rowOff>
    </xdr:from>
    <xdr:to>
      <xdr:col>134</xdr:col>
      <xdr:colOff>0</xdr:colOff>
      <xdr:row>48</xdr:row>
      <xdr:rowOff>0</xdr:rowOff>
    </xdr:to>
    <xdr:sp macro="" textlink="">
      <xdr:nvSpPr>
        <xdr:cNvPr id="173" name="番号: A1（ルートF）">
          <a:extLst>
            <a:ext uri="{FF2B5EF4-FFF2-40B4-BE49-F238E27FC236}">
              <a16:creationId xmlns:a16="http://schemas.microsoft.com/office/drawing/2014/main" id="{46007D64-CE17-4798-B29E-1508AE93CDB5}"/>
            </a:ext>
          </a:extLst>
        </xdr:cNvPr>
        <xdr:cNvSpPr/>
      </xdr:nvSpPr>
      <xdr:spPr>
        <a:xfrm>
          <a:off x="25146000" y="8953500"/>
          <a:ext cx="381000" cy="190500"/>
        </a:xfrm>
        <a:prstGeom prst="roundRect">
          <a:avLst>
            <a:gd name="adj" fmla="val 50000"/>
          </a:avLst>
        </a:prstGeom>
        <a:solidFill>
          <a:srgbClr val="6B651D"/>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F1</a:t>
          </a:r>
          <a:endParaRPr lang="ja-JP" altLang="en-US" sz="750" dirty="0">
            <a:latin typeface="Meiryo UI"/>
            <a:ea typeface="Meiryo UI"/>
          </a:endParaRPr>
        </a:p>
      </xdr:txBody>
    </xdr:sp>
    <xdr:clientData/>
  </xdr:twoCellAnchor>
  <xdr:twoCellAnchor editAs="oneCell">
    <xdr:from>
      <xdr:col>135</xdr:col>
      <xdr:colOff>0</xdr:colOff>
      <xdr:row>47</xdr:row>
      <xdr:rowOff>0</xdr:rowOff>
    </xdr:from>
    <xdr:to>
      <xdr:col>137</xdr:col>
      <xdr:colOff>0</xdr:colOff>
      <xdr:row>48</xdr:row>
      <xdr:rowOff>0</xdr:rowOff>
    </xdr:to>
    <xdr:sp macro="" textlink="">
      <xdr:nvSpPr>
        <xdr:cNvPr id="174" name="番号: A2（ルートF）">
          <a:extLst>
            <a:ext uri="{FF2B5EF4-FFF2-40B4-BE49-F238E27FC236}">
              <a16:creationId xmlns:a16="http://schemas.microsoft.com/office/drawing/2014/main" id="{21E62DDB-098A-4247-AA14-569B8A8217DA}"/>
            </a:ext>
          </a:extLst>
        </xdr:cNvPr>
        <xdr:cNvSpPr/>
      </xdr:nvSpPr>
      <xdr:spPr>
        <a:xfrm>
          <a:off x="25717500" y="8953500"/>
          <a:ext cx="381000" cy="190500"/>
        </a:xfrm>
        <a:prstGeom prst="roundRect">
          <a:avLst>
            <a:gd name="adj" fmla="val 50000"/>
          </a:avLst>
        </a:prstGeom>
        <a:solidFill>
          <a:srgbClr val="6B651D"/>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F2</a:t>
          </a:r>
          <a:endParaRPr lang="ja-JP" altLang="en-US" sz="750" dirty="0">
            <a:latin typeface="Meiryo UI"/>
            <a:ea typeface="Meiryo UI"/>
          </a:endParaRPr>
        </a:p>
      </xdr:txBody>
    </xdr:sp>
    <xdr:clientData/>
  </xdr:twoCellAnchor>
  <xdr:twoCellAnchor editAs="oneCell">
    <xdr:from>
      <xdr:col>132</xdr:col>
      <xdr:colOff>0</xdr:colOff>
      <xdr:row>49</xdr:row>
      <xdr:rowOff>0</xdr:rowOff>
    </xdr:from>
    <xdr:to>
      <xdr:col>140</xdr:col>
      <xdr:colOff>0</xdr:colOff>
      <xdr:row>50</xdr:row>
      <xdr:rowOff>0</xdr:rowOff>
    </xdr:to>
    <xdr:sp macro="" textlink="">
      <xdr:nvSpPr>
        <xdr:cNvPr id="175" name="線ラベル（ルートF）">
          <a:extLst>
            <a:ext uri="{FF2B5EF4-FFF2-40B4-BE49-F238E27FC236}">
              <a16:creationId xmlns:a16="http://schemas.microsoft.com/office/drawing/2014/main" id="{796BE7EB-6B66-4B3F-9190-6A7D8EA91E30}"/>
            </a:ext>
          </a:extLst>
        </xdr:cNvPr>
        <xdr:cNvSpPr/>
      </xdr:nvSpPr>
      <xdr:spPr>
        <a:xfrm>
          <a:off x="25146000" y="9334500"/>
          <a:ext cx="1524000" cy="190500"/>
        </a:xfrm>
        <a:prstGeom prst="roundRect">
          <a:avLst>
            <a:gd name="adj" fmla="val 50000"/>
          </a:avLst>
        </a:prstGeom>
        <a:solidFill>
          <a:srgbClr val="FFFFFF"/>
        </a:solidFill>
        <a:ln w="9525" cap="flat">
          <a:solidFill>
            <a:srgbClr val="6B651D"/>
          </a:solidFill>
          <a:round/>
        </a:ln>
      </xdr:spPr>
      <xdr:txBody>
        <a:bodyPr vertOverflow="overflow" horzOverflow="overflow" wrap="none" lIns="25400" tIns="0" rIns="25400" bIns="0" rtlCol="0" anchor="ctr">
          <a:noAutofit/>
        </a:bodyPr>
        <a:lstStyle/>
        <a:p>
          <a:pPr algn="ctr"/>
          <a:r>
            <a:rPr lang="ja-JP" altLang="en-US" sz="750" b="0" dirty="0">
              <a:solidFill>
                <a:srgbClr val="433F00"/>
              </a:solidFill>
              <a:latin typeface="Meiryo UI"/>
              <a:ea typeface="Meiryo UI"/>
              <a:cs typeface="Meiryo UI"/>
            </a:rPr>
            <a:t>HTTPS（REST）</a:t>
          </a:r>
          <a:endParaRPr lang="ja-JP" altLang="en-US" sz="750" dirty="0">
            <a:latin typeface="Meiryo UI"/>
            <a:ea typeface="Meiryo UI"/>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14</xdr:col>
      <xdr:colOff>0</xdr:colOff>
      <xdr:row>15</xdr:row>
      <xdr:rowOff>0</xdr:rowOff>
    </xdr:to>
    <xdr:sp macro="" textlink="">
      <xdr:nvSpPr>
        <xdr:cNvPr id="2" name="ゾーン: ルートA">
          <a:extLst>
            <a:ext uri="{FF2B5EF4-FFF2-40B4-BE49-F238E27FC236}">
              <a16:creationId xmlns:a16="http://schemas.microsoft.com/office/drawing/2014/main" id="{00000000-0008-0000-0300-000002000000}"/>
            </a:ext>
          </a:extLst>
        </xdr:cNvPr>
        <xdr:cNvSpPr/>
      </xdr:nvSpPr>
      <xdr:spPr>
        <a:xfrm>
          <a:off x="381000" y="1143000"/>
          <a:ext cx="2286000" cy="1714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3F8FF"/>
        </a:solidFill>
        <a:ln w="9525" cap="flat">
          <a:solidFill>
            <a:srgbClr val="BCD3F2"/>
          </a:solidFill>
          <a:round/>
        </a:ln>
      </xdr:spPr>
      <xdr:txBody>
        <a:bodyPr vertOverflow="overflow" horzOverflow="overflow" wrap="square" lIns="76200" tIns="50800" rIns="76200" bIns="50800" rtlCol="0" anchor="t">
          <a:noAutofit/>
        </a:bodyPr>
        <a:lstStyle/>
        <a:p>
          <a:pPr algn="l"/>
          <a:r>
            <a:rPr lang="ja-JP" altLang="en-US" sz="950" b="1" dirty="0">
              <a:solidFill>
                <a:srgbClr val="113866"/>
              </a:solidFill>
              <a:latin typeface="Meiryo UI"/>
              <a:ea typeface="Meiryo UI"/>
              <a:cs typeface="Meiryo UI"/>
            </a:rPr>
            <a:t>ルートA｜Salesforce（SaaS）</a:t>
          </a:r>
          <a:endParaRPr lang="ja-JP" altLang="en-US" sz="950" dirty="0">
            <a:latin typeface="Meiryo UI"/>
            <a:ea typeface="Meiryo UI"/>
          </a:endParaRPr>
        </a:p>
      </xdr:txBody>
    </xdr:sp>
    <xdr:clientData/>
  </xdr:twoCellAnchor>
  <xdr:twoCellAnchor editAs="oneCell">
    <xdr:from>
      <xdr:col>2</xdr:col>
      <xdr:colOff>0</xdr:colOff>
      <xdr:row>17</xdr:row>
      <xdr:rowOff>0</xdr:rowOff>
    </xdr:from>
    <xdr:to>
      <xdr:col>14</xdr:col>
      <xdr:colOff>0</xdr:colOff>
      <xdr:row>30</xdr:row>
      <xdr:rowOff>0</xdr:rowOff>
    </xdr:to>
    <xdr:sp macro="" textlink="">
      <xdr:nvSpPr>
        <xdr:cNvPr id="3" name="ゾーン: ルートB">
          <a:extLst>
            <a:ext uri="{FF2B5EF4-FFF2-40B4-BE49-F238E27FC236}">
              <a16:creationId xmlns:a16="http://schemas.microsoft.com/office/drawing/2014/main" id="{00000000-0008-0000-0300-000003000000}"/>
            </a:ext>
          </a:extLst>
        </xdr:cNvPr>
        <xdr:cNvSpPr/>
      </xdr:nvSpPr>
      <xdr:spPr>
        <a:xfrm>
          <a:off x="381000" y="3238500"/>
          <a:ext cx="2286000" cy="2476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1FAF7"/>
        </a:solidFill>
        <a:ln w="9525" cap="flat">
          <a:solidFill>
            <a:srgbClr val="B0DCCF"/>
          </a:solidFill>
          <a:round/>
        </a:ln>
      </xdr:spPr>
      <xdr:txBody>
        <a:bodyPr vertOverflow="overflow" horzOverflow="overflow" wrap="square" lIns="76200" tIns="50800" rIns="76200" bIns="50800" rtlCol="0" anchor="t">
          <a:noAutofit/>
        </a:bodyPr>
        <a:lstStyle/>
        <a:p>
          <a:pPr algn="l"/>
          <a:r>
            <a:rPr lang="ja-JP" altLang="en-US" sz="950" b="1" dirty="0">
              <a:solidFill>
                <a:srgbClr val="005243"/>
              </a:solidFill>
              <a:latin typeface="Meiryo UI"/>
              <a:ea typeface="Meiryo UI"/>
              <a:cs typeface="Meiryo UI"/>
            </a:rPr>
            <a:t>ルートB｜社内（イントラ）</a:t>
          </a:r>
          <a:endParaRPr lang="ja-JP" altLang="en-US" sz="950" dirty="0">
            <a:latin typeface="Meiryo UI"/>
            <a:ea typeface="Meiryo UI"/>
          </a:endParaRPr>
        </a:p>
      </xdr:txBody>
    </xdr:sp>
    <xdr:clientData/>
  </xdr:twoCellAnchor>
  <xdr:twoCellAnchor editAs="oneCell">
    <xdr:from>
      <xdr:col>2</xdr:col>
      <xdr:colOff>0</xdr:colOff>
      <xdr:row>32</xdr:row>
      <xdr:rowOff>0</xdr:rowOff>
    </xdr:from>
    <xdr:to>
      <xdr:col>14</xdr:col>
      <xdr:colOff>0</xdr:colOff>
      <xdr:row>41</xdr:row>
      <xdr:rowOff>0</xdr:rowOff>
    </xdr:to>
    <xdr:sp macro="" textlink="">
      <xdr:nvSpPr>
        <xdr:cNvPr id="4" name="ゾーン: ルートC">
          <a:extLst>
            <a:ext uri="{FF2B5EF4-FFF2-40B4-BE49-F238E27FC236}">
              <a16:creationId xmlns:a16="http://schemas.microsoft.com/office/drawing/2014/main" id="{00000000-0008-0000-0300-000004000000}"/>
            </a:ext>
          </a:extLst>
        </xdr:cNvPr>
        <xdr:cNvSpPr/>
      </xdr:nvSpPr>
      <xdr:spPr>
        <a:xfrm>
          <a:off x="381000" y="6096000"/>
          <a:ext cx="2286000" cy="1714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EF6F2"/>
        </a:solidFill>
        <a:ln w="9525" cap="flat">
          <a:solidFill>
            <a:srgbClr val="EEC8B5"/>
          </a:solidFill>
          <a:round/>
        </a:ln>
      </xdr:spPr>
      <xdr:txBody>
        <a:bodyPr vertOverflow="overflow" horzOverflow="overflow" wrap="square" lIns="76200" tIns="50800" rIns="76200" bIns="50800" rtlCol="0" anchor="t">
          <a:noAutofit/>
        </a:bodyPr>
        <a:lstStyle/>
        <a:p>
          <a:pPr algn="l"/>
          <a:r>
            <a:rPr lang="ja-JP" altLang="en-US" sz="950" b="1" dirty="0">
              <a:solidFill>
                <a:srgbClr val="954717"/>
              </a:solidFill>
              <a:latin typeface="Meiryo UI"/>
              <a:ea typeface="Meiryo UI"/>
              <a:cs typeface="Meiryo UI"/>
            </a:rPr>
            <a:t>ルートC｜外部（インターネット）</a:t>
          </a:r>
          <a:endParaRPr lang="ja-JP" altLang="en-US" sz="950" dirty="0">
            <a:latin typeface="Meiryo UI"/>
            <a:ea typeface="Meiryo UI"/>
          </a:endParaRPr>
        </a:p>
      </xdr:txBody>
    </xdr:sp>
    <xdr:clientData/>
  </xdr:twoCellAnchor>
  <xdr:twoCellAnchor editAs="oneCell">
    <xdr:from>
      <xdr:col>27</xdr:col>
      <xdr:colOff>0</xdr:colOff>
      <xdr:row>6</xdr:row>
      <xdr:rowOff>0</xdr:rowOff>
    </xdr:from>
    <xdr:to>
      <xdr:col>74</xdr:col>
      <xdr:colOff>0</xdr:colOff>
      <xdr:row>41</xdr:row>
      <xdr:rowOff>0</xdr:rowOff>
    </xdr:to>
    <xdr:grpSp>
      <xdr:nvGrpSpPr>
        <xdr:cNvPr id="7" name="ゾーン: AWS Cloud">
          <a:extLst>
            <a:ext uri="{FF2B5EF4-FFF2-40B4-BE49-F238E27FC236}">
              <a16:creationId xmlns:a16="http://schemas.microsoft.com/office/drawing/2014/main" id="{00000000-0008-0000-0300-000007000000}"/>
            </a:ext>
          </a:extLst>
        </xdr:cNvPr>
        <xdr:cNvGrpSpPr/>
      </xdr:nvGrpSpPr>
      <xdr:grpSpPr>
        <a:xfrm>
          <a:off x="5143500" y="1143000"/>
          <a:ext cx="8953500" cy="6667500"/>
          <a:chOff x="5143500" y="1143000"/>
          <a:chExt cx="8953500" cy="6667500"/>
        </a:xfrm>
      </xdr:grpSpPr>
      <xdr:sp macro="" textlink="">
        <xdr:nvSpPr>
          <xdr:cNvPr id="5" name="枠: AWS Cloud">
            <a:extLst>
              <a:ext uri="{FF2B5EF4-FFF2-40B4-BE49-F238E27FC236}">
                <a16:creationId xmlns:a16="http://schemas.microsoft.com/office/drawing/2014/main" id="{00000000-0008-0000-0300-000005000000}"/>
              </a:ext>
            </a:extLst>
          </xdr:cNvPr>
          <xdr:cNvSpPr/>
        </xdr:nvSpPr>
        <xdr:spPr>
          <a:xfrm>
            <a:off x="5143500" y="1143000"/>
            <a:ext cx="8953500" cy="6667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FFFFF"/>
          </a:solidFill>
          <a:ln w="15875" cap="flat">
            <a:solidFill>
              <a:srgbClr val="262626"/>
            </a:solidFill>
            <a:round/>
          </a:ln>
        </xdr:spPr>
        <xdr:txBody>
          <a:bodyPr vertOverflow="overflow" horzOverflow="overflow" wrap="square" lIns="330200" tIns="44450" rIns="76200" bIns="38100" rtlCol="0" anchor="t">
            <a:noAutofit/>
          </a:bodyPr>
          <a:lstStyle/>
          <a:p>
            <a:pPr algn="l"/>
            <a:r>
              <a:rPr lang="ja-JP" altLang="en-US" sz="1000" b="1" dirty="0">
                <a:solidFill>
                  <a:srgbClr val="262626"/>
                </a:solidFill>
                <a:latin typeface="Meiryo UI"/>
                <a:ea typeface="Meiryo UI"/>
                <a:cs typeface="Meiryo UI"/>
              </a:rPr>
              <a:t>AWS Cloud</a:t>
            </a:r>
            <a:endParaRPr lang="ja-JP" altLang="en-US" sz="1000" dirty="0">
              <a:latin typeface="Meiryo UI"/>
              <a:ea typeface="Meiryo UI"/>
            </a:endParaRPr>
          </a:p>
        </xdr:txBody>
      </xdr:sp>
      <xdr:pic>
        <xdr:nvPicPr>
          <xdr:cNvPr id="6" name="ロゴ: AWS Cloud" descr="AWS Cloud">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143500" y="1143000"/>
            <a:ext cx="254000" cy="254000"/>
          </a:xfrm>
          <a:prstGeom prst="rect">
            <a:avLst/>
          </a:prstGeom>
        </xdr:spPr>
      </xdr:pic>
    </xdr:grpSp>
    <xdr:clientData/>
  </xdr:twoCellAnchor>
  <xdr:twoCellAnchor editAs="oneCell">
    <xdr:from>
      <xdr:col>2</xdr:col>
      <xdr:colOff>0</xdr:colOff>
      <xdr:row>42</xdr:row>
      <xdr:rowOff>95250</xdr:rowOff>
    </xdr:from>
    <xdr:to>
      <xdr:col>50</xdr:col>
      <xdr:colOff>0</xdr:colOff>
      <xdr:row>48</xdr:row>
      <xdr:rowOff>95250</xdr:rowOff>
    </xdr:to>
    <xdr:grpSp>
      <xdr:nvGrpSpPr>
        <xdr:cNvPr id="40" name="凡例">
          <a:extLst>
            <a:ext uri="{FF2B5EF4-FFF2-40B4-BE49-F238E27FC236}">
              <a16:creationId xmlns:a16="http://schemas.microsoft.com/office/drawing/2014/main" id="{00000000-0008-0000-0300-000028000000}"/>
            </a:ext>
          </a:extLst>
        </xdr:cNvPr>
        <xdr:cNvGrpSpPr/>
      </xdr:nvGrpSpPr>
      <xdr:grpSpPr>
        <a:xfrm>
          <a:off x="381000" y="8092440"/>
          <a:ext cx="9144000" cy="1143000"/>
          <a:chOff x="381000" y="8096250"/>
          <a:chExt cx="9144000" cy="1143000"/>
        </a:xfrm>
      </xdr:grpSpPr>
      <xdr:sp macro="" textlink="">
        <xdr:nvSpPr>
          <xdr:cNvPr id="8" name="凡例: 背景">
            <a:extLst>
              <a:ext uri="{FF2B5EF4-FFF2-40B4-BE49-F238E27FC236}">
                <a16:creationId xmlns:a16="http://schemas.microsoft.com/office/drawing/2014/main" id="{00000000-0008-0000-0300-000008000000}"/>
              </a:ext>
            </a:extLst>
          </xdr:cNvPr>
          <xdr:cNvSpPr/>
        </xdr:nvSpPr>
        <xdr:spPr>
          <a:xfrm>
            <a:off x="381000" y="8096250"/>
            <a:ext cx="9144000" cy="1143000"/>
          </a:xfrm>
          <a:prstGeom prst="rect">
            <a:avLst/>
          </a:prstGeom>
          <a:solidFill>
            <a:srgbClr val="FFFFFF"/>
          </a:solidFill>
          <a:ln w="9525" cap="flat">
            <a:solidFill>
              <a:srgbClr val="A6A6A6"/>
            </a:solidFill>
            <a:round/>
          </a:ln>
        </xdr:spPr>
        <xdr:txBody>
          <a:bodyPr vertOverflow="overflow" horzOverflow="overflow" wrap="square" lIns="63500" tIns="38100" rIns="63500" bIns="38100" rtlCol="0" anchor="t">
            <a:noAutofit/>
          </a:bodyPr>
          <a:lstStyle/>
          <a:p>
            <a:pPr algn="l"/>
            <a:r>
              <a:rPr lang="ja-JP" altLang="en-US" sz="850" b="1" dirty="0">
                <a:solidFill>
                  <a:srgbClr val="262626"/>
                </a:solidFill>
                <a:latin typeface="Meiryo UI"/>
                <a:ea typeface="Meiryo UI"/>
                <a:cs typeface="Meiryo UI"/>
              </a:rPr>
              <a:t>凡例</a:t>
            </a:r>
            <a:endParaRPr lang="ja-JP" altLang="en-US" sz="850" dirty="0">
              <a:latin typeface="Meiryo UI"/>
              <a:ea typeface="Meiryo UI"/>
            </a:endParaRPr>
          </a:p>
        </xdr:txBody>
      </xdr:sp>
      <xdr:sp macro="" textlink="">
        <xdr:nvSpPr>
          <xdr:cNvPr id="9" name="凡例: 見出し">
            <a:extLst>
              <a:ext uri="{FF2B5EF4-FFF2-40B4-BE49-F238E27FC236}">
                <a16:creationId xmlns:a16="http://schemas.microsoft.com/office/drawing/2014/main" id="{00000000-0008-0000-0300-000009000000}"/>
              </a:ext>
            </a:extLst>
          </xdr:cNvPr>
          <xdr:cNvSpPr/>
        </xdr:nvSpPr>
        <xdr:spPr>
          <a:xfrm>
            <a:off x="495300" y="8305800"/>
            <a:ext cx="800100" cy="190500"/>
          </a:xfrm>
          <a:prstGeom prst="rect">
            <a:avLst/>
          </a:prstGeom>
          <a:noFill/>
          <a:ln>
            <a:noFill/>
          </a:ln>
        </xdr:spPr>
        <xdr:txBody>
          <a:bodyPr vertOverflow="overflow" horzOverflow="overflow" wrap="square" lIns="0" tIns="0" rIns="0" bIns="0" rtlCol="0" anchor="ctr">
            <a:noAutofit/>
          </a:bodyPr>
          <a:lstStyle/>
          <a:p>
            <a:pPr algn="l"/>
            <a:r>
              <a:rPr lang="ja-JP" altLang="en-US" sz="750" b="1" dirty="0">
                <a:solidFill>
                  <a:srgbClr val="595959"/>
                </a:solidFill>
                <a:latin typeface="Meiryo UI"/>
                <a:ea typeface="Meiryo UI"/>
                <a:cs typeface="Meiryo UI"/>
              </a:rPr>
              <a:t>ルート（色）</a:t>
            </a:r>
            <a:endParaRPr lang="ja-JP" altLang="en-US" sz="750" dirty="0">
              <a:latin typeface="Meiryo UI"/>
              <a:ea typeface="Meiryo UI"/>
            </a:endParaRPr>
          </a:p>
        </xdr:txBody>
      </xdr:sp>
      <xdr:sp macro="" textlink="">
        <xdr:nvSpPr>
          <xdr:cNvPr id="10" name="凡例: 見出し">
            <a:extLst>
              <a:ext uri="{FF2B5EF4-FFF2-40B4-BE49-F238E27FC236}">
                <a16:creationId xmlns:a16="http://schemas.microsoft.com/office/drawing/2014/main" id="{00000000-0008-0000-0300-00000A000000}"/>
              </a:ext>
            </a:extLst>
          </xdr:cNvPr>
          <xdr:cNvSpPr/>
        </xdr:nvSpPr>
        <xdr:spPr>
          <a:xfrm>
            <a:off x="495300" y="8610600"/>
            <a:ext cx="800100" cy="190500"/>
          </a:xfrm>
          <a:prstGeom prst="rect">
            <a:avLst/>
          </a:prstGeom>
          <a:noFill/>
          <a:ln>
            <a:noFill/>
          </a:ln>
        </xdr:spPr>
        <xdr:txBody>
          <a:bodyPr vertOverflow="overflow" horzOverflow="overflow" wrap="square" lIns="0" tIns="0" rIns="0" bIns="0" rtlCol="0" anchor="ctr">
            <a:noAutofit/>
          </a:bodyPr>
          <a:lstStyle/>
          <a:p>
            <a:pPr algn="l"/>
            <a:r>
              <a:rPr lang="ja-JP" altLang="en-US" sz="750" b="1" dirty="0">
                <a:solidFill>
                  <a:srgbClr val="595959"/>
                </a:solidFill>
                <a:latin typeface="Meiryo UI"/>
                <a:ea typeface="Meiryo UI"/>
                <a:cs typeface="Meiryo UI"/>
              </a:rPr>
              <a:t>線の種類</a:t>
            </a:r>
            <a:endParaRPr lang="ja-JP" altLang="en-US" sz="750" dirty="0">
              <a:latin typeface="Meiryo UI"/>
              <a:ea typeface="Meiryo UI"/>
            </a:endParaRPr>
          </a:p>
        </xdr:txBody>
      </xdr:sp>
      <xdr:sp macro="" textlink="">
        <xdr:nvSpPr>
          <xdr:cNvPr id="11" name="凡例: 見出し">
            <a:extLst>
              <a:ext uri="{FF2B5EF4-FFF2-40B4-BE49-F238E27FC236}">
                <a16:creationId xmlns:a16="http://schemas.microsoft.com/office/drawing/2014/main" id="{00000000-0008-0000-0300-00000B000000}"/>
              </a:ext>
            </a:extLst>
          </xdr:cNvPr>
          <xdr:cNvSpPr/>
        </xdr:nvSpPr>
        <xdr:spPr>
          <a:xfrm>
            <a:off x="495300" y="8915400"/>
            <a:ext cx="800100" cy="190500"/>
          </a:xfrm>
          <a:prstGeom prst="rect">
            <a:avLst/>
          </a:prstGeom>
          <a:noFill/>
          <a:ln>
            <a:noFill/>
          </a:ln>
        </xdr:spPr>
        <xdr:txBody>
          <a:bodyPr vertOverflow="overflow" horzOverflow="overflow" wrap="square" lIns="0" tIns="0" rIns="0" bIns="0" rtlCol="0" anchor="ctr">
            <a:noAutofit/>
          </a:bodyPr>
          <a:lstStyle/>
          <a:p>
            <a:pPr algn="l"/>
            <a:r>
              <a:rPr lang="ja-JP" altLang="en-US" sz="750" b="1" dirty="0">
                <a:solidFill>
                  <a:srgbClr val="595959"/>
                </a:solidFill>
                <a:latin typeface="Meiryo UI"/>
                <a:ea typeface="Meiryo UI"/>
                <a:cs typeface="Meiryo UI"/>
              </a:rPr>
              <a:t>図形・記号</a:t>
            </a:r>
            <a:endParaRPr lang="ja-JP" altLang="en-US" sz="750" dirty="0">
              <a:latin typeface="Meiryo UI"/>
              <a:ea typeface="Meiryo UI"/>
            </a:endParaRPr>
          </a:p>
        </xdr:txBody>
      </xdr:sp>
      <xdr:cxnSp macro="">
        <xdr:nvCxnSpPr>
          <xdr:cNvPr id="12" name="凡例: 線（ルートA）">
            <a:extLst>
              <a:ext uri="{FF2B5EF4-FFF2-40B4-BE49-F238E27FC236}">
                <a16:creationId xmlns:a16="http://schemas.microsoft.com/office/drawing/2014/main" id="{00000000-0008-0000-0300-00000C000000}"/>
              </a:ext>
            </a:extLst>
          </xdr:cNvPr>
          <xdr:cNvCxnSpPr/>
        </xdr:nvCxnSpPr>
        <xdr:spPr>
          <a:xfrm>
            <a:off x="1333500" y="8401050"/>
            <a:ext cx="419100" cy="0"/>
          </a:xfrm>
          <a:prstGeom prst="straightConnector1">
            <a:avLst/>
          </a:prstGeom>
          <a:ln w="19050" cap="flat">
            <a:solidFill>
              <a:srgbClr val="315C92"/>
            </a:solidFill>
            <a:round/>
            <a:tailEnd type="triangle" w="med" len="med"/>
          </a:ln>
        </xdr:spPr>
      </xdr:cxnSp>
      <xdr:sp macro="" textlink="">
        <xdr:nvSpPr>
          <xdr:cNvPr id="13" name="凡例: 記号A">
            <a:extLst>
              <a:ext uri="{FF2B5EF4-FFF2-40B4-BE49-F238E27FC236}">
                <a16:creationId xmlns:a16="http://schemas.microsoft.com/office/drawing/2014/main" id="{00000000-0008-0000-0300-00000D000000}"/>
              </a:ext>
            </a:extLst>
          </xdr:cNvPr>
          <xdr:cNvSpPr/>
        </xdr:nvSpPr>
        <xdr:spPr>
          <a:xfrm>
            <a:off x="1809750" y="8324850"/>
            <a:ext cx="152400" cy="152400"/>
          </a:xfrm>
          <a:prstGeom prst="ellipse">
            <a:avLst/>
          </a:prstGeom>
          <a:solidFill>
            <a:srgbClr val="315C92"/>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A</a:t>
            </a:r>
            <a:endParaRPr lang="ja-JP" altLang="en-US" sz="650" dirty="0">
              <a:latin typeface="Meiryo UI"/>
              <a:ea typeface="Meiryo UI"/>
            </a:endParaRPr>
          </a:p>
        </xdr:txBody>
      </xdr:sp>
      <xdr:sp macro="" textlink="表紙!$G$31">
        <xdr:nvSpPr>
          <xdr:cNvPr id="14" name="凡例: ルートA名（表紙と連動）">
            <a:extLst>
              <a:ext uri="{FF2B5EF4-FFF2-40B4-BE49-F238E27FC236}">
                <a16:creationId xmlns:a16="http://schemas.microsoft.com/office/drawing/2014/main" id="{00000000-0008-0000-0300-00000E000000}"/>
              </a:ext>
            </a:extLst>
          </xdr:cNvPr>
          <xdr:cNvSpPr/>
        </xdr:nvSpPr>
        <xdr:spPr>
          <a:xfrm>
            <a:off x="2000250" y="8305800"/>
            <a:ext cx="1338262" cy="190500"/>
          </a:xfrm>
          <a:prstGeom prst="rect">
            <a:avLst/>
          </a:prstGeom>
          <a:noFill/>
          <a:ln>
            <a:noFill/>
          </a:ln>
        </xdr:spPr>
        <xdr:txBody>
          <a:bodyPr vertOverflow="overflow" horzOverflow="overflow" wrap="square" lIns="12700" tIns="0" rIns="12700" bIns="0" rtlCol="0" anchor="ctr">
            <a:noAutofit/>
          </a:bodyPr>
          <a:lstStyle/>
          <a:p>
            <a:pPr algn="l"/>
            <a:fld id="{5A1C0F3E-7B2D-4C8A-9E41-000000000004}" type="TxLink">
              <a:rPr lang="ja-JP" altLang="en-US" sz="750" b="0">
                <a:solidFill>
                  <a:srgbClr val="404040"/>
                </a:solidFill>
                <a:latin typeface="Meiryo UI"/>
                <a:ea typeface="Meiryo UI"/>
                <a:cs typeface="Meiryo UI"/>
              </a:rPr>
              <a:pPr algn="l"/>
              <a:t>Salesforce連携</a:t>
            </a:fld>
            <a:endParaRPr lang="ja-JP" altLang="en-US" sz="750"/>
          </a:p>
        </xdr:txBody>
      </xdr:sp>
      <xdr:cxnSp macro="">
        <xdr:nvCxnSpPr>
          <xdr:cNvPr id="15" name="凡例: 線（ルートB）">
            <a:extLst>
              <a:ext uri="{FF2B5EF4-FFF2-40B4-BE49-F238E27FC236}">
                <a16:creationId xmlns:a16="http://schemas.microsoft.com/office/drawing/2014/main" id="{00000000-0008-0000-0300-00000F000000}"/>
              </a:ext>
            </a:extLst>
          </xdr:cNvPr>
          <xdr:cNvCxnSpPr/>
        </xdr:nvCxnSpPr>
        <xdr:spPr>
          <a:xfrm>
            <a:off x="3357562" y="8401050"/>
            <a:ext cx="419100" cy="0"/>
          </a:xfrm>
          <a:prstGeom prst="straightConnector1">
            <a:avLst/>
          </a:prstGeom>
          <a:ln w="19050" cap="flat">
            <a:solidFill>
              <a:srgbClr val="247966"/>
            </a:solidFill>
            <a:round/>
            <a:tailEnd type="triangle" w="med" len="med"/>
          </a:ln>
        </xdr:spPr>
      </xdr:cxnSp>
      <xdr:sp macro="" textlink="">
        <xdr:nvSpPr>
          <xdr:cNvPr id="16" name="凡例: 記号B">
            <a:extLst>
              <a:ext uri="{FF2B5EF4-FFF2-40B4-BE49-F238E27FC236}">
                <a16:creationId xmlns:a16="http://schemas.microsoft.com/office/drawing/2014/main" id="{00000000-0008-0000-0300-000010000000}"/>
              </a:ext>
            </a:extLst>
          </xdr:cNvPr>
          <xdr:cNvSpPr/>
        </xdr:nvSpPr>
        <xdr:spPr>
          <a:xfrm>
            <a:off x="3833812" y="8324850"/>
            <a:ext cx="152400" cy="152400"/>
          </a:xfrm>
          <a:prstGeom prst="ellipse">
            <a:avLst/>
          </a:prstGeom>
          <a:solidFill>
            <a:srgbClr val="247966"/>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B</a:t>
            </a:r>
            <a:endParaRPr lang="ja-JP" altLang="en-US" sz="650" dirty="0">
              <a:latin typeface="Meiryo UI"/>
              <a:ea typeface="Meiryo UI"/>
            </a:endParaRPr>
          </a:p>
        </xdr:txBody>
      </xdr:sp>
      <xdr:sp macro="" textlink="表紙!$G$32">
        <xdr:nvSpPr>
          <xdr:cNvPr id="17" name="凡例: ルートB名（表紙と連動）">
            <a:extLst>
              <a:ext uri="{FF2B5EF4-FFF2-40B4-BE49-F238E27FC236}">
                <a16:creationId xmlns:a16="http://schemas.microsoft.com/office/drawing/2014/main" id="{00000000-0008-0000-0300-000011000000}"/>
              </a:ext>
            </a:extLst>
          </xdr:cNvPr>
          <xdr:cNvSpPr/>
        </xdr:nvSpPr>
        <xdr:spPr>
          <a:xfrm>
            <a:off x="4024312" y="8305800"/>
            <a:ext cx="1338262" cy="190500"/>
          </a:xfrm>
          <a:prstGeom prst="rect">
            <a:avLst/>
          </a:prstGeom>
          <a:noFill/>
          <a:ln>
            <a:noFill/>
          </a:ln>
        </xdr:spPr>
        <xdr:txBody>
          <a:bodyPr vertOverflow="overflow" horzOverflow="overflow" wrap="square" lIns="12700" tIns="0" rIns="12700" bIns="0" rtlCol="0" anchor="ctr">
            <a:noAutofit/>
          </a:bodyPr>
          <a:lstStyle/>
          <a:p>
            <a:pPr algn="l"/>
            <a:fld id="{5A1C0F3E-7B2D-4C8A-9E41-000000000005}" type="TxLink">
              <a:rPr lang="ja-JP" altLang="en-US" sz="750" b="0">
                <a:solidFill>
                  <a:srgbClr val="404040"/>
                </a:solidFill>
                <a:latin typeface="Meiryo UI"/>
                <a:ea typeface="Meiryo UI"/>
                <a:cs typeface="Meiryo UI"/>
              </a:rPr>
              <a:pPr algn="l"/>
              <a:t>社内（イントラ）連携</a:t>
            </a:fld>
            <a:endParaRPr lang="ja-JP" altLang="en-US" sz="750"/>
          </a:p>
        </xdr:txBody>
      </xdr:sp>
      <xdr:cxnSp macro="">
        <xdr:nvCxnSpPr>
          <xdr:cNvPr id="18" name="凡例: 線（ルートC）">
            <a:extLst>
              <a:ext uri="{FF2B5EF4-FFF2-40B4-BE49-F238E27FC236}">
                <a16:creationId xmlns:a16="http://schemas.microsoft.com/office/drawing/2014/main" id="{00000000-0008-0000-0300-000012000000}"/>
              </a:ext>
            </a:extLst>
          </xdr:cNvPr>
          <xdr:cNvCxnSpPr/>
        </xdr:nvCxnSpPr>
        <xdr:spPr>
          <a:xfrm>
            <a:off x="5381625" y="8401050"/>
            <a:ext cx="419100" cy="0"/>
          </a:xfrm>
          <a:prstGeom prst="straightConnector1">
            <a:avLst/>
          </a:prstGeom>
          <a:ln w="19050" cap="flat">
            <a:solidFill>
              <a:srgbClr val="C46B39"/>
            </a:solidFill>
            <a:round/>
            <a:tailEnd type="triangle" w="med" len="med"/>
          </a:ln>
        </xdr:spPr>
      </xdr:cxnSp>
      <xdr:sp macro="" textlink="">
        <xdr:nvSpPr>
          <xdr:cNvPr id="19" name="凡例: 記号C">
            <a:extLst>
              <a:ext uri="{FF2B5EF4-FFF2-40B4-BE49-F238E27FC236}">
                <a16:creationId xmlns:a16="http://schemas.microsoft.com/office/drawing/2014/main" id="{00000000-0008-0000-0300-000013000000}"/>
              </a:ext>
            </a:extLst>
          </xdr:cNvPr>
          <xdr:cNvSpPr/>
        </xdr:nvSpPr>
        <xdr:spPr>
          <a:xfrm>
            <a:off x="5857875" y="8324850"/>
            <a:ext cx="152400" cy="152400"/>
          </a:xfrm>
          <a:prstGeom prst="ellipse">
            <a:avLst/>
          </a:prstGeom>
          <a:solidFill>
            <a:srgbClr val="C46B39"/>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C</a:t>
            </a:r>
            <a:endParaRPr lang="ja-JP" altLang="en-US" sz="650" dirty="0">
              <a:latin typeface="Meiryo UI"/>
              <a:ea typeface="Meiryo UI"/>
            </a:endParaRPr>
          </a:p>
        </xdr:txBody>
      </xdr:sp>
      <xdr:sp macro="" textlink="表紙!$G$33">
        <xdr:nvSpPr>
          <xdr:cNvPr id="20" name="凡例: ルートC名（表紙と連動）">
            <a:extLst>
              <a:ext uri="{FF2B5EF4-FFF2-40B4-BE49-F238E27FC236}">
                <a16:creationId xmlns:a16="http://schemas.microsoft.com/office/drawing/2014/main" id="{00000000-0008-0000-0300-000014000000}"/>
              </a:ext>
            </a:extLst>
          </xdr:cNvPr>
          <xdr:cNvSpPr/>
        </xdr:nvSpPr>
        <xdr:spPr>
          <a:xfrm>
            <a:off x="6048375" y="8305800"/>
            <a:ext cx="1338262" cy="190500"/>
          </a:xfrm>
          <a:prstGeom prst="rect">
            <a:avLst/>
          </a:prstGeom>
          <a:noFill/>
          <a:ln>
            <a:noFill/>
          </a:ln>
        </xdr:spPr>
        <xdr:txBody>
          <a:bodyPr vertOverflow="overflow" horzOverflow="overflow" wrap="square" lIns="12700" tIns="0" rIns="12700" bIns="0" rtlCol="0" anchor="ctr">
            <a:noAutofit/>
          </a:bodyPr>
          <a:lstStyle/>
          <a:p>
            <a:pPr algn="l"/>
            <a:fld id="{5A1C0F3E-7B2D-4C8A-9E41-000000000006}" type="TxLink">
              <a:rPr lang="ja-JP" altLang="en-US" sz="750" b="0">
                <a:solidFill>
                  <a:srgbClr val="404040"/>
                </a:solidFill>
                <a:latin typeface="Meiryo UI"/>
                <a:ea typeface="Meiryo UI"/>
                <a:cs typeface="Meiryo UI"/>
              </a:rPr>
              <a:pPr algn="l"/>
              <a:t>外部連携</a:t>
            </a:fld>
            <a:endParaRPr lang="ja-JP" altLang="en-US" sz="750"/>
          </a:p>
        </xdr:txBody>
      </xdr:sp>
      <xdr:cxnSp macro="">
        <xdr:nvCxnSpPr>
          <xdr:cNvPr id="21" name="凡例: 線（共通）">
            <a:extLst>
              <a:ext uri="{FF2B5EF4-FFF2-40B4-BE49-F238E27FC236}">
                <a16:creationId xmlns:a16="http://schemas.microsoft.com/office/drawing/2014/main" id="{00000000-0008-0000-0300-000015000000}"/>
              </a:ext>
            </a:extLst>
          </xdr:cNvPr>
          <xdr:cNvCxnSpPr/>
        </xdr:nvCxnSpPr>
        <xdr:spPr>
          <a:xfrm>
            <a:off x="7405688" y="8401050"/>
            <a:ext cx="419100" cy="0"/>
          </a:xfrm>
          <a:prstGeom prst="straightConnector1">
            <a:avLst/>
          </a:prstGeom>
          <a:ln w="19050" cap="flat">
            <a:solidFill>
              <a:srgbClr val="404040"/>
            </a:solidFill>
            <a:round/>
            <a:tailEnd type="triangle" w="med" len="med"/>
          </a:ln>
        </xdr:spPr>
      </xdr:cxnSp>
      <xdr:sp macro="" textlink="">
        <xdr:nvSpPr>
          <xdr:cNvPr id="22" name="凡例: 共通">
            <a:extLst>
              <a:ext uri="{FF2B5EF4-FFF2-40B4-BE49-F238E27FC236}">
                <a16:creationId xmlns:a16="http://schemas.microsoft.com/office/drawing/2014/main" id="{00000000-0008-0000-0300-000016000000}"/>
              </a:ext>
            </a:extLst>
          </xdr:cNvPr>
          <xdr:cNvSpPr/>
        </xdr:nvSpPr>
        <xdr:spPr>
          <a:xfrm>
            <a:off x="7881938" y="8305800"/>
            <a:ext cx="15287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共通（複数ルート・基盤）</a:t>
            </a:r>
            <a:endParaRPr lang="ja-JP" altLang="en-US" sz="750" dirty="0">
              <a:latin typeface="Meiryo UI"/>
              <a:ea typeface="Meiryo UI"/>
            </a:endParaRPr>
          </a:p>
        </xdr:txBody>
      </xdr:sp>
      <xdr:cxnSp macro="">
        <xdr:nvCxnSpPr>
          <xdr:cNvPr id="23" name="凡例: オンライン連携">
            <a:extLst>
              <a:ext uri="{FF2B5EF4-FFF2-40B4-BE49-F238E27FC236}">
                <a16:creationId xmlns:a16="http://schemas.microsoft.com/office/drawing/2014/main" id="{00000000-0008-0000-0300-000017000000}"/>
              </a:ext>
            </a:extLst>
          </xdr:cNvPr>
          <xdr:cNvCxnSpPr/>
        </xdr:nvCxnSpPr>
        <xdr:spPr>
          <a:xfrm>
            <a:off x="1333500" y="8705850"/>
            <a:ext cx="419100" cy="0"/>
          </a:xfrm>
          <a:prstGeom prst="straightConnector1">
            <a:avLst/>
          </a:prstGeom>
          <a:ln w="19050" cap="flat">
            <a:solidFill>
              <a:srgbClr val="404040"/>
            </a:solidFill>
            <a:round/>
            <a:tailEnd type="triangle" w="med" len="med"/>
          </a:ln>
        </xdr:spPr>
      </xdr:cxnSp>
      <xdr:sp macro="" textlink="">
        <xdr:nvSpPr>
          <xdr:cNvPr id="24" name="凡例: 実線矢印：オンライン・イベント">
            <a:extLst>
              <a:ext uri="{FF2B5EF4-FFF2-40B4-BE49-F238E27FC236}">
                <a16:creationId xmlns:a16="http://schemas.microsoft.com/office/drawing/2014/main" id="{00000000-0008-0000-0300-000018000000}"/>
              </a:ext>
            </a:extLst>
          </xdr:cNvPr>
          <xdr:cNvSpPr/>
        </xdr:nvSpPr>
        <xdr:spPr>
          <a:xfrm>
            <a:off x="1809750" y="8610600"/>
            <a:ext cx="15287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実線矢印：オンライン・イベント</a:t>
            </a:r>
            <a:endParaRPr lang="ja-JP" altLang="en-US" sz="750" dirty="0">
              <a:latin typeface="Meiryo UI"/>
              <a:ea typeface="Meiryo UI"/>
            </a:endParaRPr>
          </a:p>
        </xdr:txBody>
      </xdr:sp>
      <xdr:cxnSp macro="">
        <xdr:nvCxnSpPr>
          <xdr:cNvPr id="25" name="凡例: バッチ・ファイル">
            <a:extLst>
              <a:ext uri="{FF2B5EF4-FFF2-40B4-BE49-F238E27FC236}">
                <a16:creationId xmlns:a16="http://schemas.microsoft.com/office/drawing/2014/main" id="{00000000-0008-0000-0300-000019000000}"/>
              </a:ext>
            </a:extLst>
          </xdr:cNvPr>
          <xdr:cNvCxnSpPr/>
        </xdr:nvCxnSpPr>
        <xdr:spPr>
          <a:xfrm>
            <a:off x="3357562" y="8705850"/>
            <a:ext cx="419100" cy="0"/>
          </a:xfrm>
          <a:prstGeom prst="straightConnector1">
            <a:avLst/>
          </a:prstGeom>
          <a:ln w="19050" cap="flat">
            <a:solidFill>
              <a:srgbClr val="404040"/>
            </a:solidFill>
            <a:prstDash val="dash"/>
            <a:round/>
            <a:tailEnd type="triangle" w="med" len="med"/>
          </a:ln>
        </xdr:spPr>
      </xdr:cxnSp>
      <xdr:sp macro="" textlink="">
        <xdr:nvSpPr>
          <xdr:cNvPr id="26" name="凡例: 破線矢印：バッチ・ファイル">
            <a:extLst>
              <a:ext uri="{FF2B5EF4-FFF2-40B4-BE49-F238E27FC236}">
                <a16:creationId xmlns:a16="http://schemas.microsoft.com/office/drawing/2014/main" id="{00000000-0008-0000-0300-00001A000000}"/>
              </a:ext>
            </a:extLst>
          </xdr:cNvPr>
          <xdr:cNvSpPr/>
        </xdr:nvSpPr>
        <xdr:spPr>
          <a:xfrm>
            <a:off x="3833812" y="8610600"/>
            <a:ext cx="15287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破線矢印：バッチ・ファイル</a:t>
            </a:r>
            <a:endParaRPr lang="ja-JP" altLang="en-US" sz="750" dirty="0">
              <a:latin typeface="Meiryo UI"/>
              <a:ea typeface="Meiryo UI"/>
            </a:endParaRPr>
          </a:p>
        </xdr:txBody>
      </xdr:sp>
      <xdr:cxnSp macro="">
        <xdr:nvCxnSpPr>
          <xdr:cNvPr id="27" name="凡例: 監視・運用">
            <a:extLst>
              <a:ext uri="{FF2B5EF4-FFF2-40B4-BE49-F238E27FC236}">
                <a16:creationId xmlns:a16="http://schemas.microsoft.com/office/drawing/2014/main" id="{00000000-0008-0000-0300-00001B000000}"/>
              </a:ext>
            </a:extLst>
          </xdr:cNvPr>
          <xdr:cNvCxnSpPr/>
        </xdr:nvCxnSpPr>
        <xdr:spPr>
          <a:xfrm>
            <a:off x="5381625" y="8705850"/>
            <a:ext cx="419100" cy="0"/>
          </a:xfrm>
          <a:prstGeom prst="straightConnector1">
            <a:avLst/>
          </a:prstGeom>
          <a:ln w="12700" cap="flat">
            <a:solidFill>
              <a:srgbClr val="404040"/>
            </a:solidFill>
            <a:prstDash val="sysDot"/>
            <a:round/>
            <a:tailEnd type="triangle" w="med" len="med"/>
          </a:ln>
        </xdr:spPr>
      </xdr:cxnSp>
      <xdr:sp macro="" textlink="">
        <xdr:nvSpPr>
          <xdr:cNvPr id="28" name="凡例: 点線矢印：監視・運用">
            <a:extLst>
              <a:ext uri="{FF2B5EF4-FFF2-40B4-BE49-F238E27FC236}">
                <a16:creationId xmlns:a16="http://schemas.microsoft.com/office/drawing/2014/main" id="{00000000-0008-0000-0300-00001C000000}"/>
              </a:ext>
            </a:extLst>
          </xdr:cNvPr>
          <xdr:cNvSpPr/>
        </xdr:nvSpPr>
        <xdr:spPr>
          <a:xfrm>
            <a:off x="5857875" y="8610600"/>
            <a:ext cx="15287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点線矢印：監視・運用</a:t>
            </a:r>
            <a:endParaRPr lang="ja-JP" altLang="en-US" sz="750" dirty="0">
              <a:latin typeface="Meiryo UI"/>
              <a:ea typeface="Meiryo UI"/>
            </a:endParaRPr>
          </a:p>
        </xdr:txBody>
      </xdr:sp>
      <xdr:cxnSp macro="">
        <xdr:nvCxnSpPr>
          <xdr:cNvPr id="29" name="凡例: 専用線・閉域網">
            <a:extLst>
              <a:ext uri="{FF2B5EF4-FFF2-40B4-BE49-F238E27FC236}">
                <a16:creationId xmlns:a16="http://schemas.microsoft.com/office/drawing/2014/main" id="{00000000-0008-0000-0300-00001D000000}"/>
              </a:ext>
            </a:extLst>
          </xdr:cNvPr>
          <xdr:cNvCxnSpPr/>
        </xdr:nvCxnSpPr>
        <xdr:spPr>
          <a:xfrm>
            <a:off x="7405688" y="8705850"/>
            <a:ext cx="419100" cy="0"/>
          </a:xfrm>
          <a:prstGeom prst="straightConnector1">
            <a:avLst/>
          </a:prstGeom>
          <a:ln w="38100" cap="flat">
            <a:solidFill>
              <a:srgbClr val="404040"/>
            </a:solidFill>
            <a:round/>
          </a:ln>
        </xdr:spPr>
      </xdr:cxnSp>
      <xdr:sp macro="" textlink="">
        <xdr:nvSpPr>
          <xdr:cNvPr id="30" name="凡例: 太線：専用線・閉域網">
            <a:extLst>
              <a:ext uri="{FF2B5EF4-FFF2-40B4-BE49-F238E27FC236}">
                <a16:creationId xmlns:a16="http://schemas.microsoft.com/office/drawing/2014/main" id="{00000000-0008-0000-0300-00001E000000}"/>
              </a:ext>
            </a:extLst>
          </xdr:cNvPr>
          <xdr:cNvSpPr/>
        </xdr:nvSpPr>
        <xdr:spPr>
          <a:xfrm>
            <a:off x="7881938" y="8610600"/>
            <a:ext cx="15287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太線：専用線・閉域網</a:t>
            </a:r>
            <a:endParaRPr lang="ja-JP" altLang="en-US" sz="750" dirty="0">
              <a:latin typeface="Meiryo UI"/>
              <a:ea typeface="Meiryo UI"/>
            </a:endParaRPr>
          </a:p>
        </xdr:txBody>
      </xdr:sp>
      <xdr:sp macro="" textlink="">
        <xdr:nvSpPr>
          <xdr:cNvPr id="31" name="凡例: 角丸">
            <a:extLst>
              <a:ext uri="{FF2B5EF4-FFF2-40B4-BE49-F238E27FC236}">
                <a16:creationId xmlns:a16="http://schemas.microsoft.com/office/drawing/2014/main" id="{00000000-0008-0000-0300-00001F000000}"/>
              </a:ext>
            </a:extLst>
          </xdr:cNvPr>
          <xdr:cNvSpPr/>
        </xdr:nvSpPr>
        <xdr:spPr>
          <a:xfrm>
            <a:off x="1333500" y="8924925"/>
            <a:ext cx="304800" cy="171450"/>
          </a:xfrm>
          <a:custGeom>
            <a:avLst/>
            <a:gdLst>
              <a:gd name="x1" fmla="*/ w 1 4"/>
              <a:gd name="x2" fmla="*/ w 1 2"/>
              <a:gd name="x3" fmla="*/ w 3 4"/>
              <a:gd name="y1" fmla="*/ h 1 4"/>
              <a:gd name="y2" fmla="*/ h 1 2"/>
              <a:gd name="y3" fmla="*/ h 3 4"/>
              <a:gd name="smin" fmla="min w h"/>
              <a:gd name="hm" fmla="*/ smin 1 2"/>
              <a:gd name="rd" fmla="min 381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9525" cap="flat">
            <a:solidFill>
              <a:srgbClr val="404040"/>
            </a:solidFill>
            <a:round/>
          </a:ln>
        </xdr:spPr>
        <xdr:txBody>
          <a:bodyPr vertOverflow="overflow" horzOverflow="overflow" wrap="square" lIns="38100" tIns="19050" rIns="38100" bIns="19050" rtlCol="0" anchor="ctr">
            <a:noAutofit/>
          </a:bodyPr>
          <a:lstStyle/>
          <a:p>
            <a:pPr algn="ctr"/>
            <a:endParaRPr lang="ja-JP" altLang="en-US" sz="600" dirty="0">
              <a:latin typeface="Meiryo UI"/>
              <a:ea typeface="Meiryo UI"/>
            </a:endParaRPr>
          </a:p>
        </xdr:txBody>
      </xdr:sp>
      <xdr:sp macro="" textlink="">
        <xdr:nvSpPr>
          <xdr:cNvPr id="32" name="凡例: 円柱">
            <a:extLst>
              <a:ext uri="{FF2B5EF4-FFF2-40B4-BE49-F238E27FC236}">
                <a16:creationId xmlns:a16="http://schemas.microsoft.com/office/drawing/2014/main" id="{00000000-0008-0000-0300-000020000000}"/>
              </a:ext>
            </a:extLst>
          </xdr:cNvPr>
          <xdr:cNvSpPr/>
        </xdr:nvSpPr>
        <xdr:spPr>
          <a:xfrm>
            <a:off x="1676400" y="8905875"/>
            <a:ext cx="171450" cy="20955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FFFFFF"/>
          </a:solidFill>
          <a:ln w="9525" cap="flat">
            <a:solidFill>
              <a:srgbClr val="404040"/>
            </a:solidFill>
            <a:round/>
          </a:ln>
        </xdr:spPr>
        <xdr:txBody>
          <a:bodyPr vertOverflow="overflow" horzOverflow="overflow" wrap="square" lIns="38100" tIns="19050" rIns="38100" bIns="19050" rtlCol="0" anchor="ctr">
            <a:noAutofit/>
          </a:bodyPr>
          <a:lstStyle/>
          <a:p>
            <a:pPr algn="ctr"/>
            <a:endParaRPr lang="ja-JP" altLang="en-US" sz="600" dirty="0">
              <a:latin typeface="Meiryo UI"/>
              <a:ea typeface="Meiryo UI"/>
            </a:endParaRPr>
          </a:p>
        </xdr:txBody>
      </xdr:sp>
      <xdr:sp macro="" textlink="">
        <xdr:nvSpPr>
          <xdr:cNvPr id="33" name="凡例: 図形の説明">
            <a:extLst>
              <a:ext uri="{FF2B5EF4-FFF2-40B4-BE49-F238E27FC236}">
                <a16:creationId xmlns:a16="http://schemas.microsoft.com/office/drawing/2014/main" id="{00000000-0008-0000-0300-000021000000}"/>
              </a:ext>
            </a:extLst>
          </xdr:cNvPr>
          <xdr:cNvSpPr/>
        </xdr:nvSpPr>
        <xdr:spPr>
          <a:xfrm>
            <a:off x="1885950" y="8915400"/>
            <a:ext cx="14525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システム・サービス／DB</a:t>
            </a:r>
            <a:endParaRPr lang="ja-JP" altLang="en-US" sz="750" dirty="0">
              <a:latin typeface="Meiryo UI"/>
              <a:ea typeface="Meiryo UI"/>
            </a:endParaRPr>
          </a:p>
        </xdr:txBody>
      </xdr:sp>
      <xdr:sp macro="" textlink="">
        <xdr:nvSpPr>
          <xdr:cNvPr id="34" name="凡例: 番号">
            <a:extLst>
              <a:ext uri="{FF2B5EF4-FFF2-40B4-BE49-F238E27FC236}">
                <a16:creationId xmlns:a16="http://schemas.microsoft.com/office/drawing/2014/main" id="{00000000-0008-0000-0300-000022000000}"/>
              </a:ext>
            </a:extLst>
          </xdr:cNvPr>
          <xdr:cNvSpPr/>
        </xdr:nvSpPr>
        <xdr:spPr>
          <a:xfrm>
            <a:off x="3357562" y="8924925"/>
            <a:ext cx="304800" cy="171450"/>
          </a:xfrm>
          <a:prstGeom prst="roundRect">
            <a:avLst>
              <a:gd name="adj" fmla="val 50000"/>
            </a:avLst>
          </a:prstGeom>
          <a:solidFill>
            <a:srgbClr val="315C92"/>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A1</a:t>
            </a:r>
            <a:endParaRPr lang="ja-JP" altLang="en-US" sz="650" dirty="0">
              <a:latin typeface="Meiryo UI"/>
              <a:ea typeface="Meiryo UI"/>
            </a:endParaRPr>
          </a:p>
        </xdr:txBody>
      </xdr:sp>
      <xdr:sp macro="" textlink="">
        <xdr:nvSpPr>
          <xdr:cNvPr id="35" name="凡例: 番号の説明">
            <a:extLst>
              <a:ext uri="{FF2B5EF4-FFF2-40B4-BE49-F238E27FC236}">
                <a16:creationId xmlns:a16="http://schemas.microsoft.com/office/drawing/2014/main" id="{00000000-0008-0000-0300-000023000000}"/>
              </a:ext>
            </a:extLst>
          </xdr:cNvPr>
          <xdr:cNvSpPr/>
        </xdr:nvSpPr>
        <xdr:spPr>
          <a:xfrm>
            <a:off x="3700462" y="8915400"/>
            <a:ext cx="166211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連携番号（→連携一覧）</a:t>
            </a:r>
            <a:endParaRPr lang="ja-JP" altLang="en-US" sz="750" dirty="0">
              <a:latin typeface="Meiryo UI"/>
              <a:ea typeface="Meiryo UI"/>
            </a:endParaRPr>
          </a:p>
        </xdr:txBody>
      </xdr:sp>
      <xdr:sp macro="" textlink="">
        <xdr:nvSpPr>
          <xdr:cNvPr id="36" name="凡例: ポイント">
            <a:extLst>
              <a:ext uri="{FF2B5EF4-FFF2-40B4-BE49-F238E27FC236}">
                <a16:creationId xmlns:a16="http://schemas.microsoft.com/office/drawing/2014/main" id="{00000000-0008-0000-0300-000024000000}"/>
              </a:ext>
            </a:extLst>
          </xdr:cNvPr>
          <xdr:cNvSpPr/>
        </xdr:nvSpPr>
        <xdr:spPr>
          <a:xfrm>
            <a:off x="5381625" y="8924925"/>
            <a:ext cx="304800" cy="171450"/>
          </a:xfrm>
          <a:prstGeom prst="rect">
            <a:avLst/>
          </a:prstGeom>
          <a:solidFill>
            <a:srgbClr val="315C92"/>
          </a:solidFill>
          <a:ln>
            <a:noFill/>
          </a:ln>
        </xdr:spPr>
        <xdr:txBody>
          <a:bodyPr vertOverflow="overflow" horzOverflow="overflow" wrap="none" lIns="0" tIns="0" rIns="0" bIns="0" rtlCol="0" anchor="ctr">
            <a:noAutofit/>
          </a:bodyPr>
          <a:lstStyle/>
          <a:p>
            <a:pPr algn="ctr"/>
            <a:r>
              <a:rPr lang="ja-JP" altLang="en-US" sz="500" b="1" dirty="0">
                <a:solidFill>
                  <a:srgbClr val="FFFFFF"/>
                </a:solidFill>
                <a:latin typeface="Meiryo UI"/>
                <a:ea typeface="Meiryo UI"/>
                <a:cs typeface="Meiryo UI"/>
              </a:rPr>
              <a:t>POINT</a:t>
            </a:r>
            <a:endParaRPr lang="ja-JP" altLang="en-US" sz="500" dirty="0">
              <a:latin typeface="Meiryo UI"/>
              <a:ea typeface="Meiryo UI"/>
            </a:endParaRPr>
          </a:p>
        </xdr:txBody>
      </xdr:sp>
      <xdr:sp macro="" textlink="">
        <xdr:nvSpPr>
          <xdr:cNvPr id="37" name="凡例: ポイントの説明">
            <a:extLst>
              <a:ext uri="{FF2B5EF4-FFF2-40B4-BE49-F238E27FC236}">
                <a16:creationId xmlns:a16="http://schemas.microsoft.com/office/drawing/2014/main" id="{00000000-0008-0000-0300-000025000000}"/>
              </a:ext>
            </a:extLst>
          </xdr:cNvPr>
          <xdr:cNvSpPr/>
        </xdr:nvSpPr>
        <xdr:spPr>
          <a:xfrm>
            <a:off x="5724525" y="8915400"/>
            <a:ext cx="166211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ポイント・付記（ルート色）</a:t>
            </a:r>
            <a:endParaRPr lang="ja-JP" altLang="en-US" sz="750" dirty="0">
              <a:latin typeface="Meiryo UI"/>
              <a:ea typeface="Meiryo UI"/>
            </a:endParaRPr>
          </a:p>
        </xdr:txBody>
      </xdr:sp>
      <xdr:sp macro="" textlink="">
        <xdr:nvSpPr>
          <xdr:cNvPr id="38" name="凡例: 新規">
            <a:extLst>
              <a:ext uri="{FF2B5EF4-FFF2-40B4-BE49-F238E27FC236}">
                <a16:creationId xmlns:a16="http://schemas.microsoft.com/office/drawing/2014/main" id="{00000000-0008-0000-0300-000026000000}"/>
              </a:ext>
            </a:extLst>
          </xdr:cNvPr>
          <xdr:cNvSpPr/>
        </xdr:nvSpPr>
        <xdr:spPr>
          <a:xfrm>
            <a:off x="7405688" y="8924925"/>
            <a:ext cx="304800" cy="171450"/>
          </a:xfrm>
          <a:prstGeom prst="rect">
            <a:avLst/>
          </a:prstGeom>
          <a:noFill/>
          <a:ln w="12700" cap="flat">
            <a:solidFill>
              <a:srgbClr val="C00000"/>
            </a:solidFill>
            <a:prstDash val="dash"/>
            <a:round/>
          </a:ln>
        </xdr:spPr>
        <xdr:txBody>
          <a:bodyPr vertOverflow="overflow" horzOverflow="overflow" wrap="square" lIns="38100" tIns="19050" rIns="38100" bIns="19050" rtlCol="0" anchor="ctr">
            <a:noAutofit/>
          </a:bodyPr>
          <a:lstStyle/>
          <a:p>
            <a:pPr algn="ctr"/>
            <a:endParaRPr lang="ja-JP" altLang="en-US" sz="600" dirty="0">
              <a:latin typeface="Meiryo UI"/>
              <a:ea typeface="Meiryo UI"/>
            </a:endParaRPr>
          </a:p>
        </xdr:txBody>
      </xdr:sp>
      <xdr:sp macro="" textlink="">
        <xdr:nvSpPr>
          <xdr:cNvPr id="39" name="凡例: 新規の説明">
            <a:extLst>
              <a:ext uri="{FF2B5EF4-FFF2-40B4-BE49-F238E27FC236}">
                <a16:creationId xmlns:a16="http://schemas.microsoft.com/office/drawing/2014/main" id="{00000000-0008-0000-0300-000027000000}"/>
              </a:ext>
            </a:extLst>
          </xdr:cNvPr>
          <xdr:cNvSpPr/>
        </xdr:nvSpPr>
        <xdr:spPr>
          <a:xfrm>
            <a:off x="7748587" y="8915400"/>
            <a:ext cx="166211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新規・変更箇所（赤破線）</a:t>
            </a:r>
            <a:endParaRPr lang="ja-JP" altLang="en-US" sz="750" dirty="0">
              <a:latin typeface="Meiryo UI"/>
              <a:ea typeface="Meiryo UI"/>
            </a:endParaRPr>
          </a:p>
        </xdr:txBody>
      </xdr:sp>
    </xdr:grpSp>
    <xdr:clientData/>
  </xdr:twoCellAnchor>
  <xdr:twoCellAnchor editAs="oneCell">
    <xdr:from>
      <xdr:col>4</xdr:col>
      <xdr:colOff>0</xdr:colOff>
      <xdr:row>8</xdr:row>
      <xdr:rowOff>0</xdr:rowOff>
    </xdr:from>
    <xdr:to>
      <xdr:col>12</xdr:col>
      <xdr:colOff>0</xdr:colOff>
      <xdr:row>12</xdr:row>
      <xdr:rowOff>0</xdr:rowOff>
    </xdr:to>
    <xdr:sp macro="" textlink="">
      <xdr:nvSpPr>
        <xdr:cNvPr id="41" name="ノード: Salesforce">
          <a:extLst>
            <a:ext uri="{FF2B5EF4-FFF2-40B4-BE49-F238E27FC236}">
              <a16:creationId xmlns:a16="http://schemas.microsoft.com/office/drawing/2014/main" id="{00000000-0008-0000-0300-000029000000}"/>
            </a:ext>
          </a:extLst>
        </xdr:cNvPr>
        <xdr:cNvSpPr/>
      </xdr:nvSpPr>
      <xdr:spPr>
        <a:xfrm>
          <a:off x="762000" y="1524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315C92"/>
        </a:solidFill>
        <a:ln w="15875" cap="flat">
          <a:solidFill>
            <a:srgbClr val="315C92"/>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Salesforce</a:t>
          </a:r>
          <a:endParaRPr lang="ja-JP" altLang="en-US" sz="950" dirty="0">
            <a:latin typeface="Meiryo UI"/>
            <a:ea typeface="Meiryo UI"/>
          </a:endParaRPr>
        </a:p>
        <a:p>
          <a:pPr algn="ctr">
            <a:lnSpc>
              <a:spcPct val="95000"/>
            </a:lnSpc>
            <a:spcBef>
              <a:spcPts val="50"/>
            </a:spcBef>
          </a:pPr>
          <a:r>
            <a:rPr lang="ja-JP" altLang="en-US" sz="750" b="0" dirty="0">
              <a:solidFill>
                <a:srgbClr val="DBE9FC"/>
              </a:solidFill>
              <a:latin typeface="Meiryo UI"/>
              <a:ea typeface="Meiryo UI"/>
              <a:cs typeface="Meiryo UI"/>
            </a:rPr>
            <a:t>商談・顧客・受注</a:t>
          </a:r>
          <a:endParaRPr lang="ja-JP" altLang="en-US" sz="750" dirty="0">
            <a:latin typeface="Meiryo UI"/>
            <a:ea typeface="Meiryo UI"/>
          </a:endParaRPr>
        </a:p>
      </xdr:txBody>
    </xdr:sp>
    <xdr:clientData/>
  </xdr:twoCellAnchor>
  <xdr:twoCellAnchor editAs="oneCell">
    <xdr:from>
      <xdr:col>4</xdr:col>
      <xdr:colOff>0</xdr:colOff>
      <xdr:row>19</xdr:row>
      <xdr:rowOff>0</xdr:rowOff>
    </xdr:from>
    <xdr:to>
      <xdr:col>12</xdr:col>
      <xdr:colOff>0</xdr:colOff>
      <xdr:row>23</xdr:row>
      <xdr:rowOff>0</xdr:rowOff>
    </xdr:to>
    <xdr:sp macro="" textlink="">
      <xdr:nvSpPr>
        <xdr:cNvPr id="42" name="ノード: 社内ユーザー">
          <a:extLst>
            <a:ext uri="{FF2B5EF4-FFF2-40B4-BE49-F238E27FC236}">
              <a16:creationId xmlns:a16="http://schemas.microsoft.com/office/drawing/2014/main" id="{00000000-0008-0000-0300-00002A000000}"/>
            </a:ext>
          </a:extLst>
        </xdr:cNvPr>
        <xdr:cNvSpPr/>
      </xdr:nvSpPr>
      <xdr:spPr>
        <a:xfrm>
          <a:off x="762000" y="36195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247966"/>
        </a:solidFill>
        <a:ln w="15875" cap="flat">
          <a:solidFill>
            <a:srgbClr val="24796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社内ユーザー</a:t>
          </a:r>
          <a:endParaRPr lang="ja-JP" altLang="en-US" sz="950" dirty="0">
            <a:latin typeface="Meiryo UI"/>
            <a:ea typeface="Meiryo UI"/>
          </a:endParaRPr>
        </a:p>
        <a:p>
          <a:pPr algn="ctr">
            <a:lnSpc>
              <a:spcPct val="95000"/>
            </a:lnSpc>
            <a:spcBef>
              <a:spcPts val="50"/>
            </a:spcBef>
          </a:pPr>
          <a:r>
            <a:rPr lang="ja-JP" altLang="en-US" sz="750" b="0" dirty="0">
              <a:solidFill>
                <a:srgbClr val="D4EFE7"/>
              </a:solidFill>
              <a:latin typeface="Meiryo UI"/>
              <a:ea typeface="Meiryo UI"/>
              <a:cs typeface="Meiryo UI"/>
            </a:rPr>
            <a:t>本社・支店のPC</a:t>
          </a:r>
          <a:endParaRPr lang="ja-JP" altLang="en-US" sz="750" dirty="0">
            <a:latin typeface="Meiryo UI"/>
            <a:ea typeface="Meiryo UI"/>
          </a:endParaRPr>
        </a:p>
      </xdr:txBody>
    </xdr:sp>
    <xdr:clientData/>
  </xdr:twoCellAnchor>
  <xdr:twoCellAnchor editAs="oneCell">
    <xdr:from>
      <xdr:col>4</xdr:col>
      <xdr:colOff>0</xdr:colOff>
      <xdr:row>25</xdr:row>
      <xdr:rowOff>0</xdr:rowOff>
    </xdr:from>
    <xdr:to>
      <xdr:col>12</xdr:col>
      <xdr:colOff>0</xdr:colOff>
      <xdr:row>29</xdr:row>
      <xdr:rowOff>0</xdr:rowOff>
    </xdr:to>
    <xdr:sp macro="" textlink="">
      <xdr:nvSpPr>
        <xdr:cNvPr id="43" name="ノード: 基幹システム">
          <a:extLst>
            <a:ext uri="{FF2B5EF4-FFF2-40B4-BE49-F238E27FC236}">
              <a16:creationId xmlns:a16="http://schemas.microsoft.com/office/drawing/2014/main" id="{00000000-0008-0000-0300-00002B000000}"/>
            </a:ext>
          </a:extLst>
        </xdr:cNvPr>
        <xdr:cNvSpPr/>
      </xdr:nvSpPr>
      <xdr:spPr>
        <a:xfrm>
          <a:off x="762000" y="47625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E3F5EF"/>
        </a:solidFill>
        <a:ln w="15875" cap="flat">
          <a:solidFill>
            <a:srgbClr val="24796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基幹システム</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オンプレミス（ERP）</a:t>
          </a:r>
          <a:endParaRPr lang="ja-JP" altLang="en-US" sz="750" dirty="0">
            <a:latin typeface="Meiryo UI"/>
            <a:ea typeface="Meiryo UI"/>
          </a:endParaRPr>
        </a:p>
      </xdr:txBody>
    </xdr:sp>
    <xdr:clientData/>
  </xdr:twoCellAnchor>
  <xdr:twoCellAnchor editAs="oneCell">
    <xdr:from>
      <xdr:col>4</xdr:col>
      <xdr:colOff>0</xdr:colOff>
      <xdr:row>34</xdr:row>
      <xdr:rowOff>0</xdr:rowOff>
    </xdr:from>
    <xdr:to>
      <xdr:col>12</xdr:col>
      <xdr:colOff>0</xdr:colOff>
      <xdr:row>38</xdr:row>
      <xdr:rowOff>0</xdr:rowOff>
    </xdr:to>
    <xdr:sp macro="" textlink="">
      <xdr:nvSpPr>
        <xdr:cNvPr id="44" name="ノード: 外部ユーザー">
          <a:extLst>
            <a:ext uri="{FF2B5EF4-FFF2-40B4-BE49-F238E27FC236}">
              <a16:creationId xmlns:a16="http://schemas.microsoft.com/office/drawing/2014/main" id="{00000000-0008-0000-0300-00002C000000}"/>
            </a:ext>
          </a:extLst>
        </xdr:cNvPr>
        <xdr:cNvSpPr/>
      </xdr:nvSpPr>
      <xdr:spPr>
        <a:xfrm>
          <a:off x="762000" y="6477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C46B39"/>
        </a:solidFill>
        <a:ln w="15875" cap="flat">
          <a:solidFill>
            <a:srgbClr val="C46B39"/>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外部ユーザー</a:t>
          </a:r>
          <a:endParaRPr lang="ja-JP" altLang="en-US" sz="950" dirty="0">
            <a:latin typeface="Meiryo UI"/>
            <a:ea typeface="Meiryo UI"/>
          </a:endParaRPr>
        </a:p>
        <a:p>
          <a:pPr algn="ctr">
            <a:lnSpc>
              <a:spcPct val="95000"/>
            </a:lnSpc>
            <a:spcBef>
              <a:spcPts val="50"/>
            </a:spcBef>
          </a:pPr>
          <a:r>
            <a:rPr lang="ja-JP" altLang="en-US" sz="750" b="0" dirty="0">
              <a:solidFill>
                <a:srgbClr val="FAE2D7"/>
              </a:solidFill>
              <a:latin typeface="Meiryo UI"/>
              <a:ea typeface="Meiryo UI"/>
              <a:cs typeface="Meiryo UI"/>
            </a:rPr>
            <a:t>取引先・顧客（Web）</a:t>
          </a:r>
          <a:endParaRPr lang="ja-JP" altLang="en-US" sz="750" dirty="0">
            <a:latin typeface="Meiryo UI"/>
            <a:ea typeface="Meiryo UI"/>
          </a:endParaRPr>
        </a:p>
      </xdr:txBody>
    </xdr:sp>
    <xdr:clientData/>
  </xdr:twoCellAnchor>
  <xdr:twoCellAnchor editAs="oneCell">
    <xdr:from>
      <xdr:col>17</xdr:col>
      <xdr:colOff>0</xdr:colOff>
      <xdr:row>20</xdr:row>
      <xdr:rowOff>0</xdr:rowOff>
    </xdr:from>
    <xdr:to>
      <xdr:col>25</xdr:col>
      <xdr:colOff>0</xdr:colOff>
      <xdr:row>28</xdr:row>
      <xdr:rowOff>0</xdr:rowOff>
    </xdr:to>
    <xdr:sp macro="" textlink="">
      <xdr:nvSpPr>
        <xdr:cNvPr id="45" name="ノード: Direct Connect">
          <a:extLst>
            <a:ext uri="{FF2B5EF4-FFF2-40B4-BE49-F238E27FC236}">
              <a16:creationId xmlns:a16="http://schemas.microsoft.com/office/drawing/2014/main" id="{00000000-0008-0000-0300-00002D000000}"/>
            </a:ext>
          </a:extLst>
        </xdr:cNvPr>
        <xdr:cNvSpPr/>
      </xdr:nvSpPr>
      <xdr:spPr>
        <a:xfrm>
          <a:off x="3238500" y="3810000"/>
          <a:ext cx="1524000" cy="1524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E3F5EF"/>
        </a:solidFill>
        <a:ln w="15875" cap="flat">
          <a:solidFill>
            <a:srgbClr val="24796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Direct Connect</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閉域接続（専用線）</a:t>
          </a:r>
          <a:endParaRPr lang="ja-JP" altLang="en-US" sz="750" dirty="0">
            <a:latin typeface="Meiryo UI"/>
            <a:ea typeface="Meiryo UI"/>
          </a:endParaRPr>
        </a:p>
      </xdr:txBody>
    </xdr:sp>
    <xdr:clientData/>
  </xdr:twoCellAnchor>
  <xdr:twoCellAnchor editAs="oneCell">
    <xdr:from>
      <xdr:col>30</xdr:col>
      <xdr:colOff>0</xdr:colOff>
      <xdr:row>8</xdr:row>
      <xdr:rowOff>0</xdr:rowOff>
    </xdr:from>
    <xdr:to>
      <xdr:col>38</xdr:col>
      <xdr:colOff>0</xdr:colOff>
      <xdr:row>12</xdr:row>
      <xdr:rowOff>0</xdr:rowOff>
    </xdr:to>
    <xdr:sp macro="" textlink="">
      <xdr:nvSpPr>
        <xdr:cNvPr id="46" name="ノード: Amazon AppFlow">
          <a:extLst>
            <a:ext uri="{FF2B5EF4-FFF2-40B4-BE49-F238E27FC236}">
              <a16:creationId xmlns:a16="http://schemas.microsoft.com/office/drawing/2014/main" id="{00000000-0008-0000-0300-00002E000000}"/>
            </a:ext>
          </a:extLst>
        </xdr:cNvPr>
        <xdr:cNvSpPr/>
      </xdr:nvSpPr>
      <xdr:spPr>
        <a:xfrm>
          <a:off x="5715000" y="1524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E7F1FF"/>
        </a:solidFill>
        <a:ln w="15875" cap="flat">
          <a:solidFill>
            <a:srgbClr val="315C92"/>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Amazon AppFlow</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日次の全件取込</a:t>
          </a:r>
          <a:endParaRPr lang="ja-JP" altLang="en-US" sz="750" dirty="0">
            <a:latin typeface="Meiryo UI"/>
            <a:ea typeface="Meiryo UI"/>
          </a:endParaRPr>
        </a:p>
      </xdr:txBody>
    </xdr:sp>
    <xdr:clientData/>
  </xdr:twoCellAnchor>
  <xdr:twoCellAnchor editAs="oneCell">
    <xdr:from>
      <xdr:col>30</xdr:col>
      <xdr:colOff>0</xdr:colOff>
      <xdr:row>13</xdr:row>
      <xdr:rowOff>0</xdr:rowOff>
    </xdr:from>
    <xdr:to>
      <xdr:col>38</xdr:col>
      <xdr:colOff>0</xdr:colOff>
      <xdr:row>17</xdr:row>
      <xdr:rowOff>0</xdr:rowOff>
    </xdr:to>
    <xdr:sp macro="" textlink="">
      <xdr:nvSpPr>
        <xdr:cNvPr id="47" name="ノード: EventBridge">
          <a:extLst>
            <a:ext uri="{FF2B5EF4-FFF2-40B4-BE49-F238E27FC236}">
              <a16:creationId xmlns:a16="http://schemas.microsoft.com/office/drawing/2014/main" id="{00000000-0008-0000-0300-00002F000000}"/>
            </a:ext>
          </a:extLst>
        </xdr:cNvPr>
        <xdr:cNvSpPr/>
      </xdr:nvSpPr>
      <xdr:spPr>
        <a:xfrm>
          <a:off x="5715000" y="2476500"/>
          <a:ext cx="1524000" cy="762000"/>
        </a:xfrm>
        <a:custGeom>
          <a:avLst/>
          <a:gdLst>
            <a:gd name="x1" fmla="*/ w 1 4"/>
            <a:gd name="x2" fmla="*/ w 1 2"/>
            <a:gd name="x3" fmla="*/ w 3 4"/>
            <a:gd name="y1" fmla="*/ h 1 4"/>
            <a:gd name="y2" fmla="*/ h 1 2"/>
            <a:gd name="y3" fmla="*/ h 3 4"/>
            <a:gd name="smin" fmla="min w h"/>
            <a:gd name="rr" fmla="*/ smin 1 2"/>
            <a:gd name="rx" fmla="+- r 0 rr"/>
            <a:gd name="k" fmla="*/ rr 13397 100000"/>
            <a:gd name="rk" fmla="+- r 0 k"/>
            <a:gd name="q45" fmla="*/ rr 29289 100000"/>
            <a:gd name="q45r" fmla="+- r 0 q45"/>
            <a:gd name="q45b" fmla="+- b 0 q45"/>
          </a:gdLst>
          <a:ahLst/>
          <a:cxnLst>
            <a:cxn ang="10800000">
              <a:pos x="q45" y="q45"/>
            </a:cxn>
            <a:cxn ang="16200000">
              <a:pos x="x1" y="t"/>
            </a:cxn>
            <a:cxn ang="16200000">
              <a:pos x="x2" y="t"/>
            </a:cxn>
            <a:cxn ang="16200000">
              <a:pos x="x3" y="t"/>
            </a:cxn>
            <a:cxn ang="0">
              <a:pos x="q45r" y="q45"/>
            </a:cxn>
            <a:cxn ang="0">
              <a:pos x="rk" y="y1"/>
            </a:cxn>
            <a:cxn ang="0">
              <a:pos x="r" y="y2"/>
            </a:cxn>
            <a:cxn ang="0">
              <a:pos x="rk" y="y3"/>
            </a:cxn>
            <a:cxn ang="0">
              <a:pos x="q45r" y="q45b"/>
            </a:cxn>
            <a:cxn ang="5400000">
              <a:pos x="x3" y="b"/>
            </a:cxn>
            <a:cxn ang="5400000">
              <a:pos x="x2" y="b"/>
            </a:cxn>
            <a:cxn ang="5400000">
              <a:pos x="x1" y="b"/>
            </a:cxn>
            <a:cxn ang="10800000">
              <a:pos x="q45" y="q45b"/>
            </a:cxn>
            <a:cxn ang="10800000">
              <a:pos x="k" y="y3"/>
            </a:cxn>
            <a:cxn ang="10800000">
              <a:pos x="l" y="y2"/>
            </a:cxn>
            <a:cxn ang="10800000">
              <a:pos x="k" y="y1"/>
            </a:cxn>
          </a:cxnLst>
          <a:rect l="l" t="t" r="r" b="b"/>
          <a:pathLst>
            <a:path>
              <a:moveTo>
                <a:pt x="rr" y="t"/>
              </a:moveTo>
              <a:lnTo>
                <a:pt x="rx" y="t"/>
              </a:lnTo>
              <a:arcTo wR="rr" hR="rr" stAng="16200000" swAng="10800000"/>
              <a:lnTo>
                <a:pt x="rr" y="b"/>
              </a:lnTo>
              <a:arcTo wR="rr" hR="rr" stAng="5400000" swAng="10800000"/>
              <a:close/>
            </a:path>
          </a:pathLst>
        </a:custGeom>
        <a:solidFill>
          <a:srgbClr val="E7F1FF"/>
        </a:solidFill>
        <a:ln w="15875" cap="flat">
          <a:solidFill>
            <a:srgbClr val="315C92"/>
          </a:solidFill>
          <a:round/>
        </a:ln>
      </xdr:spPr>
      <xdr:txBody>
        <a:bodyPr vertOverflow="overflow" horzOverflow="overflow" wrap="square" lIns="101600" tIns="12700" rIns="101600" bIns="12700" rtlCol="0" anchor="ctr">
          <a:noAutofit/>
        </a:bodyPr>
        <a:lstStyle/>
        <a:p>
          <a:pPr algn="ctr">
            <a:lnSpc>
              <a:spcPct val="95000"/>
            </a:lnSpc>
          </a:pPr>
          <a:r>
            <a:rPr lang="ja-JP" altLang="en-US" sz="950" b="1" dirty="0">
              <a:solidFill>
                <a:srgbClr val="262626"/>
              </a:solidFill>
              <a:latin typeface="Meiryo UI"/>
              <a:ea typeface="Meiryo UI"/>
              <a:cs typeface="Meiryo UI"/>
            </a:rPr>
            <a:t>EventBridge</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変更イベント受信</a:t>
          </a:r>
          <a:endParaRPr lang="ja-JP" altLang="en-US" sz="750" dirty="0">
            <a:latin typeface="Meiryo UI"/>
            <a:ea typeface="Meiryo UI"/>
          </a:endParaRPr>
        </a:p>
      </xdr:txBody>
    </xdr:sp>
    <xdr:clientData/>
  </xdr:twoCellAnchor>
  <xdr:twoCellAnchor editAs="oneCell">
    <xdr:from>
      <xdr:col>44</xdr:col>
      <xdr:colOff>0</xdr:colOff>
      <xdr:row>8</xdr:row>
      <xdr:rowOff>0</xdr:rowOff>
    </xdr:from>
    <xdr:to>
      <xdr:col>48</xdr:col>
      <xdr:colOff>0</xdr:colOff>
      <xdr:row>12</xdr:row>
      <xdr:rowOff>0</xdr:rowOff>
    </xdr:to>
    <xdr:sp macro="" textlink="">
      <xdr:nvSpPr>
        <xdr:cNvPr id="48" name="ノード: S3">
          <a:extLst>
            <a:ext uri="{FF2B5EF4-FFF2-40B4-BE49-F238E27FC236}">
              <a16:creationId xmlns:a16="http://schemas.microsoft.com/office/drawing/2014/main" id="{00000000-0008-0000-0300-000030000000}"/>
            </a:ext>
          </a:extLst>
        </xdr:cNvPr>
        <xdr:cNvSpPr/>
      </xdr:nvSpPr>
      <xdr:spPr>
        <a:xfrm>
          <a:off x="8382000" y="1524000"/>
          <a:ext cx="762000" cy="76200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E7F1FF"/>
        </a:solidFill>
        <a:ln w="15875" cap="flat">
          <a:solidFill>
            <a:srgbClr val="315C92"/>
          </a:solidFill>
          <a:round/>
        </a:ln>
      </xdr:spPr>
      <xdr:txBody>
        <a:bodyPr vertOverflow="overflow" horzOverflow="overflow" wrap="square" lIns="25400" tIns="76200" rIns="25400" bIns="25400" rtlCol="0" anchor="ctr">
          <a:noAutofit/>
        </a:bodyPr>
        <a:lstStyle/>
        <a:p>
          <a:pPr algn="ctr">
            <a:lnSpc>
              <a:spcPct val="95000"/>
            </a:lnSpc>
          </a:pPr>
          <a:r>
            <a:rPr lang="ja-JP" altLang="en-US" sz="850" b="1" dirty="0">
              <a:solidFill>
                <a:srgbClr val="262626"/>
              </a:solidFill>
              <a:latin typeface="Meiryo UI"/>
              <a:ea typeface="Meiryo UI"/>
              <a:cs typeface="Meiryo UI"/>
            </a:rPr>
            <a:t>S3</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取込データ</a:t>
          </a:r>
          <a:endParaRPr lang="ja-JP" altLang="en-US" sz="700" dirty="0">
            <a:latin typeface="Meiryo UI"/>
            <a:ea typeface="Meiryo UI"/>
          </a:endParaRPr>
        </a:p>
      </xdr:txBody>
    </xdr:sp>
    <xdr:clientData/>
  </xdr:twoCellAnchor>
  <xdr:twoCellAnchor editAs="oneCell">
    <xdr:from>
      <xdr:col>52</xdr:col>
      <xdr:colOff>0</xdr:colOff>
      <xdr:row>13</xdr:row>
      <xdr:rowOff>0</xdr:rowOff>
    </xdr:from>
    <xdr:to>
      <xdr:col>60</xdr:col>
      <xdr:colOff>0</xdr:colOff>
      <xdr:row>17</xdr:row>
      <xdr:rowOff>0</xdr:rowOff>
    </xdr:to>
    <xdr:sp macro="" textlink="">
      <xdr:nvSpPr>
        <xdr:cNvPr id="49" name="ノード: 取込処理">
          <a:extLst>
            <a:ext uri="{FF2B5EF4-FFF2-40B4-BE49-F238E27FC236}">
              <a16:creationId xmlns:a16="http://schemas.microsoft.com/office/drawing/2014/main" id="{00000000-0008-0000-0300-000031000000}"/>
            </a:ext>
          </a:extLst>
        </xdr:cNvPr>
        <xdr:cNvSpPr/>
      </xdr:nvSpPr>
      <xdr:spPr>
        <a:xfrm>
          <a:off x="9906000" y="24765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E7F1FF"/>
        </a:solidFill>
        <a:ln w="15875" cap="flat">
          <a:solidFill>
            <a:srgbClr val="315C92"/>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取込処理</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AWS Lambda</a:t>
          </a:r>
          <a:endParaRPr lang="ja-JP" altLang="en-US" sz="750" dirty="0">
            <a:latin typeface="Meiryo UI"/>
            <a:ea typeface="Meiryo UI"/>
          </a:endParaRPr>
        </a:p>
      </xdr:txBody>
    </xdr:sp>
    <xdr:clientData/>
  </xdr:twoCellAnchor>
  <xdr:twoCellAnchor editAs="oneCell">
    <xdr:from>
      <xdr:col>30</xdr:col>
      <xdr:colOff>0</xdr:colOff>
      <xdr:row>21</xdr:row>
      <xdr:rowOff>0</xdr:rowOff>
    </xdr:from>
    <xdr:to>
      <xdr:col>38</xdr:col>
      <xdr:colOff>0</xdr:colOff>
      <xdr:row>25</xdr:row>
      <xdr:rowOff>0</xdr:rowOff>
    </xdr:to>
    <xdr:sp macro="" textlink="">
      <xdr:nvSpPr>
        <xdr:cNvPr id="50" name="ノード: ALB（社内向け）">
          <a:extLst>
            <a:ext uri="{FF2B5EF4-FFF2-40B4-BE49-F238E27FC236}">
              <a16:creationId xmlns:a16="http://schemas.microsoft.com/office/drawing/2014/main" id="{00000000-0008-0000-0300-000032000000}"/>
            </a:ext>
          </a:extLst>
        </xdr:cNvPr>
        <xdr:cNvSpPr/>
      </xdr:nvSpPr>
      <xdr:spPr>
        <a:xfrm>
          <a:off x="5715000" y="40005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E3F5EF"/>
        </a:solidFill>
        <a:ln w="15875" cap="flat">
          <a:solidFill>
            <a:srgbClr val="24796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ALB（社内向け）</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閉域からの受付</a:t>
          </a:r>
          <a:endParaRPr lang="ja-JP" altLang="en-US" sz="750" dirty="0">
            <a:latin typeface="Meiryo UI"/>
            <a:ea typeface="Meiryo UI"/>
          </a:endParaRPr>
        </a:p>
      </xdr:txBody>
    </xdr:sp>
    <xdr:clientData/>
  </xdr:twoCellAnchor>
  <xdr:twoCellAnchor editAs="oneCell">
    <xdr:from>
      <xdr:col>30</xdr:col>
      <xdr:colOff>0</xdr:colOff>
      <xdr:row>34</xdr:row>
      <xdr:rowOff>0</xdr:rowOff>
    </xdr:from>
    <xdr:to>
      <xdr:col>38</xdr:col>
      <xdr:colOff>0</xdr:colOff>
      <xdr:row>38</xdr:row>
      <xdr:rowOff>0</xdr:rowOff>
    </xdr:to>
    <xdr:sp macro="" textlink="">
      <xdr:nvSpPr>
        <xdr:cNvPr id="51" name="ノード: CloudFront＋WAF">
          <a:extLst>
            <a:ext uri="{FF2B5EF4-FFF2-40B4-BE49-F238E27FC236}">
              <a16:creationId xmlns:a16="http://schemas.microsoft.com/office/drawing/2014/main" id="{00000000-0008-0000-0300-000033000000}"/>
            </a:ext>
          </a:extLst>
        </xdr:cNvPr>
        <xdr:cNvSpPr/>
      </xdr:nvSpPr>
      <xdr:spPr>
        <a:xfrm>
          <a:off x="5715000" y="6477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DECE4"/>
        </a:solidFill>
        <a:ln w="15875" cap="flat">
          <a:solidFill>
            <a:srgbClr val="C46B39"/>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CloudFront＋WAF</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公開入口・攻撃防御</a:t>
          </a:r>
          <a:endParaRPr lang="ja-JP" altLang="en-US" sz="750" dirty="0">
            <a:latin typeface="Meiryo UI"/>
            <a:ea typeface="Meiryo UI"/>
          </a:endParaRPr>
        </a:p>
      </xdr:txBody>
    </xdr:sp>
    <xdr:clientData/>
  </xdr:twoCellAnchor>
  <xdr:twoCellAnchor editAs="oneCell">
    <xdr:from>
      <xdr:col>44</xdr:col>
      <xdr:colOff>0</xdr:colOff>
      <xdr:row>21</xdr:row>
      <xdr:rowOff>0</xdr:rowOff>
    </xdr:from>
    <xdr:to>
      <xdr:col>52</xdr:col>
      <xdr:colOff>0</xdr:colOff>
      <xdr:row>29</xdr:row>
      <xdr:rowOff>0</xdr:rowOff>
    </xdr:to>
    <xdr:sp macro="" textlink="">
      <xdr:nvSpPr>
        <xdr:cNvPr id="52" name="ノード: 業務アプリ">
          <a:extLst>
            <a:ext uri="{FF2B5EF4-FFF2-40B4-BE49-F238E27FC236}">
              <a16:creationId xmlns:a16="http://schemas.microsoft.com/office/drawing/2014/main" id="{00000000-0008-0000-0300-000034000000}"/>
            </a:ext>
          </a:extLst>
        </xdr:cNvPr>
        <xdr:cNvSpPr/>
      </xdr:nvSpPr>
      <xdr:spPr>
        <a:xfrm>
          <a:off x="8382000" y="4000500"/>
          <a:ext cx="1524000" cy="1524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2700" cap="flat">
          <a:solidFill>
            <a:srgbClr val="404040"/>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業務アプリ</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Amazon ECS（Fargate）</a:t>
          </a:r>
          <a:endParaRPr lang="ja-JP" altLang="en-US" sz="750" dirty="0">
            <a:latin typeface="Meiryo UI"/>
            <a:ea typeface="Meiryo UI"/>
          </a:endParaRPr>
        </a:p>
      </xdr:txBody>
    </xdr:sp>
    <xdr:clientData/>
  </xdr:twoCellAnchor>
  <xdr:twoCellAnchor editAs="oneCell">
    <xdr:from>
      <xdr:col>60</xdr:col>
      <xdr:colOff>0</xdr:colOff>
      <xdr:row>23</xdr:row>
      <xdr:rowOff>0</xdr:rowOff>
    </xdr:from>
    <xdr:to>
      <xdr:col>64</xdr:col>
      <xdr:colOff>0</xdr:colOff>
      <xdr:row>27</xdr:row>
      <xdr:rowOff>0</xdr:rowOff>
    </xdr:to>
    <xdr:sp macro="" textlink="">
      <xdr:nvSpPr>
        <xdr:cNvPr id="53" name="ノード: 業務DB">
          <a:extLst>
            <a:ext uri="{FF2B5EF4-FFF2-40B4-BE49-F238E27FC236}">
              <a16:creationId xmlns:a16="http://schemas.microsoft.com/office/drawing/2014/main" id="{00000000-0008-0000-0300-000035000000}"/>
            </a:ext>
          </a:extLst>
        </xdr:cNvPr>
        <xdr:cNvSpPr/>
      </xdr:nvSpPr>
      <xdr:spPr>
        <a:xfrm>
          <a:off x="11430000" y="4381500"/>
          <a:ext cx="762000" cy="76200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FFFFFF"/>
        </a:solidFill>
        <a:ln w="12700" cap="flat">
          <a:solidFill>
            <a:srgbClr val="404040"/>
          </a:solidFill>
          <a:round/>
        </a:ln>
      </xdr:spPr>
      <xdr:txBody>
        <a:bodyPr vertOverflow="overflow" horzOverflow="overflow" wrap="square" lIns="25400" tIns="76200" rIns="25400" bIns="25400" rtlCol="0" anchor="ctr">
          <a:noAutofit/>
        </a:bodyPr>
        <a:lstStyle/>
        <a:p>
          <a:pPr algn="ctr">
            <a:lnSpc>
              <a:spcPct val="95000"/>
            </a:lnSpc>
          </a:pPr>
          <a:r>
            <a:rPr lang="ja-JP" altLang="en-US" sz="850" b="1" dirty="0">
              <a:solidFill>
                <a:srgbClr val="262626"/>
              </a:solidFill>
              <a:latin typeface="Meiryo UI"/>
              <a:ea typeface="Meiryo UI"/>
              <a:cs typeface="Meiryo UI"/>
            </a:rPr>
            <a:t>業務DB</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Aurora</a:t>
          </a:r>
          <a:endParaRPr lang="ja-JP" altLang="en-US" sz="700" dirty="0">
            <a:latin typeface="Meiryo UI"/>
            <a:ea typeface="Meiryo UI"/>
          </a:endParaRPr>
        </a:p>
      </xdr:txBody>
    </xdr:sp>
    <xdr:clientData/>
  </xdr:twoCellAnchor>
  <xdr:twoCellAnchor editAs="oneCell">
    <xdr:from>
      <xdr:col>44</xdr:col>
      <xdr:colOff>0</xdr:colOff>
      <xdr:row>34</xdr:row>
      <xdr:rowOff>0</xdr:rowOff>
    </xdr:from>
    <xdr:to>
      <xdr:col>52</xdr:col>
      <xdr:colOff>0</xdr:colOff>
      <xdr:row>38</xdr:row>
      <xdr:rowOff>0</xdr:rowOff>
    </xdr:to>
    <xdr:sp macro="" textlink="">
      <xdr:nvSpPr>
        <xdr:cNvPr id="54" name="ノード: 監視">
          <a:extLst>
            <a:ext uri="{FF2B5EF4-FFF2-40B4-BE49-F238E27FC236}">
              <a16:creationId xmlns:a16="http://schemas.microsoft.com/office/drawing/2014/main" id="{00000000-0008-0000-0300-000036000000}"/>
            </a:ext>
          </a:extLst>
        </xdr:cNvPr>
        <xdr:cNvSpPr/>
      </xdr:nvSpPr>
      <xdr:spPr>
        <a:xfrm>
          <a:off x="8382000" y="6477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2700" cap="flat">
          <a:solidFill>
            <a:srgbClr val="404040"/>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監視</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CloudWatch</a:t>
          </a:r>
          <a:endParaRPr lang="ja-JP" altLang="en-US" sz="750" dirty="0">
            <a:latin typeface="Meiryo UI"/>
            <a:ea typeface="Meiryo UI"/>
          </a:endParaRPr>
        </a:p>
      </xdr:txBody>
    </xdr:sp>
    <xdr:clientData/>
  </xdr:twoCellAnchor>
  <xdr:twoCellAnchor editAs="oneCell">
    <xdr:from>
      <xdr:col>12</xdr:col>
      <xdr:colOff>0</xdr:colOff>
      <xdr:row>9</xdr:row>
      <xdr:rowOff>0</xdr:rowOff>
    </xdr:from>
    <xdr:to>
      <xdr:col>30</xdr:col>
      <xdr:colOff>0</xdr:colOff>
      <xdr:row>9</xdr:row>
      <xdr:rowOff>0</xdr:rowOff>
    </xdr:to>
    <xdr:cxnSp macro="">
      <xdr:nvCxnSpPr>
        <xdr:cNvPr id="55" name="線: A1 Salesforce→AppFlow">
          <a:extLst>
            <a:ext uri="{FF2B5EF4-FFF2-40B4-BE49-F238E27FC236}">
              <a16:creationId xmlns:a16="http://schemas.microsoft.com/office/drawing/2014/main" id="{00000000-0008-0000-0300-000037000000}"/>
            </a:ext>
          </a:extLst>
        </xdr:cNvPr>
        <xdr:cNvCxnSpPr>
          <a:stCxn id="41" idx="5"/>
          <a:endCxn id="46" idx="15"/>
        </xdr:cNvCxnSpPr>
      </xdr:nvCxnSpPr>
      <xdr:spPr>
        <a:xfrm>
          <a:off x="2286000" y="1714500"/>
          <a:ext cx="3429000" cy="0"/>
        </a:xfrm>
        <a:prstGeom prst="straightConnector1">
          <a:avLst/>
        </a:prstGeom>
        <a:ln w="19050" cap="flat">
          <a:solidFill>
            <a:srgbClr val="315C92"/>
          </a:solidFill>
          <a:prstDash val="dash"/>
          <a:round/>
          <a:tailEnd type="triangle" w="med" len="med"/>
        </a:ln>
      </xdr:spPr>
    </xdr:cxnSp>
    <xdr:clientData/>
  </xdr:twoCellAnchor>
  <xdr:twoCellAnchor editAs="oneCell">
    <xdr:from>
      <xdr:col>12</xdr:col>
      <xdr:colOff>0</xdr:colOff>
      <xdr:row>11</xdr:row>
      <xdr:rowOff>0</xdr:rowOff>
    </xdr:from>
    <xdr:to>
      <xdr:col>30</xdr:col>
      <xdr:colOff>0</xdr:colOff>
      <xdr:row>15</xdr:row>
      <xdr:rowOff>0</xdr:rowOff>
    </xdr:to>
    <xdr:cxnSp macro="">
      <xdr:nvCxnSpPr>
        <xdr:cNvPr id="56" name="線: A2 Salesforce→EventBridge">
          <a:extLst>
            <a:ext uri="{FF2B5EF4-FFF2-40B4-BE49-F238E27FC236}">
              <a16:creationId xmlns:a16="http://schemas.microsoft.com/office/drawing/2014/main" id="{00000000-0008-0000-0300-000038000000}"/>
            </a:ext>
          </a:extLst>
        </xdr:cNvPr>
        <xdr:cNvCxnSpPr>
          <a:stCxn id="41" idx="7"/>
          <a:endCxn id="47" idx="14"/>
        </xdr:cNvCxnSpPr>
      </xdr:nvCxnSpPr>
      <xdr:spPr>
        <a:xfrm>
          <a:off x="2286000" y="2095500"/>
          <a:ext cx="3429000" cy="762000"/>
        </a:xfrm>
        <a:prstGeom prst="bentConnector3">
          <a:avLst/>
        </a:prstGeom>
        <a:ln w="19050" cap="flat">
          <a:solidFill>
            <a:srgbClr val="315C92"/>
          </a:solidFill>
          <a:round/>
          <a:tailEnd type="triangle" w="med" len="med"/>
        </a:ln>
      </xdr:spPr>
    </xdr:cxnSp>
    <xdr:clientData/>
  </xdr:twoCellAnchor>
  <xdr:twoCellAnchor editAs="oneCell">
    <xdr:from>
      <xdr:col>38</xdr:col>
      <xdr:colOff>0</xdr:colOff>
      <xdr:row>10</xdr:row>
      <xdr:rowOff>0</xdr:rowOff>
    </xdr:from>
    <xdr:to>
      <xdr:col>44</xdr:col>
      <xdr:colOff>0</xdr:colOff>
      <xdr:row>10</xdr:row>
      <xdr:rowOff>0</xdr:rowOff>
    </xdr:to>
    <xdr:cxnSp macro="">
      <xdr:nvCxnSpPr>
        <xdr:cNvPr id="57" name="線: A1 AppFlow→S3">
          <a:extLst>
            <a:ext uri="{FF2B5EF4-FFF2-40B4-BE49-F238E27FC236}">
              <a16:creationId xmlns:a16="http://schemas.microsoft.com/office/drawing/2014/main" id="{00000000-0008-0000-0300-000039000000}"/>
            </a:ext>
          </a:extLst>
        </xdr:cNvPr>
        <xdr:cNvCxnSpPr>
          <a:stCxn id="46" idx="6"/>
          <a:endCxn id="48" idx="14"/>
        </xdr:cNvCxnSpPr>
      </xdr:nvCxnSpPr>
      <xdr:spPr>
        <a:xfrm>
          <a:off x="7239000" y="1905000"/>
          <a:ext cx="1143000" cy="0"/>
        </a:xfrm>
        <a:prstGeom prst="straightConnector1">
          <a:avLst/>
        </a:prstGeom>
        <a:ln w="19050" cap="flat">
          <a:solidFill>
            <a:srgbClr val="315C92"/>
          </a:solidFill>
          <a:prstDash val="dash"/>
          <a:round/>
          <a:tailEnd type="triangle" w="med" len="med"/>
        </a:ln>
      </xdr:spPr>
    </xdr:cxnSp>
    <xdr:clientData/>
  </xdr:twoCellAnchor>
  <xdr:twoCellAnchor editAs="oneCell">
    <xdr:from>
      <xdr:col>48</xdr:col>
      <xdr:colOff>0</xdr:colOff>
      <xdr:row>10</xdr:row>
      <xdr:rowOff>0</xdr:rowOff>
    </xdr:from>
    <xdr:to>
      <xdr:col>54</xdr:col>
      <xdr:colOff>0</xdr:colOff>
      <xdr:row>13</xdr:row>
      <xdr:rowOff>0</xdr:rowOff>
    </xdr:to>
    <xdr:cxnSp macro="">
      <xdr:nvCxnSpPr>
        <xdr:cNvPr id="58" name="線: A1 S3→取込処理">
          <a:extLst>
            <a:ext uri="{FF2B5EF4-FFF2-40B4-BE49-F238E27FC236}">
              <a16:creationId xmlns:a16="http://schemas.microsoft.com/office/drawing/2014/main" id="{00000000-0008-0000-0300-00003A000000}"/>
            </a:ext>
          </a:extLst>
        </xdr:cNvPr>
        <xdr:cNvCxnSpPr>
          <a:stCxn id="48" idx="6"/>
          <a:endCxn id="49" idx="1"/>
        </xdr:cNvCxnSpPr>
      </xdr:nvCxnSpPr>
      <xdr:spPr>
        <a:xfrm>
          <a:off x="9144000" y="1905000"/>
          <a:ext cx="1143000" cy="571500"/>
        </a:xfrm>
        <a:prstGeom prst="bentConnector2">
          <a:avLst/>
        </a:prstGeom>
        <a:ln w="19050" cap="flat">
          <a:solidFill>
            <a:srgbClr val="315C92"/>
          </a:solidFill>
          <a:round/>
          <a:tailEnd type="triangle" w="med" len="med"/>
        </a:ln>
      </xdr:spPr>
    </xdr:cxnSp>
    <xdr:clientData/>
  </xdr:twoCellAnchor>
  <xdr:twoCellAnchor editAs="oneCell">
    <xdr:from>
      <xdr:col>38</xdr:col>
      <xdr:colOff>0</xdr:colOff>
      <xdr:row>15</xdr:row>
      <xdr:rowOff>0</xdr:rowOff>
    </xdr:from>
    <xdr:to>
      <xdr:col>52</xdr:col>
      <xdr:colOff>0</xdr:colOff>
      <xdr:row>15</xdr:row>
      <xdr:rowOff>0</xdr:rowOff>
    </xdr:to>
    <xdr:cxnSp macro="">
      <xdr:nvCxnSpPr>
        <xdr:cNvPr id="59" name="線: A2 EventBridge→取込処理">
          <a:extLst>
            <a:ext uri="{FF2B5EF4-FFF2-40B4-BE49-F238E27FC236}">
              <a16:creationId xmlns:a16="http://schemas.microsoft.com/office/drawing/2014/main" id="{00000000-0008-0000-0300-00003B000000}"/>
            </a:ext>
          </a:extLst>
        </xdr:cNvPr>
        <xdr:cNvCxnSpPr>
          <a:stCxn id="47" idx="6"/>
          <a:endCxn id="49" idx="14"/>
        </xdr:cNvCxnSpPr>
      </xdr:nvCxnSpPr>
      <xdr:spPr>
        <a:xfrm>
          <a:off x="7239000" y="2857500"/>
          <a:ext cx="2667000" cy="0"/>
        </a:xfrm>
        <a:prstGeom prst="straightConnector1">
          <a:avLst/>
        </a:prstGeom>
        <a:ln w="19050" cap="flat">
          <a:solidFill>
            <a:srgbClr val="315C92"/>
          </a:solidFill>
          <a:round/>
          <a:tailEnd type="triangle" w="med" len="med"/>
        </a:ln>
      </xdr:spPr>
    </xdr:cxnSp>
    <xdr:clientData/>
  </xdr:twoCellAnchor>
  <xdr:twoCellAnchor editAs="oneCell">
    <xdr:from>
      <xdr:col>60</xdr:col>
      <xdr:colOff>0</xdr:colOff>
      <xdr:row>15</xdr:row>
      <xdr:rowOff>0</xdr:rowOff>
    </xdr:from>
    <xdr:to>
      <xdr:col>62</xdr:col>
      <xdr:colOff>0</xdr:colOff>
      <xdr:row>23</xdr:row>
      <xdr:rowOff>0</xdr:rowOff>
    </xdr:to>
    <xdr:cxnSp macro="">
      <xdr:nvCxnSpPr>
        <xdr:cNvPr id="60" name="線: A3 取込処理→業務DB">
          <a:extLst>
            <a:ext uri="{FF2B5EF4-FFF2-40B4-BE49-F238E27FC236}">
              <a16:creationId xmlns:a16="http://schemas.microsoft.com/office/drawing/2014/main" id="{00000000-0008-0000-0300-00003C000000}"/>
            </a:ext>
          </a:extLst>
        </xdr:cNvPr>
        <xdr:cNvCxnSpPr>
          <a:stCxn id="49" idx="6"/>
          <a:endCxn id="53" idx="2"/>
        </xdr:cNvCxnSpPr>
      </xdr:nvCxnSpPr>
      <xdr:spPr>
        <a:xfrm>
          <a:off x="11430000" y="2857500"/>
          <a:ext cx="381000" cy="1524000"/>
        </a:xfrm>
        <a:prstGeom prst="bentConnector2">
          <a:avLst/>
        </a:prstGeom>
        <a:ln w="19050" cap="flat">
          <a:solidFill>
            <a:srgbClr val="315C92"/>
          </a:solidFill>
          <a:round/>
          <a:tailEnd type="triangle" w="med" len="med"/>
        </a:ln>
      </xdr:spPr>
    </xdr:cxnSp>
    <xdr:clientData/>
  </xdr:twoCellAnchor>
  <xdr:twoCellAnchor editAs="oneCell">
    <xdr:from>
      <xdr:col>12</xdr:col>
      <xdr:colOff>0</xdr:colOff>
      <xdr:row>22</xdr:row>
      <xdr:rowOff>0</xdr:rowOff>
    </xdr:from>
    <xdr:to>
      <xdr:col>17</xdr:col>
      <xdr:colOff>0</xdr:colOff>
      <xdr:row>22</xdr:row>
      <xdr:rowOff>0</xdr:rowOff>
    </xdr:to>
    <xdr:cxnSp macro="">
      <xdr:nvCxnSpPr>
        <xdr:cNvPr id="61" name="線: B1 社内ユーザー→DX">
          <a:extLst>
            <a:ext uri="{FF2B5EF4-FFF2-40B4-BE49-F238E27FC236}">
              <a16:creationId xmlns:a16="http://schemas.microsoft.com/office/drawing/2014/main" id="{00000000-0008-0000-0300-00003D000000}"/>
            </a:ext>
          </a:extLst>
        </xdr:cNvPr>
        <xdr:cNvCxnSpPr>
          <a:stCxn id="42" idx="7"/>
          <a:endCxn id="45" idx="15"/>
        </xdr:cNvCxnSpPr>
      </xdr:nvCxnSpPr>
      <xdr:spPr>
        <a:xfrm>
          <a:off x="2286000" y="4191000"/>
          <a:ext cx="952500" cy="0"/>
        </a:xfrm>
        <a:prstGeom prst="straightConnector1">
          <a:avLst/>
        </a:prstGeom>
        <a:ln w="19050" cap="flat">
          <a:solidFill>
            <a:srgbClr val="247966"/>
          </a:solidFill>
          <a:round/>
          <a:tailEnd type="triangle" w="med" len="med"/>
        </a:ln>
      </xdr:spPr>
    </xdr:cxnSp>
    <xdr:clientData/>
  </xdr:twoCellAnchor>
  <xdr:twoCellAnchor editAs="oneCell">
    <xdr:from>
      <xdr:col>12</xdr:col>
      <xdr:colOff>0</xdr:colOff>
      <xdr:row>26</xdr:row>
      <xdr:rowOff>0</xdr:rowOff>
    </xdr:from>
    <xdr:to>
      <xdr:col>17</xdr:col>
      <xdr:colOff>0</xdr:colOff>
      <xdr:row>26</xdr:row>
      <xdr:rowOff>0</xdr:rowOff>
    </xdr:to>
    <xdr:cxnSp macro="">
      <xdr:nvCxnSpPr>
        <xdr:cNvPr id="62" name="線: B2 基幹システム→DX">
          <a:extLst>
            <a:ext uri="{FF2B5EF4-FFF2-40B4-BE49-F238E27FC236}">
              <a16:creationId xmlns:a16="http://schemas.microsoft.com/office/drawing/2014/main" id="{00000000-0008-0000-0300-00003E000000}"/>
            </a:ext>
          </a:extLst>
        </xdr:cNvPr>
        <xdr:cNvCxnSpPr>
          <a:stCxn id="43" idx="5"/>
          <a:endCxn id="45" idx="13"/>
        </xdr:cNvCxnSpPr>
      </xdr:nvCxnSpPr>
      <xdr:spPr>
        <a:xfrm>
          <a:off x="2286000" y="4953000"/>
          <a:ext cx="952500" cy="0"/>
        </a:xfrm>
        <a:prstGeom prst="straightConnector1">
          <a:avLst/>
        </a:prstGeom>
        <a:ln w="19050" cap="flat">
          <a:solidFill>
            <a:srgbClr val="247966"/>
          </a:solidFill>
          <a:round/>
          <a:tailEnd type="triangle" w="med" len="med"/>
        </a:ln>
      </xdr:spPr>
    </xdr:cxnSp>
    <xdr:clientData/>
  </xdr:twoCellAnchor>
  <xdr:twoCellAnchor editAs="oneCell">
    <xdr:from>
      <xdr:col>25</xdr:col>
      <xdr:colOff>0</xdr:colOff>
      <xdr:row>24</xdr:row>
      <xdr:rowOff>0</xdr:rowOff>
    </xdr:from>
    <xdr:to>
      <xdr:col>30</xdr:col>
      <xdr:colOff>0</xdr:colOff>
      <xdr:row>24</xdr:row>
      <xdr:rowOff>0</xdr:rowOff>
    </xdr:to>
    <xdr:cxnSp macro="">
      <xdr:nvCxnSpPr>
        <xdr:cNvPr id="63" name="線: B1・B2 DX→ALB">
          <a:extLst>
            <a:ext uri="{FF2B5EF4-FFF2-40B4-BE49-F238E27FC236}">
              <a16:creationId xmlns:a16="http://schemas.microsoft.com/office/drawing/2014/main" id="{00000000-0008-0000-0300-00003F000000}"/>
            </a:ext>
          </a:extLst>
        </xdr:cNvPr>
        <xdr:cNvCxnSpPr>
          <a:stCxn id="45" idx="6"/>
          <a:endCxn id="50" idx="13"/>
        </xdr:cNvCxnSpPr>
      </xdr:nvCxnSpPr>
      <xdr:spPr>
        <a:xfrm>
          <a:off x="4762500" y="4572000"/>
          <a:ext cx="952500" cy="0"/>
        </a:xfrm>
        <a:prstGeom prst="straightConnector1">
          <a:avLst/>
        </a:prstGeom>
        <a:ln w="19050" cap="flat">
          <a:solidFill>
            <a:srgbClr val="247966"/>
          </a:solidFill>
          <a:round/>
          <a:tailEnd type="triangle" w="med" len="med"/>
        </a:ln>
      </xdr:spPr>
    </xdr:cxnSp>
    <xdr:clientData/>
  </xdr:twoCellAnchor>
  <xdr:twoCellAnchor editAs="oneCell">
    <xdr:from>
      <xdr:col>38</xdr:col>
      <xdr:colOff>0</xdr:colOff>
      <xdr:row>23</xdr:row>
      <xdr:rowOff>0</xdr:rowOff>
    </xdr:from>
    <xdr:to>
      <xdr:col>44</xdr:col>
      <xdr:colOff>0</xdr:colOff>
      <xdr:row>23</xdr:row>
      <xdr:rowOff>0</xdr:rowOff>
    </xdr:to>
    <xdr:cxnSp macro="">
      <xdr:nvCxnSpPr>
        <xdr:cNvPr id="64" name="線: B1・B2 ALB→業務アプリ">
          <a:extLst>
            <a:ext uri="{FF2B5EF4-FFF2-40B4-BE49-F238E27FC236}">
              <a16:creationId xmlns:a16="http://schemas.microsoft.com/office/drawing/2014/main" id="{00000000-0008-0000-0300-000040000000}"/>
            </a:ext>
          </a:extLst>
        </xdr:cNvPr>
        <xdr:cNvCxnSpPr>
          <a:stCxn id="50" idx="6"/>
          <a:endCxn id="52" idx="15"/>
        </xdr:cNvCxnSpPr>
      </xdr:nvCxnSpPr>
      <xdr:spPr>
        <a:xfrm>
          <a:off x="7239000" y="4381500"/>
          <a:ext cx="1143000" cy="0"/>
        </a:xfrm>
        <a:prstGeom prst="straightConnector1">
          <a:avLst/>
        </a:prstGeom>
        <a:ln w="19050" cap="flat">
          <a:solidFill>
            <a:srgbClr val="247966"/>
          </a:solidFill>
          <a:round/>
          <a:tailEnd type="triangle" w="med" len="med"/>
        </a:ln>
      </xdr:spPr>
    </xdr:cxnSp>
    <xdr:clientData/>
  </xdr:twoCellAnchor>
  <xdr:twoCellAnchor editAs="oneCell">
    <xdr:from>
      <xdr:col>12</xdr:col>
      <xdr:colOff>0</xdr:colOff>
      <xdr:row>36</xdr:row>
      <xdr:rowOff>0</xdr:rowOff>
    </xdr:from>
    <xdr:to>
      <xdr:col>30</xdr:col>
      <xdr:colOff>0</xdr:colOff>
      <xdr:row>36</xdr:row>
      <xdr:rowOff>0</xdr:rowOff>
    </xdr:to>
    <xdr:cxnSp macro="">
      <xdr:nvCxnSpPr>
        <xdr:cNvPr id="65" name="線: C1 外部ユーザー→CloudFront">
          <a:extLst>
            <a:ext uri="{FF2B5EF4-FFF2-40B4-BE49-F238E27FC236}">
              <a16:creationId xmlns:a16="http://schemas.microsoft.com/office/drawing/2014/main" id="{00000000-0008-0000-0300-000041000000}"/>
            </a:ext>
          </a:extLst>
        </xdr:cNvPr>
        <xdr:cNvCxnSpPr>
          <a:stCxn id="44" idx="6"/>
          <a:endCxn id="51" idx="14"/>
        </xdr:cNvCxnSpPr>
      </xdr:nvCxnSpPr>
      <xdr:spPr>
        <a:xfrm>
          <a:off x="2286000" y="6858000"/>
          <a:ext cx="3429000" cy="0"/>
        </a:xfrm>
        <a:prstGeom prst="straightConnector1">
          <a:avLst/>
        </a:prstGeom>
        <a:ln w="19050" cap="flat">
          <a:solidFill>
            <a:srgbClr val="C46B39"/>
          </a:solidFill>
          <a:round/>
          <a:tailEnd type="triangle" w="med" len="med"/>
        </a:ln>
      </xdr:spPr>
    </xdr:cxnSp>
    <xdr:clientData/>
  </xdr:twoCellAnchor>
  <xdr:twoCellAnchor editAs="oneCell">
    <xdr:from>
      <xdr:col>38</xdr:col>
      <xdr:colOff>0</xdr:colOff>
      <xdr:row>27</xdr:row>
      <xdr:rowOff>0</xdr:rowOff>
    </xdr:from>
    <xdr:to>
      <xdr:col>44</xdr:col>
      <xdr:colOff>0</xdr:colOff>
      <xdr:row>35</xdr:row>
      <xdr:rowOff>0</xdr:rowOff>
    </xdr:to>
    <xdr:cxnSp macro="">
      <xdr:nvCxnSpPr>
        <xdr:cNvPr id="66" name="線: C1 CloudFront→業務アプリ">
          <a:extLst>
            <a:ext uri="{FF2B5EF4-FFF2-40B4-BE49-F238E27FC236}">
              <a16:creationId xmlns:a16="http://schemas.microsoft.com/office/drawing/2014/main" id="{00000000-0008-0000-0300-000042000000}"/>
            </a:ext>
          </a:extLst>
        </xdr:cNvPr>
        <xdr:cNvCxnSpPr>
          <a:stCxn id="51" idx="5"/>
          <a:endCxn id="52" idx="13"/>
        </xdr:cNvCxnSpPr>
      </xdr:nvCxnSpPr>
      <xdr:spPr>
        <a:xfrm flipV="1">
          <a:off x="7239000" y="5143500"/>
          <a:ext cx="1143000" cy="1524000"/>
        </a:xfrm>
        <a:prstGeom prst="bentConnector3">
          <a:avLst/>
        </a:prstGeom>
        <a:ln w="19050" cap="flat">
          <a:solidFill>
            <a:srgbClr val="C46B39"/>
          </a:solidFill>
          <a:round/>
          <a:tailEnd type="triangle" w="med" len="med"/>
        </a:ln>
      </xdr:spPr>
    </xdr:cxnSp>
    <xdr:clientData/>
  </xdr:twoCellAnchor>
  <xdr:twoCellAnchor editAs="oneCell">
    <xdr:from>
      <xdr:col>52</xdr:col>
      <xdr:colOff>0</xdr:colOff>
      <xdr:row>25</xdr:row>
      <xdr:rowOff>0</xdr:rowOff>
    </xdr:from>
    <xdr:to>
      <xdr:col>60</xdr:col>
      <xdr:colOff>0</xdr:colOff>
      <xdr:row>25</xdr:row>
      <xdr:rowOff>0</xdr:rowOff>
    </xdr:to>
    <xdr:cxnSp macro="">
      <xdr:nvCxnSpPr>
        <xdr:cNvPr id="67" name="線: 1 業務アプリ⇔業務DB">
          <a:extLst>
            <a:ext uri="{FF2B5EF4-FFF2-40B4-BE49-F238E27FC236}">
              <a16:creationId xmlns:a16="http://schemas.microsoft.com/office/drawing/2014/main" id="{00000000-0008-0000-0300-000043000000}"/>
            </a:ext>
          </a:extLst>
        </xdr:cNvPr>
        <xdr:cNvCxnSpPr>
          <a:stCxn id="52" idx="6"/>
          <a:endCxn id="53" idx="14"/>
        </xdr:cNvCxnSpPr>
      </xdr:nvCxnSpPr>
      <xdr:spPr>
        <a:xfrm>
          <a:off x="9906000" y="4762500"/>
          <a:ext cx="1524000" cy="0"/>
        </a:xfrm>
        <a:prstGeom prst="straightConnector1">
          <a:avLst/>
        </a:prstGeom>
        <a:ln w="19050" cap="flat">
          <a:solidFill>
            <a:srgbClr val="404040"/>
          </a:solidFill>
          <a:round/>
          <a:headEnd type="triangle" w="med" len="med"/>
          <a:tailEnd type="triangle" w="med" len="med"/>
        </a:ln>
      </xdr:spPr>
    </xdr:cxnSp>
    <xdr:clientData/>
  </xdr:twoCellAnchor>
  <xdr:twoCellAnchor editAs="oneCell">
    <xdr:from>
      <xdr:col>48</xdr:col>
      <xdr:colOff>0</xdr:colOff>
      <xdr:row>29</xdr:row>
      <xdr:rowOff>0</xdr:rowOff>
    </xdr:from>
    <xdr:to>
      <xdr:col>48</xdr:col>
      <xdr:colOff>0</xdr:colOff>
      <xdr:row>34</xdr:row>
      <xdr:rowOff>0</xdr:rowOff>
    </xdr:to>
    <xdr:cxnSp macro="">
      <xdr:nvCxnSpPr>
        <xdr:cNvPr id="68" name="線: 2 業務アプリ→監視">
          <a:extLst>
            <a:ext uri="{FF2B5EF4-FFF2-40B4-BE49-F238E27FC236}">
              <a16:creationId xmlns:a16="http://schemas.microsoft.com/office/drawing/2014/main" id="{00000000-0008-0000-0300-000044000000}"/>
            </a:ext>
          </a:extLst>
        </xdr:cNvPr>
        <xdr:cNvCxnSpPr>
          <a:stCxn id="52" idx="10"/>
          <a:endCxn id="54" idx="2"/>
        </xdr:cNvCxnSpPr>
      </xdr:nvCxnSpPr>
      <xdr:spPr>
        <a:xfrm>
          <a:off x="9144000" y="5524500"/>
          <a:ext cx="0" cy="952500"/>
        </a:xfrm>
        <a:prstGeom prst="straightConnector1">
          <a:avLst/>
        </a:prstGeom>
        <a:ln w="12700" cap="flat">
          <a:solidFill>
            <a:srgbClr val="404040"/>
          </a:solidFill>
          <a:prstDash val="sysDot"/>
          <a:round/>
          <a:tailEnd type="triangle" w="med" len="med"/>
        </a:ln>
      </xdr:spPr>
    </xdr:cxnSp>
    <xdr:clientData/>
  </xdr:twoCellAnchor>
  <xdr:twoCellAnchor editAs="oneCell">
    <xdr:from>
      <xdr:col>19</xdr:col>
      <xdr:colOff>0</xdr:colOff>
      <xdr:row>8</xdr:row>
      <xdr:rowOff>95250</xdr:rowOff>
    </xdr:from>
    <xdr:to>
      <xdr:col>21</xdr:col>
      <xdr:colOff>0</xdr:colOff>
      <xdr:row>9</xdr:row>
      <xdr:rowOff>95250</xdr:rowOff>
    </xdr:to>
    <xdr:sp macro="" textlink="">
      <xdr:nvSpPr>
        <xdr:cNvPr id="69" name="番号: A1">
          <a:extLst>
            <a:ext uri="{FF2B5EF4-FFF2-40B4-BE49-F238E27FC236}">
              <a16:creationId xmlns:a16="http://schemas.microsoft.com/office/drawing/2014/main" id="{00000000-0008-0000-0300-000045000000}"/>
            </a:ext>
          </a:extLst>
        </xdr:cNvPr>
        <xdr:cNvSpPr/>
      </xdr:nvSpPr>
      <xdr:spPr>
        <a:xfrm>
          <a:off x="3619500" y="1619250"/>
          <a:ext cx="381000" cy="190500"/>
        </a:xfrm>
        <a:prstGeom prst="roundRect">
          <a:avLst>
            <a:gd name="adj" fmla="val 50000"/>
          </a:avLst>
        </a:prstGeom>
        <a:solidFill>
          <a:srgbClr val="315C92"/>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A1</a:t>
          </a:r>
          <a:endParaRPr lang="ja-JP" altLang="en-US" sz="750" dirty="0">
            <a:latin typeface="Meiryo UI"/>
            <a:ea typeface="Meiryo UI"/>
          </a:endParaRPr>
        </a:p>
      </xdr:txBody>
    </xdr:sp>
    <xdr:clientData/>
  </xdr:twoCellAnchor>
  <xdr:twoCellAnchor editAs="oneCell">
    <xdr:from>
      <xdr:col>15</xdr:col>
      <xdr:colOff>95250</xdr:colOff>
      <xdr:row>9</xdr:row>
      <xdr:rowOff>114300</xdr:rowOff>
    </xdr:from>
    <xdr:to>
      <xdr:col>24</xdr:col>
      <xdr:colOff>95250</xdr:colOff>
      <xdr:row>10</xdr:row>
      <xdr:rowOff>114300</xdr:rowOff>
    </xdr:to>
    <xdr:sp macro="" textlink="">
      <xdr:nvSpPr>
        <xdr:cNvPr id="70" name="線ラベル: A1">
          <a:extLst>
            <a:ext uri="{FF2B5EF4-FFF2-40B4-BE49-F238E27FC236}">
              <a16:creationId xmlns:a16="http://schemas.microsoft.com/office/drawing/2014/main" id="{00000000-0008-0000-0300-000046000000}"/>
            </a:ext>
          </a:extLst>
        </xdr:cNvPr>
        <xdr:cNvSpPr/>
      </xdr:nvSpPr>
      <xdr:spPr>
        <a:xfrm>
          <a:off x="2952750" y="1828800"/>
          <a:ext cx="1714500" cy="190500"/>
        </a:xfrm>
        <a:prstGeom prst="rect">
          <a:avLst/>
        </a:prstGeom>
        <a:noFill/>
        <a:ln>
          <a:noFill/>
        </a:ln>
      </xdr:spPr>
      <xdr:txBody>
        <a:bodyPr vertOverflow="overflow" horzOverflow="overflow" wrap="square" lIns="12700" tIns="0" rIns="12700" bIns="0" rtlCol="0" anchor="ctr">
          <a:noAutofit/>
        </a:bodyPr>
        <a:lstStyle/>
        <a:p>
          <a:pPr algn="ctr"/>
          <a:r>
            <a:rPr lang="ja-JP" altLang="en-US" sz="700" b="0" dirty="0">
              <a:solidFill>
                <a:srgbClr val="595959"/>
              </a:solidFill>
              <a:latin typeface="Meiryo UI"/>
              <a:ea typeface="Meiryo UI"/>
              <a:cs typeface="Meiryo UI"/>
            </a:rPr>
            <a:t>日次・全件（HTTPS）</a:t>
          </a:r>
          <a:endParaRPr lang="ja-JP" altLang="en-US" sz="700" dirty="0">
            <a:latin typeface="Meiryo UI"/>
            <a:ea typeface="Meiryo UI"/>
          </a:endParaRPr>
        </a:p>
      </xdr:txBody>
    </xdr:sp>
    <xdr:clientData/>
  </xdr:twoCellAnchor>
  <xdr:twoCellAnchor editAs="oneCell">
    <xdr:from>
      <xdr:col>23</xdr:col>
      <xdr:colOff>0</xdr:colOff>
      <xdr:row>14</xdr:row>
      <xdr:rowOff>95250</xdr:rowOff>
    </xdr:from>
    <xdr:to>
      <xdr:col>25</xdr:col>
      <xdr:colOff>0</xdr:colOff>
      <xdr:row>15</xdr:row>
      <xdr:rowOff>95250</xdr:rowOff>
    </xdr:to>
    <xdr:sp macro="" textlink="">
      <xdr:nvSpPr>
        <xdr:cNvPr id="71" name="番号: A2">
          <a:extLst>
            <a:ext uri="{FF2B5EF4-FFF2-40B4-BE49-F238E27FC236}">
              <a16:creationId xmlns:a16="http://schemas.microsoft.com/office/drawing/2014/main" id="{00000000-0008-0000-0300-000047000000}"/>
            </a:ext>
          </a:extLst>
        </xdr:cNvPr>
        <xdr:cNvSpPr/>
      </xdr:nvSpPr>
      <xdr:spPr>
        <a:xfrm>
          <a:off x="4381500" y="2762250"/>
          <a:ext cx="381000" cy="190500"/>
        </a:xfrm>
        <a:prstGeom prst="roundRect">
          <a:avLst>
            <a:gd name="adj" fmla="val 50000"/>
          </a:avLst>
        </a:prstGeom>
        <a:solidFill>
          <a:srgbClr val="315C92"/>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A2</a:t>
          </a:r>
          <a:endParaRPr lang="ja-JP" altLang="en-US" sz="750" dirty="0">
            <a:latin typeface="Meiryo UI"/>
            <a:ea typeface="Meiryo UI"/>
          </a:endParaRPr>
        </a:p>
      </xdr:txBody>
    </xdr:sp>
    <xdr:clientData/>
  </xdr:twoCellAnchor>
  <xdr:twoCellAnchor editAs="oneCell">
    <xdr:from>
      <xdr:col>20</xdr:col>
      <xdr:colOff>95250</xdr:colOff>
      <xdr:row>15</xdr:row>
      <xdr:rowOff>114300</xdr:rowOff>
    </xdr:from>
    <xdr:to>
      <xdr:col>27</xdr:col>
      <xdr:colOff>95250</xdr:colOff>
      <xdr:row>16</xdr:row>
      <xdr:rowOff>114300</xdr:rowOff>
    </xdr:to>
    <xdr:sp macro="" textlink="">
      <xdr:nvSpPr>
        <xdr:cNvPr id="72" name="線ラベル: A2">
          <a:extLst>
            <a:ext uri="{FF2B5EF4-FFF2-40B4-BE49-F238E27FC236}">
              <a16:creationId xmlns:a16="http://schemas.microsoft.com/office/drawing/2014/main" id="{00000000-0008-0000-0300-000048000000}"/>
            </a:ext>
          </a:extLst>
        </xdr:cNvPr>
        <xdr:cNvSpPr/>
      </xdr:nvSpPr>
      <xdr:spPr>
        <a:xfrm>
          <a:off x="3905250" y="2971800"/>
          <a:ext cx="1333500" cy="190500"/>
        </a:xfrm>
        <a:prstGeom prst="rect">
          <a:avLst/>
        </a:prstGeom>
        <a:noFill/>
        <a:ln>
          <a:noFill/>
        </a:ln>
      </xdr:spPr>
      <xdr:txBody>
        <a:bodyPr vertOverflow="overflow" horzOverflow="overflow" wrap="square" lIns="12700" tIns="0" rIns="12700" bIns="0" rtlCol="0" anchor="ctr">
          <a:noAutofit/>
        </a:bodyPr>
        <a:lstStyle/>
        <a:p>
          <a:pPr algn="ctr"/>
          <a:r>
            <a:rPr lang="ja-JP" altLang="en-US" sz="700" b="0" dirty="0">
              <a:solidFill>
                <a:srgbClr val="595959"/>
              </a:solidFill>
              <a:latin typeface="Meiryo UI"/>
              <a:ea typeface="Meiryo UI"/>
              <a:cs typeface="Meiryo UI"/>
            </a:rPr>
            <a:t>変更イベント・即時</a:t>
          </a:r>
          <a:endParaRPr lang="ja-JP" altLang="en-US" sz="700" dirty="0">
            <a:latin typeface="Meiryo UI"/>
            <a:ea typeface="Meiryo UI"/>
          </a:endParaRPr>
        </a:p>
      </xdr:txBody>
    </xdr:sp>
    <xdr:clientData/>
  </xdr:twoCellAnchor>
  <xdr:twoCellAnchor editAs="oneCell">
    <xdr:from>
      <xdr:col>61</xdr:col>
      <xdr:colOff>0</xdr:colOff>
      <xdr:row>18</xdr:row>
      <xdr:rowOff>0</xdr:rowOff>
    </xdr:from>
    <xdr:to>
      <xdr:col>63</xdr:col>
      <xdr:colOff>0</xdr:colOff>
      <xdr:row>19</xdr:row>
      <xdr:rowOff>0</xdr:rowOff>
    </xdr:to>
    <xdr:sp macro="" textlink="">
      <xdr:nvSpPr>
        <xdr:cNvPr id="73" name="番号: A3">
          <a:extLst>
            <a:ext uri="{FF2B5EF4-FFF2-40B4-BE49-F238E27FC236}">
              <a16:creationId xmlns:a16="http://schemas.microsoft.com/office/drawing/2014/main" id="{00000000-0008-0000-0300-000049000000}"/>
            </a:ext>
          </a:extLst>
        </xdr:cNvPr>
        <xdr:cNvSpPr/>
      </xdr:nvSpPr>
      <xdr:spPr>
        <a:xfrm>
          <a:off x="11620500" y="3429000"/>
          <a:ext cx="381000" cy="190500"/>
        </a:xfrm>
        <a:prstGeom prst="roundRect">
          <a:avLst>
            <a:gd name="adj" fmla="val 50000"/>
          </a:avLst>
        </a:prstGeom>
        <a:solidFill>
          <a:srgbClr val="315C92"/>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A3</a:t>
          </a:r>
          <a:endParaRPr lang="ja-JP" altLang="en-US" sz="750" dirty="0">
            <a:latin typeface="Meiryo UI"/>
            <a:ea typeface="Meiryo UI"/>
          </a:endParaRPr>
        </a:p>
      </xdr:txBody>
    </xdr:sp>
    <xdr:clientData/>
  </xdr:twoCellAnchor>
  <xdr:twoCellAnchor editAs="oneCell">
    <xdr:from>
      <xdr:col>13</xdr:col>
      <xdr:colOff>95250</xdr:colOff>
      <xdr:row>21</xdr:row>
      <xdr:rowOff>95250</xdr:rowOff>
    </xdr:from>
    <xdr:to>
      <xdr:col>15</xdr:col>
      <xdr:colOff>95250</xdr:colOff>
      <xdr:row>22</xdr:row>
      <xdr:rowOff>95250</xdr:rowOff>
    </xdr:to>
    <xdr:sp macro="" textlink="">
      <xdr:nvSpPr>
        <xdr:cNvPr id="74" name="番号: B1">
          <a:extLst>
            <a:ext uri="{FF2B5EF4-FFF2-40B4-BE49-F238E27FC236}">
              <a16:creationId xmlns:a16="http://schemas.microsoft.com/office/drawing/2014/main" id="{00000000-0008-0000-0300-00004A000000}"/>
            </a:ext>
          </a:extLst>
        </xdr:cNvPr>
        <xdr:cNvSpPr/>
      </xdr:nvSpPr>
      <xdr:spPr>
        <a:xfrm>
          <a:off x="2571750" y="4095750"/>
          <a:ext cx="381000" cy="190500"/>
        </a:xfrm>
        <a:prstGeom prst="roundRect">
          <a:avLst>
            <a:gd name="adj" fmla="val 50000"/>
          </a:avLst>
        </a:prstGeom>
        <a:solidFill>
          <a:srgbClr val="24796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B1</a:t>
          </a:r>
          <a:endParaRPr lang="ja-JP" altLang="en-US" sz="750" dirty="0">
            <a:latin typeface="Meiryo UI"/>
            <a:ea typeface="Meiryo UI"/>
          </a:endParaRPr>
        </a:p>
      </xdr:txBody>
    </xdr:sp>
    <xdr:clientData/>
  </xdr:twoCellAnchor>
  <xdr:twoCellAnchor editAs="oneCell">
    <xdr:from>
      <xdr:col>12</xdr:col>
      <xdr:colOff>95250</xdr:colOff>
      <xdr:row>22</xdr:row>
      <xdr:rowOff>114300</xdr:rowOff>
    </xdr:from>
    <xdr:to>
      <xdr:col>17</xdr:col>
      <xdr:colOff>95250</xdr:colOff>
      <xdr:row>23</xdr:row>
      <xdr:rowOff>114300</xdr:rowOff>
    </xdr:to>
    <xdr:sp macro="" textlink="">
      <xdr:nvSpPr>
        <xdr:cNvPr id="75" name="線ラベル: B1">
          <a:extLst>
            <a:ext uri="{FF2B5EF4-FFF2-40B4-BE49-F238E27FC236}">
              <a16:creationId xmlns:a16="http://schemas.microsoft.com/office/drawing/2014/main" id="{00000000-0008-0000-0300-00004B000000}"/>
            </a:ext>
          </a:extLst>
        </xdr:cNvPr>
        <xdr:cNvSpPr/>
      </xdr:nvSpPr>
      <xdr:spPr>
        <a:xfrm>
          <a:off x="2381250" y="4305300"/>
          <a:ext cx="952500" cy="190500"/>
        </a:xfrm>
        <a:prstGeom prst="rect">
          <a:avLst/>
        </a:prstGeom>
        <a:noFill/>
        <a:ln>
          <a:noFill/>
        </a:ln>
      </xdr:spPr>
      <xdr:txBody>
        <a:bodyPr vertOverflow="overflow" horzOverflow="overflow" wrap="square" lIns="12700" tIns="0" rIns="12700" bIns="0" rtlCol="0" anchor="ctr">
          <a:noAutofit/>
        </a:bodyPr>
        <a:lstStyle/>
        <a:p>
          <a:pPr algn="ctr"/>
          <a:r>
            <a:rPr lang="ja-JP" altLang="en-US" sz="700" b="0" dirty="0">
              <a:solidFill>
                <a:srgbClr val="595959"/>
              </a:solidFill>
              <a:latin typeface="Meiryo UI"/>
              <a:ea typeface="Meiryo UI"/>
              <a:cs typeface="Meiryo UI"/>
            </a:rPr>
            <a:t>画面</a:t>
          </a:r>
          <a:endParaRPr lang="ja-JP" altLang="en-US" sz="700" dirty="0">
            <a:latin typeface="Meiryo UI"/>
            <a:ea typeface="Meiryo UI"/>
          </a:endParaRPr>
        </a:p>
      </xdr:txBody>
    </xdr:sp>
    <xdr:clientData/>
  </xdr:twoCellAnchor>
  <xdr:twoCellAnchor editAs="oneCell">
    <xdr:from>
      <xdr:col>13</xdr:col>
      <xdr:colOff>95250</xdr:colOff>
      <xdr:row>25</xdr:row>
      <xdr:rowOff>95250</xdr:rowOff>
    </xdr:from>
    <xdr:to>
      <xdr:col>15</xdr:col>
      <xdr:colOff>95250</xdr:colOff>
      <xdr:row>26</xdr:row>
      <xdr:rowOff>95250</xdr:rowOff>
    </xdr:to>
    <xdr:sp macro="" textlink="">
      <xdr:nvSpPr>
        <xdr:cNvPr id="76" name="番号: B2">
          <a:extLst>
            <a:ext uri="{FF2B5EF4-FFF2-40B4-BE49-F238E27FC236}">
              <a16:creationId xmlns:a16="http://schemas.microsoft.com/office/drawing/2014/main" id="{00000000-0008-0000-0300-00004C000000}"/>
            </a:ext>
          </a:extLst>
        </xdr:cNvPr>
        <xdr:cNvSpPr/>
      </xdr:nvSpPr>
      <xdr:spPr>
        <a:xfrm>
          <a:off x="2571750" y="4857750"/>
          <a:ext cx="381000" cy="190500"/>
        </a:xfrm>
        <a:prstGeom prst="roundRect">
          <a:avLst>
            <a:gd name="adj" fmla="val 50000"/>
          </a:avLst>
        </a:prstGeom>
        <a:solidFill>
          <a:srgbClr val="24796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B2</a:t>
          </a:r>
          <a:endParaRPr lang="ja-JP" altLang="en-US" sz="750" dirty="0">
            <a:latin typeface="Meiryo UI"/>
            <a:ea typeface="Meiryo UI"/>
          </a:endParaRPr>
        </a:p>
      </xdr:txBody>
    </xdr:sp>
    <xdr:clientData/>
  </xdr:twoCellAnchor>
  <xdr:twoCellAnchor editAs="oneCell">
    <xdr:from>
      <xdr:col>12</xdr:col>
      <xdr:colOff>95250</xdr:colOff>
      <xdr:row>26</xdr:row>
      <xdr:rowOff>114300</xdr:rowOff>
    </xdr:from>
    <xdr:to>
      <xdr:col>17</xdr:col>
      <xdr:colOff>95250</xdr:colOff>
      <xdr:row>27</xdr:row>
      <xdr:rowOff>114300</xdr:rowOff>
    </xdr:to>
    <xdr:sp macro="" textlink="">
      <xdr:nvSpPr>
        <xdr:cNvPr id="77" name="線ラベル: B2">
          <a:extLst>
            <a:ext uri="{FF2B5EF4-FFF2-40B4-BE49-F238E27FC236}">
              <a16:creationId xmlns:a16="http://schemas.microsoft.com/office/drawing/2014/main" id="{00000000-0008-0000-0300-00004D000000}"/>
            </a:ext>
          </a:extLst>
        </xdr:cNvPr>
        <xdr:cNvSpPr/>
      </xdr:nvSpPr>
      <xdr:spPr>
        <a:xfrm>
          <a:off x="2381250" y="5067300"/>
          <a:ext cx="952500" cy="190500"/>
        </a:xfrm>
        <a:prstGeom prst="rect">
          <a:avLst/>
        </a:prstGeom>
        <a:noFill/>
        <a:ln>
          <a:noFill/>
        </a:ln>
      </xdr:spPr>
      <xdr:txBody>
        <a:bodyPr vertOverflow="overflow" horzOverflow="overflow" wrap="square" lIns="12700" tIns="0" rIns="12700" bIns="0" rtlCol="0" anchor="ctr">
          <a:noAutofit/>
        </a:bodyPr>
        <a:lstStyle/>
        <a:p>
          <a:pPr algn="ctr"/>
          <a:r>
            <a:rPr lang="ja-JP" altLang="en-US" sz="700" b="0" dirty="0">
              <a:solidFill>
                <a:srgbClr val="595959"/>
              </a:solidFill>
              <a:latin typeface="Meiryo UI"/>
              <a:ea typeface="Meiryo UI"/>
              <a:cs typeface="Meiryo UI"/>
            </a:rPr>
            <a:t>API</a:t>
          </a:r>
          <a:endParaRPr lang="ja-JP" altLang="en-US" sz="700" dirty="0">
            <a:latin typeface="Meiryo UI"/>
            <a:ea typeface="Meiryo UI"/>
          </a:endParaRPr>
        </a:p>
      </xdr:txBody>
    </xdr:sp>
    <xdr:clientData/>
  </xdr:twoCellAnchor>
  <xdr:twoCellAnchor editAs="oneCell">
    <xdr:from>
      <xdr:col>19</xdr:col>
      <xdr:colOff>0</xdr:colOff>
      <xdr:row>35</xdr:row>
      <xdr:rowOff>95250</xdr:rowOff>
    </xdr:from>
    <xdr:to>
      <xdr:col>21</xdr:col>
      <xdr:colOff>0</xdr:colOff>
      <xdr:row>36</xdr:row>
      <xdr:rowOff>95250</xdr:rowOff>
    </xdr:to>
    <xdr:sp macro="" textlink="">
      <xdr:nvSpPr>
        <xdr:cNvPr id="78" name="番号: C1">
          <a:extLst>
            <a:ext uri="{FF2B5EF4-FFF2-40B4-BE49-F238E27FC236}">
              <a16:creationId xmlns:a16="http://schemas.microsoft.com/office/drawing/2014/main" id="{00000000-0008-0000-0300-00004E000000}"/>
            </a:ext>
          </a:extLst>
        </xdr:cNvPr>
        <xdr:cNvSpPr/>
      </xdr:nvSpPr>
      <xdr:spPr>
        <a:xfrm>
          <a:off x="3619500" y="6762750"/>
          <a:ext cx="381000" cy="190500"/>
        </a:xfrm>
        <a:prstGeom prst="roundRect">
          <a:avLst>
            <a:gd name="adj" fmla="val 50000"/>
          </a:avLst>
        </a:prstGeom>
        <a:solidFill>
          <a:srgbClr val="C46B39"/>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C1</a:t>
          </a:r>
          <a:endParaRPr lang="ja-JP" altLang="en-US" sz="750" dirty="0">
            <a:latin typeface="Meiryo UI"/>
            <a:ea typeface="Meiryo UI"/>
          </a:endParaRPr>
        </a:p>
      </xdr:txBody>
    </xdr:sp>
    <xdr:clientData/>
  </xdr:twoCellAnchor>
  <xdr:twoCellAnchor editAs="oneCell">
    <xdr:from>
      <xdr:col>15</xdr:col>
      <xdr:colOff>95250</xdr:colOff>
      <xdr:row>36</xdr:row>
      <xdr:rowOff>114300</xdr:rowOff>
    </xdr:from>
    <xdr:to>
      <xdr:col>24</xdr:col>
      <xdr:colOff>95250</xdr:colOff>
      <xdr:row>37</xdr:row>
      <xdr:rowOff>114300</xdr:rowOff>
    </xdr:to>
    <xdr:sp macro="" textlink="">
      <xdr:nvSpPr>
        <xdr:cNvPr id="79" name="線ラベル: C1">
          <a:extLst>
            <a:ext uri="{FF2B5EF4-FFF2-40B4-BE49-F238E27FC236}">
              <a16:creationId xmlns:a16="http://schemas.microsoft.com/office/drawing/2014/main" id="{00000000-0008-0000-0300-00004F000000}"/>
            </a:ext>
          </a:extLst>
        </xdr:cNvPr>
        <xdr:cNvSpPr/>
      </xdr:nvSpPr>
      <xdr:spPr>
        <a:xfrm>
          <a:off x="2952750" y="6972300"/>
          <a:ext cx="1714500" cy="190500"/>
        </a:xfrm>
        <a:prstGeom prst="rect">
          <a:avLst/>
        </a:prstGeom>
        <a:noFill/>
        <a:ln>
          <a:noFill/>
        </a:ln>
      </xdr:spPr>
      <xdr:txBody>
        <a:bodyPr vertOverflow="overflow" horzOverflow="overflow" wrap="square" lIns="12700" tIns="0" rIns="12700" bIns="0" rtlCol="0" anchor="ctr">
          <a:noAutofit/>
        </a:bodyPr>
        <a:lstStyle/>
        <a:p>
          <a:pPr algn="ctr"/>
          <a:r>
            <a:rPr lang="ja-JP" altLang="en-US" sz="700" b="0" dirty="0">
              <a:solidFill>
                <a:srgbClr val="595959"/>
              </a:solidFill>
              <a:latin typeface="Meiryo UI"/>
              <a:ea typeface="Meiryo UI"/>
              <a:cs typeface="Meiryo UI"/>
            </a:rPr>
            <a:t>Web（HTTPS）</a:t>
          </a:r>
          <a:endParaRPr lang="ja-JP" altLang="en-US" sz="700" dirty="0">
            <a:latin typeface="Meiryo UI"/>
            <a:ea typeface="Meiryo UI"/>
          </a:endParaRPr>
        </a:p>
      </xdr:txBody>
    </xdr:sp>
    <xdr:clientData/>
  </xdr:twoCellAnchor>
  <xdr:twoCellAnchor editAs="oneCell">
    <xdr:from>
      <xdr:col>55</xdr:col>
      <xdr:colOff>0</xdr:colOff>
      <xdr:row>24</xdr:row>
      <xdr:rowOff>95250</xdr:rowOff>
    </xdr:from>
    <xdr:to>
      <xdr:col>56</xdr:col>
      <xdr:colOff>76200</xdr:colOff>
      <xdr:row>25</xdr:row>
      <xdr:rowOff>95250</xdr:rowOff>
    </xdr:to>
    <xdr:sp macro="" textlink="">
      <xdr:nvSpPr>
        <xdr:cNvPr id="80" name="番号: 1">
          <a:extLst>
            <a:ext uri="{FF2B5EF4-FFF2-40B4-BE49-F238E27FC236}">
              <a16:creationId xmlns:a16="http://schemas.microsoft.com/office/drawing/2014/main" id="{00000000-0008-0000-0300-000050000000}"/>
            </a:ext>
          </a:extLst>
        </xdr:cNvPr>
        <xdr:cNvSpPr/>
      </xdr:nvSpPr>
      <xdr:spPr>
        <a:xfrm>
          <a:off x="10477500" y="4667250"/>
          <a:ext cx="266700" cy="190500"/>
        </a:xfrm>
        <a:prstGeom prst="roundRect">
          <a:avLst>
            <a:gd name="adj" fmla="val 50000"/>
          </a:avLst>
        </a:prstGeom>
        <a:solidFill>
          <a:srgbClr val="404040"/>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1</a:t>
          </a:r>
          <a:endParaRPr lang="ja-JP" altLang="en-US" sz="750" dirty="0">
            <a:latin typeface="Meiryo UI"/>
            <a:ea typeface="Meiryo UI"/>
          </a:endParaRPr>
        </a:p>
      </xdr:txBody>
    </xdr:sp>
    <xdr:clientData/>
  </xdr:twoCellAnchor>
  <xdr:twoCellAnchor editAs="oneCell">
    <xdr:from>
      <xdr:col>48</xdr:col>
      <xdr:colOff>95250</xdr:colOff>
      <xdr:row>30</xdr:row>
      <xdr:rowOff>152400</xdr:rowOff>
    </xdr:from>
    <xdr:to>
      <xdr:col>49</xdr:col>
      <xdr:colOff>171450</xdr:colOff>
      <xdr:row>31</xdr:row>
      <xdr:rowOff>152400</xdr:rowOff>
    </xdr:to>
    <xdr:sp macro="" textlink="">
      <xdr:nvSpPr>
        <xdr:cNvPr id="81" name="番号: 2">
          <a:extLst>
            <a:ext uri="{FF2B5EF4-FFF2-40B4-BE49-F238E27FC236}">
              <a16:creationId xmlns:a16="http://schemas.microsoft.com/office/drawing/2014/main" id="{00000000-0008-0000-0300-000051000000}"/>
            </a:ext>
          </a:extLst>
        </xdr:cNvPr>
        <xdr:cNvSpPr/>
      </xdr:nvSpPr>
      <xdr:spPr>
        <a:xfrm>
          <a:off x="9239250" y="5867400"/>
          <a:ext cx="266700" cy="190500"/>
        </a:xfrm>
        <a:prstGeom prst="roundRect">
          <a:avLst>
            <a:gd name="adj" fmla="val 50000"/>
          </a:avLst>
        </a:prstGeom>
        <a:solidFill>
          <a:srgbClr val="404040"/>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2</a:t>
          </a:r>
          <a:endParaRPr lang="ja-JP" altLang="en-US" sz="750" dirty="0">
            <a:latin typeface="Meiryo UI"/>
            <a:ea typeface="Meiryo UI"/>
          </a:endParaRPr>
        </a:p>
      </xdr:txBody>
    </xdr:sp>
    <xdr:clientData/>
  </xdr:twoCellAnchor>
  <xdr:twoCellAnchor editAs="oneCell">
    <xdr:from>
      <xdr:col>54</xdr:col>
      <xdr:colOff>0</xdr:colOff>
      <xdr:row>25</xdr:row>
      <xdr:rowOff>114300</xdr:rowOff>
    </xdr:from>
    <xdr:to>
      <xdr:col>60</xdr:col>
      <xdr:colOff>0</xdr:colOff>
      <xdr:row>26</xdr:row>
      <xdr:rowOff>114300</xdr:rowOff>
    </xdr:to>
    <xdr:sp macro="" textlink="">
      <xdr:nvSpPr>
        <xdr:cNvPr id="82" name="線ラベル: 1">
          <a:extLst>
            <a:ext uri="{FF2B5EF4-FFF2-40B4-BE49-F238E27FC236}">
              <a16:creationId xmlns:a16="http://schemas.microsoft.com/office/drawing/2014/main" id="{00000000-0008-0000-0300-000052000000}"/>
            </a:ext>
          </a:extLst>
        </xdr:cNvPr>
        <xdr:cNvSpPr/>
      </xdr:nvSpPr>
      <xdr:spPr>
        <a:xfrm>
          <a:off x="10287000" y="4876800"/>
          <a:ext cx="1143000" cy="190500"/>
        </a:xfrm>
        <a:prstGeom prst="rect">
          <a:avLst/>
        </a:prstGeom>
        <a:noFill/>
        <a:ln>
          <a:noFill/>
        </a:ln>
      </xdr:spPr>
      <xdr:txBody>
        <a:bodyPr vertOverflow="overflow" horzOverflow="overflow" wrap="square" lIns="12700" tIns="0" rIns="12700" bIns="0" rtlCol="0" anchor="ctr">
          <a:noAutofit/>
        </a:bodyPr>
        <a:lstStyle/>
        <a:p>
          <a:pPr algn="ctr"/>
          <a:r>
            <a:rPr lang="ja-JP" altLang="en-US" sz="700" b="0" dirty="0">
              <a:solidFill>
                <a:srgbClr val="595959"/>
              </a:solidFill>
              <a:latin typeface="Meiryo UI"/>
              <a:ea typeface="Meiryo UI"/>
              <a:cs typeface="Meiryo UI"/>
            </a:rPr>
            <a:t>参照・更新</a:t>
          </a:r>
          <a:endParaRPr lang="ja-JP" altLang="en-US" sz="700" dirty="0">
            <a:latin typeface="Meiryo UI"/>
            <a:ea typeface="Meiryo UI"/>
          </a:endParaRPr>
        </a:p>
      </xdr:txBody>
    </xdr:sp>
    <xdr:clientData/>
  </xdr:twoCellAnchor>
  <xdr:twoCellAnchor editAs="oneCell">
    <xdr:from>
      <xdr:col>60</xdr:col>
      <xdr:colOff>0</xdr:colOff>
      <xdr:row>7</xdr:row>
      <xdr:rowOff>0</xdr:rowOff>
    </xdr:from>
    <xdr:to>
      <xdr:col>73</xdr:col>
      <xdr:colOff>0</xdr:colOff>
      <xdr:row>11</xdr:row>
      <xdr:rowOff>0</xdr:rowOff>
    </xdr:to>
    <xdr:grpSp>
      <xdr:nvGrpSpPr>
        <xdr:cNvPr id="85" name="コメント: ポイントA">
          <a:extLst>
            <a:ext uri="{FF2B5EF4-FFF2-40B4-BE49-F238E27FC236}">
              <a16:creationId xmlns:a16="http://schemas.microsoft.com/office/drawing/2014/main" id="{00000000-0008-0000-0300-000055000000}"/>
            </a:ext>
          </a:extLst>
        </xdr:cNvPr>
        <xdr:cNvGrpSpPr/>
      </xdr:nvGrpSpPr>
      <xdr:grpSpPr>
        <a:xfrm>
          <a:off x="11430000" y="1333500"/>
          <a:ext cx="2476500" cy="762000"/>
          <a:chOff x="11430000" y="1333500"/>
          <a:chExt cx="2476500" cy="762000"/>
        </a:xfrm>
      </xdr:grpSpPr>
      <xdr:sp macro="" textlink="">
        <xdr:nvSpPr>
          <xdr:cNvPr id="83" name="本文">
            <a:extLst>
              <a:ext uri="{FF2B5EF4-FFF2-40B4-BE49-F238E27FC236}">
                <a16:creationId xmlns:a16="http://schemas.microsoft.com/office/drawing/2014/main" id="{00000000-0008-0000-0300-000053000000}"/>
              </a:ext>
            </a:extLst>
          </xdr:cNvPr>
          <xdr:cNvSpPr/>
        </xdr:nvSpPr>
        <xdr:spPr>
          <a:xfrm>
            <a:off x="11430000" y="1333500"/>
            <a:ext cx="24765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3F8FF"/>
          </a:solidFill>
          <a:ln w="9525" cap="flat">
            <a:solidFill>
              <a:srgbClr val="BCD3F2"/>
            </a:solidFill>
            <a:round/>
          </a:ln>
        </xdr:spPr>
        <xdr:txBody>
          <a:bodyPr vertOverflow="overflow" horzOverflow="overflow" wrap="square" lIns="76200" tIns="228600" rIns="76200" bIns="38100" rtlCol="0" anchor="t">
            <a:noAutofit/>
          </a:bodyPr>
          <a:lstStyle/>
          <a:p>
            <a:pPr algn="l">
              <a:lnSpc>
                <a:spcPct val="100000"/>
              </a:lnSpc>
            </a:pPr>
            <a:r>
              <a:rPr lang="ja-JP" altLang="en-US" sz="800" b="0" dirty="0">
                <a:solidFill>
                  <a:srgbClr val="404040"/>
                </a:solidFill>
                <a:latin typeface="Meiryo UI"/>
                <a:ea typeface="Meiryo UI"/>
                <a:cs typeface="Meiryo UI"/>
              </a:rPr>
              <a:t>変更はイベントで即時反映（A2）</a:t>
            </a:r>
            <a:endParaRPr lang="ja-JP" altLang="en-US" sz="800" dirty="0">
              <a:latin typeface="Meiryo UI"/>
              <a:ea typeface="Meiryo UI"/>
            </a:endParaRPr>
          </a:p>
          <a:p>
            <a:pPr algn="l">
              <a:lnSpc>
                <a:spcPct val="100000"/>
              </a:lnSpc>
              <a:spcBef>
                <a:spcPts val="100"/>
              </a:spcBef>
            </a:pPr>
            <a:r>
              <a:rPr lang="ja-JP" altLang="en-US" sz="800" b="0" dirty="0">
                <a:solidFill>
                  <a:srgbClr val="404040"/>
                </a:solidFill>
                <a:latin typeface="Meiryo UI"/>
                <a:ea typeface="Meiryo UI"/>
                <a:cs typeface="Meiryo UI"/>
              </a:rPr>
              <a:t>全件は日次で取り込み、差分を補正（A1）</a:t>
            </a:r>
            <a:endParaRPr lang="ja-JP" altLang="en-US" sz="800" dirty="0">
              <a:latin typeface="Meiryo UI"/>
              <a:ea typeface="Meiryo UI"/>
            </a:endParaRPr>
          </a:p>
        </xdr:txBody>
      </xdr:sp>
      <xdr:sp macro="" textlink="">
        <xdr:nvSpPr>
          <xdr:cNvPr id="84" name="見出し">
            <a:extLst>
              <a:ext uri="{FF2B5EF4-FFF2-40B4-BE49-F238E27FC236}">
                <a16:creationId xmlns:a16="http://schemas.microsoft.com/office/drawing/2014/main" id="{00000000-0008-0000-0300-000054000000}"/>
              </a:ext>
            </a:extLst>
          </xdr:cNvPr>
          <xdr:cNvSpPr/>
        </xdr:nvSpPr>
        <xdr:spPr>
          <a:xfrm>
            <a:off x="11430000" y="1333500"/>
            <a:ext cx="2476500" cy="190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315C92"/>
          </a:solidFill>
          <a:ln w="9525" cap="flat">
            <a:solidFill>
              <a:srgbClr val="315C92"/>
            </a:solidFill>
            <a:round/>
          </a:ln>
        </xdr:spPr>
        <xdr:txBody>
          <a:bodyPr vertOverflow="overflow" horzOverflow="overflow" wrap="none" lIns="76200" tIns="0" rIns="76200" bIns="0" rtlCol="0" anchor="ctr">
            <a:noAutofit/>
          </a:bodyPr>
          <a:lstStyle/>
          <a:p>
            <a:pPr algn="l"/>
            <a:r>
              <a:rPr lang="ja-JP" altLang="en-US" sz="750" b="1" dirty="0">
                <a:solidFill>
                  <a:srgbClr val="FFFFFF"/>
                </a:solidFill>
                <a:latin typeface="Meiryo UI"/>
                <a:ea typeface="Meiryo UI"/>
                <a:cs typeface="Meiryo UI"/>
              </a:rPr>
              <a:t>POINT</a:t>
            </a:r>
            <a:r>
              <a:rPr lang="ja-JP" altLang="en-US" sz="800" b="1" dirty="0">
                <a:solidFill>
                  <a:srgbClr val="FFFFFF"/>
                </a:solidFill>
                <a:latin typeface="Meiryo UI"/>
                <a:ea typeface="Meiryo UI"/>
                <a:cs typeface="Meiryo UI"/>
              </a:rPr>
              <a:t>　Salesforce連携</a:t>
            </a:r>
            <a:endParaRPr lang="ja-JP" altLang="en-US" sz="800" dirty="0">
              <a:latin typeface="Meiryo UI"/>
              <a:ea typeface="Meiryo UI"/>
            </a:endParaRPr>
          </a:p>
        </xdr:txBody>
      </xdr:sp>
    </xdr:grpSp>
    <xdr:clientData/>
  </xdr:twoCellAnchor>
  <xdr:twoCellAnchor editAs="oneCell">
    <xdr:from>
      <xdr:col>60</xdr:col>
      <xdr:colOff>0</xdr:colOff>
      <xdr:row>29</xdr:row>
      <xdr:rowOff>0</xdr:rowOff>
    </xdr:from>
    <xdr:to>
      <xdr:col>73</xdr:col>
      <xdr:colOff>0</xdr:colOff>
      <xdr:row>33</xdr:row>
      <xdr:rowOff>0</xdr:rowOff>
    </xdr:to>
    <xdr:grpSp>
      <xdr:nvGrpSpPr>
        <xdr:cNvPr id="88" name="コメント: ポイントB">
          <a:extLst>
            <a:ext uri="{FF2B5EF4-FFF2-40B4-BE49-F238E27FC236}">
              <a16:creationId xmlns:a16="http://schemas.microsoft.com/office/drawing/2014/main" id="{00000000-0008-0000-0300-000058000000}"/>
            </a:ext>
          </a:extLst>
        </xdr:cNvPr>
        <xdr:cNvGrpSpPr/>
      </xdr:nvGrpSpPr>
      <xdr:grpSpPr>
        <a:xfrm>
          <a:off x="11430000" y="5524500"/>
          <a:ext cx="2476500" cy="762000"/>
          <a:chOff x="11430000" y="5524500"/>
          <a:chExt cx="2476500" cy="762000"/>
        </a:xfrm>
      </xdr:grpSpPr>
      <xdr:sp macro="" textlink="">
        <xdr:nvSpPr>
          <xdr:cNvPr id="86" name="本文">
            <a:extLst>
              <a:ext uri="{FF2B5EF4-FFF2-40B4-BE49-F238E27FC236}">
                <a16:creationId xmlns:a16="http://schemas.microsoft.com/office/drawing/2014/main" id="{00000000-0008-0000-0300-000056000000}"/>
              </a:ext>
            </a:extLst>
          </xdr:cNvPr>
          <xdr:cNvSpPr/>
        </xdr:nvSpPr>
        <xdr:spPr>
          <a:xfrm>
            <a:off x="11430000" y="5524500"/>
            <a:ext cx="24765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1FAF7"/>
          </a:solidFill>
          <a:ln w="9525" cap="flat">
            <a:solidFill>
              <a:srgbClr val="B0DCCF"/>
            </a:solidFill>
            <a:round/>
          </a:ln>
        </xdr:spPr>
        <xdr:txBody>
          <a:bodyPr vertOverflow="overflow" horzOverflow="overflow" wrap="square" lIns="76200" tIns="228600" rIns="76200" bIns="38100" rtlCol="0" anchor="t">
            <a:noAutofit/>
          </a:bodyPr>
          <a:lstStyle/>
          <a:p>
            <a:pPr algn="l">
              <a:lnSpc>
                <a:spcPct val="100000"/>
              </a:lnSpc>
            </a:pPr>
            <a:r>
              <a:rPr lang="ja-JP" altLang="en-US" sz="800" b="0" dirty="0">
                <a:solidFill>
                  <a:srgbClr val="404040"/>
                </a:solidFill>
                <a:latin typeface="Meiryo UI"/>
                <a:ea typeface="Meiryo UI"/>
                <a:cs typeface="Meiryo UI"/>
              </a:rPr>
              <a:t>社内からは閉域（Direct Connect）経由のみ</a:t>
            </a:r>
            <a:endParaRPr lang="ja-JP" altLang="en-US" sz="800" dirty="0">
              <a:latin typeface="Meiryo UI"/>
              <a:ea typeface="Meiryo UI"/>
            </a:endParaRPr>
          </a:p>
          <a:p>
            <a:pPr algn="l">
              <a:lnSpc>
                <a:spcPct val="100000"/>
              </a:lnSpc>
              <a:spcBef>
                <a:spcPts val="100"/>
              </a:spcBef>
            </a:pPr>
            <a:r>
              <a:rPr lang="ja-JP" altLang="en-US" sz="800" b="0" dirty="0">
                <a:solidFill>
                  <a:srgbClr val="404040"/>
                </a:solidFill>
                <a:latin typeface="Meiryo UI"/>
                <a:ea typeface="Meiryo UI"/>
                <a:cs typeface="Meiryo UI"/>
              </a:rPr>
              <a:t>社内向け画面はインターネットに公開しない</a:t>
            </a:r>
            <a:endParaRPr lang="ja-JP" altLang="en-US" sz="800" dirty="0">
              <a:latin typeface="Meiryo UI"/>
              <a:ea typeface="Meiryo UI"/>
            </a:endParaRPr>
          </a:p>
        </xdr:txBody>
      </xdr:sp>
      <xdr:sp macro="" textlink="">
        <xdr:nvSpPr>
          <xdr:cNvPr id="87" name="見出し">
            <a:extLst>
              <a:ext uri="{FF2B5EF4-FFF2-40B4-BE49-F238E27FC236}">
                <a16:creationId xmlns:a16="http://schemas.microsoft.com/office/drawing/2014/main" id="{00000000-0008-0000-0300-000057000000}"/>
              </a:ext>
            </a:extLst>
          </xdr:cNvPr>
          <xdr:cNvSpPr/>
        </xdr:nvSpPr>
        <xdr:spPr>
          <a:xfrm>
            <a:off x="11430000" y="5524500"/>
            <a:ext cx="2476500" cy="190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247966"/>
          </a:solidFill>
          <a:ln w="9525" cap="flat">
            <a:solidFill>
              <a:srgbClr val="247966"/>
            </a:solidFill>
            <a:round/>
          </a:ln>
        </xdr:spPr>
        <xdr:txBody>
          <a:bodyPr vertOverflow="overflow" horzOverflow="overflow" wrap="none" lIns="76200" tIns="0" rIns="76200" bIns="0" rtlCol="0" anchor="ctr">
            <a:noAutofit/>
          </a:bodyPr>
          <a:lstStyle/>
          <a:p>
            <a:pPr algn="l"/>
            <a:r>
              <a:rPr lang="ja-JP" altLang="en-US" sz="750" b="1" dirty="0">
                <a:solidFill>
                  <a:srgbClr val="FFFFFF"/>
                </a:solidFill>
                <a:latin typeface="Meiryo UI"/>
                <a:ea typeface="Meiryo UI"/>
                <a:cs typeface="Meiryo UI"/>
              </a:rPr>
              <a:t>POINT</a:t>
            </a:r>
            <a:r>
              <a:rPr lang="ja-JP" altLang="en-US" sz="800" b="1" dirty="0">
                <a:solidFill>
                  <a:srgbClr val="FFFFFF"/>
                </a:solidFill>
                <a:latin typeface="Meiryo UI"/>
                <a:ea typeface="Meiryo UI"/>
                <a:cs typeface="Meiryo UI"/>
              </a:rPr>
              <a:t>　社内（イントラ）連携</a:t>
            </a:r>
            <a:endParaRPr lang="ja-JP" altLang="en-US" sz="800" dirty="0">
              <a:latin typeface="Meiryo UI"/>
              <a:ea typeface="Meiryo UI"/>
            </a:endParaRPr>
          </a:p>
        </xdr:txBody>
      </xdr:sp>
    </xdr:grpSp>
    <xdr:clientData/>
  </xdr:twoCellAnchor>
  <xdr:twoCellAnchor editAs="oneCell">
    <xdr:from>
      <xdr:col>60</xdr:col>
      <xdr:colOff>0</xdr:colOff>
      <xdr:row>35</xdr:row>
      <xdr:rowOff>0</xdr:rowOff>
    </xdr:from>
    <xdr:to>
      <xdr:col>73</xdr:col>
      <xdr:colOff>0</xdr:colOff>
      <xdr:row>39</xdr:row>
      <xdr:rowOff>0</xdr:rowOff>
    </xdr:to>
    <xdr:grpSp>
      <xdr:nvGrpSpPr>
        <xdr:cNvPr id="91" name="コメント: ポイントC">
          <a:extLst>
            <a:ext uri="{FF2B5EF4-FFF2-40B4-BE49-F238E27FC236}">
              <a16:creationId xmlns:a16="http://schemas.microsoft.com/office/drawing/2014/main" id="{00000000-0008-0000-0300-00005B000000}"/>
            </a:ext>
          </a:extLst>
        </xdr:cNvPr>
        <xdr:cNvGrpSpPr/>
      </xdr:nvGrpSpPr>
      <xdr:grpSpPr>
        <a:xfrm>
          <a:off x="11430000" y="6667500"/>
          <a:ext cx="2476500" cy="762000"/>
          <a:chOff x="11430000" y="6667500"/>
          <a:chExt cx="2476500" cy="762000"/>
        </a:xfrm>
      </xdr:grpSpPr>
      <xdr:sp macro="" textlink="">
        <xdr:nvSpPr>
          <xdr:cNvPr id="89" name="本文">
            <a:extLst>
              <a:ext uri="{FF2B5EF4-FFF2-40B4-BE49-F238E27FC236}">
                <a16:creationId xmlns:a16="http://schemas.microsoft.com/office/drawing/2014/main" id="{00000000-0008-0000-0300-000059000000}"/>
              </a:ext>
            </a:extLst>
          </xdr:cNvPr>
          <xdr:cNvSpPr/>
        </xdr:nvSpPr>
        <xdr:spPr>
          <a:xfrm>
            <a:off x="11430000" y="6667500"/>
            <a:ext cx="24765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EF6F2"/>
          </a:solidFill>
          <a:ln w="9525" cap="flat">
            <a:solidFill>
              <a:srgbClr val="EEC8B5"/>
            </a:solidFill>
            <a:round/>
          </a:ln>
        </xdr:spPr>
        <xdr:txBody>
          <a:bodyPr vertOverflow="overflow" horzOverflow="overflow" wrap="square" lIns="76200" tIns="228600" rIns="76200" bIns="38100" rtlCol="0" anchor="t">
            <a:noAutofit/>
          </a:bodyPr>
          <a:lstStyle/>
          <a:p>
            <a:pPr algn="l">
              <a:lnSpc>
                <a:spcPct val="100000"/>
              </a:lnSpc>
            </a:pPr>
            <a:r>
              <a:rPr lang="ja-JP" altLang="en-US" sz="800" b="0" dirty="0">
                <a:solidFill>
                  <a:srgbClr val="404040"/>
                </a:solidFill>
                <a:latin typeface="Meiryo UI"/>
                <a:ea typeface="Meiryo UI"/>
                <a:cs typeface="Meiryo UI"/>
              </a:rPr>
              <a:t>外部公開は CloudFront＋WAF 経由に限定</a:t>
            </a:r>
            <a:endParaRPr lang="ja-JP" altLang="en-US" sz="800" dirty="0">
              <a:latin typeface="Meiryo UI"/>
              <a:ea typeface="Meiryo UI"/>
            </a:endParaRPr>
          </a:p>
          <a:p>
            <a:pPr algn="l">
              <a:lnSpc>
                <a:spcPct val="100000"/>
              </a:lnSpc>
              <a:spcBef>
                <a:spcPts val="100"/>
              </a:spcBef>
            </a:pPr>
            <a:r>
              <a:rPr lang="ja-JP" altLang="en-US" sz="800" b="0" dirty="0">
                <a:solidFill>
                  <a:srgbClr val="404040"/>
                </a:solidFill>
                <a:latin typeface="Meiryo UI"/>
                <a:ea typeface="Meiryo UI"/>
                <a:cs typeface="Meiryo UI"/>
              </a:rPr>
              <a:t>ログインは Cognito、API はレート制限</a:t>
            </a:r>
            <a:endParaRPr lang="ja-JP" altLang="en-US" sz="800" dirty="0">
              <a:latin typeface="Meiryo UI"/>
              <a:ea typeface="Meiryo UI"/>
            </a:endParaRPr>
          </a:p>
        </xdr:txBody>
      </xdr:sp>
      <xdr:sp macro="" textlink="">
        <xdr:nvSpPr>
          <xdr:cNvPr id="90" name="見出し">
            <a:extLst>
              <a:ext uri="{FF2B5EF4-FFF2-40B4-BE49-F238E27FC236}">
                <a16:creationId xmlns:a16="http://schemas.microsoft.com/office/drawing/2014/main" id="{00000000-0008-0000-0300-00005A000000}"/>
              </a:ext>
            </a:extLst>
          </xdr:cNvPr>
          <xdr:cNvSpPr/>
        </xdr:nvSpPr>
        <xdr:spPr>
          <a:xfrm>
            <a:off x="11430000" y="6667500"/>
            <a:ext cx="2476500" cy="190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C46B39"/>
          </a:solidFill>
          <a:ln w="9525" cap="flat">
            <a:solidFill>
              <a:srgbClr val="C46B39"/>
            </a:solidFill>
            <a:round/>
          </a:ln>
        </xdr:spPr>
        <xdr:txBody>
          <a:bodyPr vertOverflow="overflow" horzOverflow="overflow" wrap="none" lIns="76200" tIns="0" rIns="76200" bIns="0" rtlCol="0" anchor="ctr">
            <a:noAutofit/>
          </a:bodyPr>
          <a:lstStyle/>
          <a:p>
            <a:pPr algn="l"/>
            <a:r>
              <a:rPr lang="ja-JP" altLang="en-US" sz="750" b="1" dirty="0">
                <a:solidFill>
                  <a:srgbClr val="FFFFFF"/>
                </a:solidFill>
                <a:latin typeface="Meiryo UI"/>
                <a:ea typeface="Meiryo UI"/>
                <a:cs typeface="Meiryo UI"/>
              </a:rPr>
              <a:t>POINT</a:t>
            </a:r>
            <a:r>
              <a:rPr lang="ja-JP" altLang="en-US" sz="800" b="1" dirty="0">
                <a:solidFill>
                  <a:srgbClr val="FFFFFF"/>
                </a:solidFill>
                <a:latin typeface="Meiryo UI"/>
                <a:ea typeface="Meiryo UI"/>
                <a:cs typeface="Meiryo UI"/>
              </a:rPr>
              <a:t>　外部連携</a:t>
            </a:r>
            <a:endParaRPr lang="ja-JP" altLang="en-US" sz="800" dirty="0">
              <a:latin typeface="Meiryo UI"/>
              <a:ea typeface="Meiryo UI"/>
            </a:endParaRPr>
          </a:p>
        </xdr:txBody>
      </xdr:sp>
    </xdr:grpSp>
    <xdr:clientData/>
  </xdr:twoCellAnchor>
  <xdr:twoCellAnchor editAs="oneCell">
    <xdr:from>
      <xdr:col>16</xdr:col>
      <xdr:colOff>0</xdr:colOff>
      <xdr:row>29</xdr:row>
      <xdr:rowOff>95250</xdr:rowOff>
    </xdr:from>
    <xdr:to>
      <xdr:col>26</xdr:col>
      <xdr:colOff>0</xdr:colOff>
      <xdr:row>32</xdr:row>
      <xdr:rowOff>0</xdr:rowOff>
    </xdr:to>
    <xdr:sp macro="" textlink="">
      <xdr:nvSpPr>
        <xdr:cNvPr id="92" name="コメント: 吹き出しB">
          <a:extLst>
            <a:ext uri="{FF2B5EF4-FFF2-40B4-BE49-F238E27FC236}">
              <a16:creationId xmlns:a16="http://schemas.microsoft.com/office/drawing/2014/main" id="{00000000-0008-0000-0300-00005C000000}"/>
            </a:ext>
          </a:extLst>
        </xdr:cNvPr>
        <xdr:cNvSpPr/>
      </xdr:nvSpPr>
      <xdr:spPr>
        <a:xfrm>
          <a:off x="3048000" y="5619750"/>
          <a:ext cx="1905000" cy="476250"/>
        </a:xfrm>
        <a:prstGeom prst="wedgeRoundRectCallout">
          <a:avLst>
            <a:gd name="adj1" fmla="val 0"/>
            <a:gd name="adj2" fmla="val -90000"/>
            <a:gd name="adj3" fmla="val 16667"/>
          </a:avLst>
        </a:prstGeom>
        <a:solidFill>
          <a:srgbClr val="FFFFFF"/>
        </a:solidFill>
        <a:ln w="12700" cap="flat">
          <a:solidFill>
            <a:srgbClr val="247966"/>
          </a:solidFill>
          <a:round/>
        </a:ln>
      </xdr:spPr>
      <xdr:txBody>
        <a:bodyPr vertOverflow="overflow" horzOverflow="overflow" wrap="square" lIns="63500" tIns="25400" rIns="63500" bIns="25400" rtlCol="0" anchor="ctr">
          <a:noAutofit/>
        </a:bodyPr>
        <a:lstStyle/>
        <a:p>
          <a:pPr algn="l"/>
          <a:r>
            <a:rPr lang="ja-JP" altLang="en-US" sz="800" b="0" dirty="0">
              <a:solidFill>
                <a:srgbClr val="404040"/>
              </a:solidFill>
              <a:latin typeface="Meiryo UI"/>
              <a:ea typeface="Meiryo UI"/>
              <a:cs typeface="Meiryo UI"/>
            </a:rPr>
            <a:t>1Gbps×2回線（冗長構成）</a:t>
          </a:r>
          <a:endParaRPr lang="ja-JP" altLang="en-US" sz="800" dirty="0">
            <a:latin typeface="Meiryo UI"/>
            <a:ea typeface="Meiryo UI"/>
          </a:endParaRPr>
        </a:p>
      </xdr:txBody>
    </xdr:sp>
    <xdr:clientData/>
  </xdr:twoCellAnchor>
  <xdr:twoCellAnchor editAs="oneCell">
    <xdr:from>
      <xdr:col>64</xdr:col>
      <xdr:colOff>0</xdr:colOff>
      <xdr:row>18</xdr:row>
      <xdr:rowOff>0</xdr:rowOff>
    </xdr:from>
    <xdr:to>
      <xdr:col>73</xdr:col>
      <xdr:colOff>0</xdr:colOff>
      <xdr:row>21</xdr:row>
      <xdr:rowOff>95250</xdr:rowOff>
    </xdr:to>
    <xdr:grpSp>
      <xdr:nvGrpSpPr>
        <xdr:cNvPr id="95" name="コメント: 付記">
          <a:extLst>
            <a:ext uri="{FF2B5EF4-FFF2-40B4-BE49-F238E27FC236}">
              <a16:creationId xmlns:a16="http://schemas.microsoft.com/office/drawing/2014/main" id="{00000000-0008-0000-0300-00005F000000}"/>
            </a:ext>
          </a:extLst>
        </xdr:cNvPr>
        <xdr:cNvGrpSpPr/>
      </xdr:nvGrpSpPr>
      <xdr:grpSpPr>
        <a:xfrm>
          <a:off x="12192000" y="3429000"/>
          <a:ext cx="1714500" cy="662940"/>
          <a:chOff x="12192000" y="3429000"/>
          <a:chExt cx="1714500" cy="666750"/>
        </a:xfrm>
      </xdr:grpSpPr>
      <xdr:sp macro="" textlink="">
        <xdr:nvSpPr>
          <xdr:cNvPr id="93" name="本文">
            <a:extLst>
              <a:ext uri="{FF2B5EF4-FFF2-40B4-BE49-F238E27FC236}">
                <a16:creationId xmlns:a16="http://schemas.microsoft.com/office/drawing/2014/main" id="{00000000-0008-0000-0300-00005D000000}"/>
              </a:ext>
            </a:extLst>
          </xdr:cNvPr>
          <xdr:cNvSpPr/>
        </xdr:nvSpPr>
        <xdr:spPr>
          <a:xfrm>
            <a:off x="12192000" y="3429000"/>
            <a:ext cx="1714500" cy="66675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7F7F7"/>
          </a:solidFill>
          <a:ln>
            <a:noFill/>
          </a:ln>
        </xdr:spPr>
        <xdr:txBody>
          <a:bodyPr vertOverflow="overflow" horzOverflow="overflow" wrap="square" lIns="114300" tIns="50800" rIns="76200" bIns="38100" rtlCol="0" anchor="t">
            <a:noAutofit/>
          </a:bodyPr>
          <a:lstStyle/>
          <a:p>
            <a:pPr algn="l"/>
            <a:r>
              <a:rPr lang="ja-JP" altLang="en-US" sz="800" b="1" dirty="0">
                <a:solidFill>
                  <a:srgbClr val="262626"/>
                </a:solidFill>
                <a:latin typeface="Meiryo UI"/>
                <a:ea typeface="Meiryo UI"/>
                <a:cs typeface="Meiryo UI"/>
              </a:rPr>
              <a:t>付記</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業務DBは全ルート共通</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更新は業務アプリと取込処理のみ</a:t>
            </a:r>
            <a:endParaRPr lang="ja-JP" altLang="en-US" sz="800" dirty="0">
              <a:latin typeface="Meiryo UI"/>
              <a:ea typeface="Meiryo UI"/>
            </a:endParaRPr>
          </a:p>
        </xdr:txBody>
      </xdr:sp>
      <xdr:sp macro="" textlink="">
        <xdr:nvSpPr>
          <xdr:cNvPr id="94" name="左ライン">
            <a:extLst>
              <a:ext uri="{FF2B5EF4-FFF2-40B4-BE49-F238E27FC236}">
                <a16:creationId xmlns:a16="http://schemas.microsoft.com/office/drawing/2014/main" id="{00000000-0008-0000-0300-00005E000000}"/>
              </a:ext>
            </a:extLst>
          </xdr:cNvPr>
          <xdr:cNvSpPr/>
        </xdr:nvSpPr>
        <xdr:spPr>
          <a:xfrm>
            <a:off x="12192000" y="3429000"/>
            <a:ext cx="38100" cy="666750"/>
          </a:xfrm>
          <a:prstGeom prst="rect">
            <a:avLst/>
          </a:prstGeom>
          <a:solidFill>
            <a:srgbClr val="404040"/>
          </a:solidFill>
          <a:ln>
            <a:noFill/>
          </a:ln>
        </xdr:spPr>
        <xdr:txBody>
          <a:bodyPr vertOverflow="overflow" horzOverflow="overflow" wrap="square" lIns="38100" tIns="19050" rIns="38100" bIns="19050" rtlCol="0" anchor="ctr">
            <a:noAutofit/>
          </a:bodyPr>
          <a:lstStyle/>
          <a:p>
            <a:pPr algn="l"/>
            <a:endParaRPr lang="ja-JP" altLang="en-US" sz="600" dirty="0">
              <a:latin typeface="Meiryo UI"/>
              <a:ea typeface="Meiryo UI"/>
            </a:endParaRPr>
          </a:p>
        </xdr:txBody>
      </xdr:sp>
    </xdr:grpSp>
    <xdr:clientData/>
  </xdr:twoCellAnchor>
  <xdr:twoCellAnchor editAs="oneCell">
    <xdr:from>
      <xdr:col>52</xdr:col>
      <xdr:colOff>0</xdr:colOff>
      <xdr:row>42</xdr:row>
      <xdr:rowOff>95250</xdr:rowOff>
    </xdr:from>
    <xdr:to>
      <xdr:col>74</xdr:col>
      <xdr:colOff>0</xdr:colOff>
      <xdr:row>48</xdr:row>
      <xdr:rowOff>95250</xdr:rowOff>
    </xdr:to>
    <xdr:sp macro="" textlink="">
      <xdr:nvSpPr>
        <xdr:cNvPr id="96" name="注記">
          <a:extLst>
            <a:ext uri="{FF2B5EF4-FFF2-40B4-BE49-F238E27FC236}">
              <a16:creationId xmlns:a16="http://schemas.microsoft.com/office/drawing/2014/main" id="{00000000-0008-0000-0300-000060000000}"/>
            </a:ext>
          </a:extLst>
        </xdr:cNvPr>
        <xdr:cNvSpPr/>
      </xdr:nvSpPr>
      <xdr:spPr>
        <a:xfrm>
          <a:off x="9906000" y="8096250"/>
          <a:ext cx="4191000" cy="1143000"/>
        </a:xfrm>
        <a:prstGeom prst="rect">
          <a:avLst/>
        </a:prstGeom>
        <a:solidFill>
          <a:srgbClr val="FFFFFF"/>
        </a:solidFill>
        <a:ln w="9525" cap="flat">
          <a:solidFill>
            <a:srgbClr val="A6A6A6"/>
          </a:solidFill>
          <a:round/>
        </a:ln>
      </xdr:spPr>
      <xdr:txBody>
        <a:bodyPr vertOverflow="overflow" horzOverflow="overflow" wrap="square" lIns="63500" tIns="38100" rIns="63500" bIns="38100" rtlCol="0" anchor="t">
          <a:noAutofit/>
        </a:bodyPr>
        <a:lstStyle/>
        <a:p>
          <a:pPr algn="l"/>
          <a:r>
            <a:rPr lang="ja-JP" altLang="en-US" sz="850" b="1" dirty="0">
              <a:solidFill>
                <a:srgbClr val="262626"/>
              </a:solidFill>
              <a:latin typeface="Meiryo UI"/>
              <a:ea typeface="Meiryo UI"/>
              <a:cs typeface="Meiryo UI"/>
            </a:rPr>
            <a:t>注記</a:t>
          </a:r>
          <a:endParaRPr lang="ja-JP" altLang="en-US" sz="850" dirty="0">
            <a:latin typeface="Meiryo UI"/>
            <a:ea typeface="Meiryo UI"/>
          </a:endParaRPr>
        </a:p>
        <a:p>
          <a:pPr algn="l">
            <a:spcBef>
              <a:spcPts val="150"/>
            </a:spcBef>
          </a:pPr>
          <a:r>
            <a:rPr lang="ja-JP" altLang="en-US" sz="750" b="0" dirty="0">
              <a:solidFill>
                <a:srgbClr val="404040"/>
              </a:solidFill>
              <a:latin typeface="Meiryo UI"/>
              <a:ea typeface="Meiryo UI"/>
              <a:cs typeface="Meiryo UI"/>
            </a:rPr>
            <a:t>1. 連携の詳細は「連携一覧」、ノードの詳細は「構成要素一覧」を参照</a:t>
          </a:r>
          <a:endParaRPr lang="ja-JP" altLang="en-US" sz="750" dirty="0">
            <a:latin typeface="Meiryo UI"/>
            <a:ea typeface="Meiryo UI"/>
          </a:endParaRPr>
        </a:p>
        <a:p>
          <a:pPr algn="l">
            <a:spcBef>
              <a:spcPts val="150"/>
            </a:spcBef>
          </a:pPr>
          <a:r>
            <a:rPr lang="ja-JP" altLang="en-US" sz="750" b="0" dirty="0">
              <a:solidFill>
                <a:srgbClr val="404040"/>
              </a:solidFill>
              <a:latin typeface="Meiryo UI"/>
              <a:ea typeface="Meiryo UI"/>
              <a:cs typeface="Meiryo UI"/>
            </a:rPr>
            <a:t>2. 監視（CloudWatch）は全リソースが対象（線は代表のみ記載）</a:t>
          </a:r>
          <a:endParaRPr lang="ja-JP" altLang="en-US" sz="750" dirty="0">
            <a:latin typeface="Meiryo UI"/>
            <a:ea typeface="Meiryo UI"/>
          </a:endParaRPr>
        </a:p>
        <a:p>
          <a:pPr algn="l">
            <a:spcBef>
              <a:spcPts val="150"/>
            </a:spcBef>
          </a:pPr>
          <a:r>
            <a:rPr lang="ja-JP" altLang="en-US" sz="750" b="0" dirty="0">
              <a:solidFill>
                <a:srgbClr val="404040"/>
              </a:solidFill>
              <a:latin typeface="Meiryo UI"/>
              <a:ea typeface="Meiryo UI"/>
              <a:cs typeface="Meiryo UI"/>
            </a:rPr>
            <a:t>3. 色＝ルート（表紙で定義）、線の種類＝連携方式</a:t>
          </a:r>
          <a:endParaRPr lang="ja-JP" altLang="en-US" sz="750" dirty="0">
            <a:latin typeface="Meiryo UI"/>
            <a:ea typeface="Meiryo UI"/>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0</xdr:colOff>
      <xdr:row>7</xdr:row>
      <xdr:rowOff>0</xdr:rowOff>
    </xdr:from>
    <xdr:to>
      <xdr:col>12</xdr:col>
      <xdr:colOff>0</xdr:colOff>
      <xdr:row>11</xdr:row>
      <xdr:rowOff>0</xdr:rowOff>
    </xdr:to>
    <xdr:sp macro="" textlink="">
      <xdr:nvSpPr>
        <xdr:cNvPr id="299" name="ガイド: 接続点の見本（8×4）">
          <a:extLst>
            <a:ext uri="{FF2B5EF4-FFF2-40B4-BE49-F238E27FC236}">
              <a16:creationId xmlns:a16="http://schemas.microsoft.com/office/drawing/2014/main" id="{1EB690C5-2FA9-4EE0-8883-53F634D99883}"/>
            </a:ext>
          </a:extLst>
        </xdr:cNvPr>
        <xdr:cNvSpPr/>
      </xdr:nvSpPr>
      <xdr:spPr>
        <a:xfrm>
          <a:off x="762000" y="13335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2700" cap="flat">
          <a:solidFill>
            <a:srgbClr val="404040"/>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 8×4マス</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接続点16か所</a:t>
          </a:r>
          <a:endParaRPr lang="ja-JP" altLang="en-US" sz="750" dirty="0">
            <a:latin typeface="Meiryo UI"/>
            <a:ea typeface="Meiryo UI"/>
          </a:endParaRPr>
        </a:p>
      </xdr:txBody>
    </xdr:sp>
    <xdr:clientData/>
  </xdr:twoCellAnchor>
  <xdr:twoCellAnchor editAs="oneCell">
    <xdr:from>
      <xdr:col>3</xdr:col>
      <xdr:colOff>152400</xdr:colOff>
      <xdr:row>6</xdr:row>
      <xdr:rowOff>152400</xdr:rowOff>
    </xdr:from>
    <xdr:to>
      <xdr:col>4</xdr:col>
      <xdr:colOff>38100</xdr:colOff>
      <xdr:row>7</xdr:row>
      <xdr:rowOff>38100</xdr:rowOff>
    </xdr:to>
    <xdr:sp macro="" textlink="">
      <xdr:nvSpPr>
        <xdr:cNvPr id="300" name="ガイド: 接続点1">
          <a:extLst>
            <a:ext uri="{FF2B5EF4-FFF2-40B4-BE49-F238E27FC236}">
              <a16:creationId xmlns:a16="http://schemas.microsoft.com/office/drawing/2014/main" id="{98FA0018-16EA-47F6-B6BD-B954524A8B63}"/>
            </a:ext>
          </a:extLst>
        </xdr:cNvPr>
        <xdr:cNvSpPr/>
      </xdr:nvSpPr>
      <xdr:spPr>
        <a:xfrm>
          <a:off x="723900" y="1295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2</xdr:col>
      <xdr:colOff>182400</xdr:colOff>
      <xdr:row>5</xdr:row>
      <xdr:rowOff>133350</xdr:rowOff>
    </xdr:from>
    <xdr:to>
      <xdr:col>4</xdr:col>
      <xdr:colOff>30000</xdr:colOff>
      <xdr:row>6</xdr:row>
      <xdr:rowOff>114300</xdr:rowOff>
    </xdr:to>
    <xdr:sp macro="" textlink="">
      <xdr:nvSpPr>
        <xdr:cNvPr id="301" name="ガイド: 番号1">
          <a:extLst>
            <a:ext uri="{FF2B5EF4-FFF2-40B4-BE49-F238E27FC236}">
              <a16:creationId xmlns:a16="http://schemas.microsoft.com/office/drawing/2014/main" id="{DE41C08E-A07C-4D09-BF44-8C08B46DB077}"/>
            </a:ext>
          </a:extLst>
        </xdr:cNvPr>
        <xdr:cNvSpPr/>
      </xdr:nvSpPr>
      <xdr:spPr>
        <a:xfrm>
          <a:off x="563400" y="108585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750" b="1" dirty="0">
              <a:solidFill>
                <a:srgbClr val="262626"/>
              </a:solidFill>
              <a:latin typeface="Meiryo UI"/>
              <a:ea typeface="Meiryo UI"/>
              <a:cs typeface="Meiryo UI"/>
            </a:rPr>
            <a:t>1</a:t>
          </a:r>
          <a:endParaRPr lang="ja-JP" altLang="en-US" sz="750" dirty="0">
            <a:latin typeface="Meiryo UI"/>
            <a:ea typeface="Meiryo UI"/>
          </a:endParaRPr>
        </a:p>
      </xdr:txBody>
    </xdr:sp>
    <xdr:clientData/>
  </xdr:twoCellAnchor>
  <xdr:twoCellAnchor editAs="oneCell">
    <xdr:from>
      <xdr:col>5</xdr:col>
      <xdr:colOff>152400</xdr:colOff>
      <xdr:row>6</xdr:row>
      <xdr:rowOff>152400</xdr:rowOff>
    </xdr:from>
    <xdr:to>
      <xdr:col>6</xdr:col>
      <xdr:colOff>38100</xdr:colOff>
      <xdr:row>7</xdr:row>
      <xdr:rowOff>38100</xdr:rowOff>
    </xdr:to>
    <xdr:sp macro="" textlink="">
      <xdr:nvSpPr>
        <xdr:cNvPr id="302" name="ガイド: 接続点2">
          <a:extLst>
            <a:ext uri="{FF2B5EF4-FFF2-40B4-BE49-F238E27FC236}">
              <a16:creationId xmlns:a16="http://schemas.microsoft.com/office/drawing/2014/main" id="{950A5D1D-5930-4A82-8BFF-45BF98DCA071}"/>
            </a:ext>
          </a:extLst>
        </xdr:cNvPr>
        <xdr:cNvSpPr/>
      </xdr:nvSpPr>
      <xdr:spPr>
        <a:xfrm>
          <a:off x="1104900" y="1295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5</xdr:col>
      <xdr:colOff>76200</xdr:colOff>
      <xdr:row>5</xdr:row>
      <xdr:rowOff>133350</xdr:rowOff>
    </xdr:from>
    <xdr:to>
      <xdr:col>6</xdr:col>
      <xdr:colOff>114300</xdr:colOff>
      <xdr:row>6</xdr:row>
      <xdr:rowOff>114300</xdr:rowOff>
    </xdr:to>
    <xdr:sp macro="" textlink="">
      <xdr:nvSpPr>
        <xdr:cNvPr id="303" name="ガイド: 番号2">
          <a:extLst>
            <a:ext uri="{FF2B5EF4-FFF2-40B4-BE49-F238E27FC236}">
              <a16:creationId xmlns:a16="http://schemas.microsoft.com/office/drawing/2014/main" id="{71924711-3D3D-41D7-A136-2C472F57A78F}"/>
            </a:ext>
          </a:extLst>
        </xdr:cNvPr>
        <xdr:cNvSpPr/>
      </xdr:nvSpPr>
      <xdr:spPr>
        <a:xfrm>
          <a:off x="1028700" y="108585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750" b="1" dirty="0">
              <a:solidFill>
                <a:srgbClr val="262626"/>
              </a:solidFill>
              <a:latin typeface="Meiryo UI"/>
              <a:ea typeface="Meiryo UI"/>
              <a:cs typeface="Meiryo UI"/>
            </a:rPr>
            <a:t>2</a:t>
          </a:r>
          <a:endParaRPr lang="ja-JP" altLang="en-US" sz="750" dirty="0">
            <a:latin typeface="Meiryo UI"/>
            <a:ea typeface="Meiryo UI"/>
          </a:endParaRPr>
        </a:p>
      </xdr:txBody>
    </xdr:sp>
    <xdr:clientData/>
  </xdr:twoCellAnchor>
  <xdr:twoCellAnchor editAs="oneCell">
    <xdr:from>
      <xdr:col>7</xdr:col>
      <xdr:colOff>152400</xdr:colOff>
      <xdr:row>6</xdr:row>
      <xdr:rowOff>152400</xdr:rowOff>
    </xdr:from>
    <xdr:to>
      <xdr:col>8</xdr:col>
      <xdr:colOff>38100</xdr:colOff>
      <xdr:row>7</xdr:row>
      <xdr:rowOff>38100</xdr:rowOff>
    </xdr:to>
    <xdr:sp macro="" textlink="">
      <xdr:nvSpPr>
        <xdr:cNvPr id="304" name="ガイド: 接続点3">
          <a:extLst>
            <a:ext uri="{FF2B5EF4-FFF2-40B4-BE49-F238E27FC236}">
              <a16:creationId xmlns:a16="http://schemas.microsoft.com/office/drawing/2014/main" id="{18F4386C-4A3D-4B02-A3CD-CB093646E383}"/>
            </a:ext>
          </a:extLst>
        </xdr:cNvPr>
        <xdr:cNvSpPr/>
      </xdr:nvSpPr>
      <xdr:spPr>
        <a:xfrm>
          <a:off x="1485900" y="1295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7</xdr:col>
      <xdr:colOff>76200</xdr:colOff>
      <xdr:row>5</xdr:row>
      <xdr:rowOff>133350</xdr:rowOff>
    </xdr:from>
    <xdr:to>
      <xdr:col>8</xdr:col>
      <xdr:colOff>114300</xdr:colOff>
      <xdr:row>6</xdr:row>
      <xdr:rowOff>114300</xdr:rowOff>
    </xdr:to>
    <xdr:sp macro="" textlink="">
      <xdr:nvSpPr>
        <xdr:cNvPr id="305" name="ガイド: 番号3">
          <a:extLst>
            <a:ext uri="{FF2B5EF4-FFF2-40B4-BE49-F238E27FC236}">
              <a16:creationId xmlns:a16="http://schemas.microsoft.com/office/drawing/2014/main" id="{2329FA61-797F-4CF9-B323-7C10DD1ACED4}"/>
            </a:ext>
          </a:extLst>
        </xdr:cNvPr>
        <xdr:cNvSpPr/>
      </xdr:nvSpPr>
      <xdr:spPr>
        <a:xfrm>
          <a:off x="1409700" y="108585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750" b="1" dirty="0">
              <a:solidFill>
                <a:srgbClr val="262626"/>
              </a:solidFill>
              <a:latin typeface="Meiryo UI"/>
              <a:ea typeface="Meiryo UI"/>
              <a:cs typeface="Meiryo UI"/>
            </a:rPr>
            <a:t>3</a:t>
          </a:r>
          <a:endParaRPr lang="ja-JP" altLang="en-US" sz="750" dirty="0">
            <a:latin typeface="Meiryo UI"/>
            <a:ea typeface="Meiryo UI"/>
          </a:endParaRPr>
        </a:p>
      </xdr:txBody>
    </xdr:sp>
    <xdr:clientData/>
  </xdr:twoCellAnchor>
  <xdr:twoCellAnchor editAs="oneCell">
    <xdr:from>
      <xdr:col>9</xdr:col>
      <xdr:colOff>152400</xdr:colOff>
      <xdr:row>6</xdr:row>
      <xdr:rowOff>152400</xdr:rowOff>
    </xdr:from>
    <xdr:to>
      <xdr:col>10</xdr:col>
      <xdr:colOff>38100</xdr:colOff>
      <xdr:row>7</xdr:row>
      <xdr:rowOff>38100</xdr:rowOff>
    </xdr:to>
    <xdr:sp macro="" textlink="">
      <xdr:nvSpPr>
        <xdr:cNvPr id="306" name="ガイド: 接続点4">
          <a:extLst>
            <a:ext uri="{FF2B5EF4-FFF2-40B4-BE49-F238E27FC236}">
              <a16:creationId xmlns:a16="http://schemas.microsoft.com/office/drawing/2014/main" id="{F331B39E-2FF1-4E08-9C13-3DB7D868B6BA}"/>
            </a:ext>
          </a:extLst>
        </xdr:cNvPr>
        <xdr:cNvSpPr/>
      </xdr:nvSpPr>
      <xdr:spPr>
        <a:xfrm>
          <a:off x="1866900" y="1295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9</xdr:col>
      <xdr:colOff>76200</xdr:colOff>
      <xdr:row>5</xdr:row>
      <xdr:rowOff>133350</xdr:rowOff>
    </xdr:from>
    <xdr:to>
      <xdr:col>10</xdr:col>
      <xdr:colOff>114300</xdr:colOff>
      <xdr:row>6</xdr:row>
      <xdr:rowOff>114300</xdr:rowOff>
    </xdr:to>
    <xdr:sp macro="" textlink="">
      <xdr:nvSpPr>
        <xdr:cNvPr id="307" name="ガイド: 番号4">
          <a:extLst>
            <a:ext uri="{FF2B5EF4-FFF2-40B4-BE49-F238E27FC236}">
              <a16:creationId xmlns:a16="http://schemas.microsoft.com/office/drawing/2014/main" id="{40419EA7-2697-43DA-A645-D2892D56BB6F}"/>
            </a:ext>
          </a:extLst>
        </xdr:cNvPr>
        <xdr:cNvSpPr/>
      </xdr:nvSpPr>
      <xdr:spPr>
        <a:xfrm>
          <a:off x="1790700" y="108585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750" b="1" dirty="0">
              <a:solidFill>
                <a:srgbClr val="262626"/>
              </a:solidFill>
              <a:latin typeface="Meiryo UI"/>
              <a:ea typeface="Meiryo UI"/>
              <a:cs typeface="Meiryo UI"/>
            </a:rPr>
            <a:t>4</a:t>
          </a:r>
          <a:endParaRPr lang="ja-JP" altLang="en-US" sz="750" dirty="0">
            <a:latin typeface="Meiryo UI"/>
            <a:ea typeface="Meiryo UI"/>
          </a:endParaRPr>
        </a:p>
      </xdr:txBody>
    </xdr:sp>
    <xdr:clientData/>
  </xdr:twoCellAnchor>
  <xdr:twoCellAnchor editAs="oneCell">
    <xdr:from>
      <xdr:col>11</xdr:col>
      <xdr:colOff>152400</xdr:colOff>
      <xdr:row>6</xdr:row>
      <xdr:rowOff>152400</xdr:rowOff>
    </xdr:from>
    <xdr:to>
      <xdr:col>12</xdr:col>
      <xdr:colOff>38100</xdr:colOff>
      <xdr:row>7</xdr:row>
      <xdr:rowOff>38100</xdr:rowOff>
    </xdr:to>
    <xdr:sp macro="" textlink="">
      <xdr:nvSpPr>
        <xdr:cNvPr id="308" name="ガイド: 接続点5">
          <a:extLst>
            <a:ext uri="{FF2B5EF4-FFF2-40B4-BE49-F238E27FC236}">
              <a16:creationId xmlns:a16="http://schemas.microsoft.com/office/drawing/2014/main" id="{9403B2A9-6317-4DC4-B243-CC24BA595BF6}"/>
            </a:ext>
          </a:extLst>
        </xdr:cNvPr>
        <xdr:cNvSpPr/>
      </xdr:nvSpPr>
      <xdr:spPr>
        <a:xfrm>
          <a:off x="2247900" y="1295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11</xdr:col>
      <xdr:colOff>160500</xdr:colOff>
      <xdr:row>5</xdr:row>
      <xdr:rowOff>133350</xdr:rowOff>
    </xdr:from>
    <xdr:to>
      <xdr:col>13</xdr:col>
      <xdr:colOff>8100</xdr:colOff>
      <xdr:row>6</xdr:row>
      <xdr:rowOff>114300</xdr:rowOff>
    </xdr:to>
    <xdr:sp macro="" textlink="">
      <xdr:nvSpPr>
        <xdr:cNvPr id="309" name="ガイド: 番号5">
          <a:extLst>
            <a:ext uri="{FF2B5EF4-FFF2-40B4-BE49-F238E27FC236}">
              <a16:creationId xmlns:a16="http://schemas.microsoft.com/office/drawing/2014/main" id="{5F32BEB6-DCCF-47C8-AE13-D4B289D4C82E}"/>
            </a:ext>
          </a:extLst>
        </xdr:cNvPr>
        <xdr:cNvSpPr/>
      </xdr:nvSpPr>
      <xdr:spPr>
        <a:xfrm>
          <a:off x="2256000" y="108585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750" b="1" dirty="0">
              <a:solidFill>
                <a:srgbClr val="262626"/>
              </a:solidFill>
              <a:latin typeface="Meiryo UI"/>
              <a:ea typeface="Meiryo UI"/>
              <a:cs typeface="Meiryo UI"/>
            </a:rPr>
            <a:t>5</a:t>
          </a:r>
          <a:endParaRPr lang="ja-JP" altLang="en-US" sz="750" dirty="0">
            <a:latin typeface="Meiryo UI"/>
            <a:ea typeface="Meiryo UI"/>
          </a:endParaRPr>
        </a:p>
      </xdr:txBody>
    </xdr:sp>
    <xdr:clientData/>
  </xdr:twoCellAnchor>
  <xdr:twoCellAnchor editAs="oneCell">
    <xdr:from>
      <xdr:col>11</xdr:col>
      <xdr:colOff>152400</xdr:colOff>
      <xdr:row>7</xdr:row>
      <xdr:rowOff>152400</xdr:rowOff>
    </xdr:from>
    <xdr:to>
      <xdr:col>12</xdr:col>
      <xdr:colOff>38100</xdr:colOff>
      <xdr:row>8</xdr:row>
      <xdr:rowOff>38100</xdr:rowOff>
    </xdr:to>
    <xdr:sp macro="" textlink="">
      <xdr:nvSpPr>
        <xdr:cNvPr id="310" name="ガイド: 接続点6">
          <a:extLst>
            <a:ext uri="{FF2B5EF4-FFF2-40B4-BE49-F238E27FC236}">
              <a16:creationId xmlns:a16="http://schemas.microsoft.com/office/drawing/2014/main" id="{EA5D4AC1-A3E6-4E2B-A8C1-015BC8B2A0CE}"/>
            </a:ext>
          </a:extLst>
        </xdr:cNvPr>
        <xdr:cNvSpPr/>
      </xdr:nvSpPr>
      <xdr:spPr>
        <a:xfrm>
          <a:off x="2247900" y="14859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12</xdr:col>
      <xdr:colOff>76200</xdr:colOff>
      <xdr:row>7</xdr:row>
      <xdr:rowOff>104775</xdr:rowOff>
    </xdr:from>
    <xdr:to>
      <xdr:col>13</xdr:col>
      <xdr:colOff>114300</xdr:colOff>
      <xdr:row>8</xdr:row>
      <xdr:rowOff>85725</xdr:rowOff>
    </xdr:to>
    <xdr:sp macro="" textlink="">
      <xdr:nvSpPr>
        <xdr:cNvPr id="311" name="ガイド: 番号6">
          <a:extLst>
            <a:ext uri="{FF2B5EF4-FFF2-40B4-BE49-F238E27FC236}">
              <a16:creationId xmlns:a16="http://schemas.microsoft.com/office/drawing/2014/main" id="{104E4B64-D81F-4A96-924A-15F8901CB39B}"/>
            </a:ext>
          </a:extLst>
        </xdr:cNvPr>
        <xdr:cNvSpPr/>
      </xdr:nvSpPr>
      <xdr:spPr>
        <a:xfrm>
          <a:off x="2362200" y="1438275"/>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750" b="1" dirty="0">
              <a:solidFill>
                <a:srgbClr val="262626"/>
              </a:solidFill>
              <a:latin typeface="Meiryo UI"/>
              <a:ea typeface="Meiryo UI"/>
              <a:cs typeface="Meiryo UI"/>
            </a:rPr>
            <a:t>6</a:t>
          </a:r>
          <a:endParaRPr lang="ja-JP" altLang="en-US" sz="750" dirty="0">
            <a:latin typeface="Meiryo UI"/>
            <a:ea typeface="Meiryo UI"/>
          </a:endParaRPr>
        </a:p>
      </xdr:txBody>
    </xdr:sp>
    <xdr:clientData/>
  </xdr:twoCellAnchor>
  <xdr:twoCellAnchor editAs="oneCell">
    <xdr:from>
      <xdr:col>11</xdr:col>
      <xdr:colOff>152400</xdr:colOff>
      <xdr:row>8</xdr:row>
      <xdr:rowOff>152400</xdr:rowOff>
    </xdr:from>
    <xdr:to>
      <xdr:col>12</xdr:col>
      <xdr:colOff>38100</xdr:colOff>
      <xdr:row>9</xdr:row>
      <xdr:rowOff>38100</xdr:rowOff>
    </xdr:to>
    <xdr:sp macro="" textlink="">
      <xdr:nvSpPr>
        <xdr:cNvPr id="312" name="ガイド: 接続点7">
          <a:extLst>
            <a:ext uri="{FF2B5EF4-FFF2-40B4-BE49-F238E27FC236}">
              <a16:creationId xmlns:a16="http://schemas.microsoft.com/office/drawing/2014/main" id="{E56C7C1A-757A-4A05-A215-DD6DA9F728DD}"/>
            </a:ext>
          </a:extLst>
        </xdr:cNvPr>
        <xdr:cNvSpPr/>
      </xdr:nvSpPr>
      <xdr:spPr>
        <a:xfrm>
          <a:off x="2247900" y="1676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12</xdr:col>
      <xdr:colOff>76200</xdr:colOff>
      <xdr:row>8</xdr:row>
      <xdr:rowOff>104775</xdr:rowOff>
    </xdr:from>
    <xdr:to>
      <xdr:col>13</xdr:col>
      <xdr:colOff>114300</xdr:colOff>
      <xdr:row>9</xdr:row>
      <xdr:rowOff>85725</xdr:rowOff>
    </xdr:to>
    <xdr:sp macro="" textlink="">
      <xdr:nvSpPr>
        <xdr:cNvPr id="313" name="ガイド: 番号7">
          <a:extLst>
            <a:ext uri="{FF2B5EF4-FFF2-40B4-BE49-F238E27FC236}">
              <a16:creationId xmlns:a16="http://schemas.microsoft.com/office/drawing/2014/main" id="{D5A834EC-FD1E-4F03-8536-91CF079AFB2A}"/>
            </a:ext>
          </a:extLst>
        </xdr:cNvPr>
        <xdr:cNvSpPr/>
      </xdr:nvSpPr>
      <xdr:spPr>
        <a:xfrm>
          <a:off x="2362200" y="1628775"/>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750" b="1" dirty="0">
              <a:solidFill>
                <a:srgbClr val="262626"/>
              </a:solidFill>
              <a:latin typeface="Meiryo UI"/>
              <a:ea typeface="Meiryo UI"/>
              <a:cs typeface="Meiryo UI"/>
            </a:rPr>
            <a:t>7</a:t>
          </a:r>
          <a:endParaRPr lang="ja-JP" altLang="en-US" sz="750" dirty="0">
            <a:latin typeface="Meiryo UI"/>
            <a:ea typeface="Meiryo UI"/>
          </a:endParaRPr>
        </a:p>
      </xdr:txBody>
    </xdr:sp>
    <xdr:clientData/>
  </xdr:twoCellAnchor>
  <xdr:twoCellAnchor editAs="oneCell">
    <xdr:from>
      <xdr:col>11</xdr:col>
      <xdr:colOff>152400</xdr:colOff>
      <xdr:row>9</xdr:row>
      <xdr:rowOff>152400</xdr:rowOff>
    </xdr:from>
    <xdr:to>
      <xdr:col>12</xdr:col>
      <xdr:colOff>38100</xdr:colOff>
      <xdr:row>10</xdr:row>
      <xdr:rowOff>38100</xdr:rowOff>
    </xdr:to>
    <xdr:sp macro="" textlink="">
      <xdr:nvSpPr>
        <xdr:cNvPr id="314" name="ガイド: 接続点8">
          <a:extLst>
            <a:ext uri="{FF2B5EF4-FFF2-40B4-BE49-F238E27FC236}">
              <a16:creationId xmlns:a16="http://schemas.microsoft.com/office/drawing/2014/main" id="{A4F0AB61-A9D5-4F36-A407-70D7618BF307}"/>
            </a:ext>
          </a:extLst>
        </xdr:cNvPr>
        <xdr:cNvSpPr/>
      </xdr:nvSpPr>
      <xdr:spPr>
        <a:xfrm>
          <a:off x="2247900" y="18669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12</xdr:col>
      <xdr:colOff>76200</xdr:colOff>
      <xdr:row>9</xdr:row>
      <xdr:rowOff>104775</xdr:rowOff>
    </xdr:from>
    <xdr:to>
      <xdr:col>13</xdr:col>
      <xdr:colOff>114300</xdr:colOff>
      <xdr:row>10</xdr:row>
      <xdr:rowOff>85725</xdr:rowOff>
    </xdr:to>
    <xdr:sp macro="" textlink="">
      <xdr:nvSpPr>
        <xdr:cNvPr id="315" name="ガイド: 番号8">
          <a:extLst>
            <a:ext uri="{FF2B5EF4-FFF2-40B4-BE49-F238E27FC236}">
              <a16:creationId xmlns:a16="http://schemas.microsoft.com/office/drawing/2014/main" id="{027F6259-3AD7-444F-BF0C-68F7B657F0C6}"/>
            </a:ext>
          </a:extLst>
        </xdr:cNvPr>
        <xdr:cNvSpPr/>
      </xdr:nvSpPr>
      <xdr:spPr>
        <a:xfrm>
          <a:off x="2362200" y="1819275"/>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750" b="1" dirty="0">
              <a:solidFill>
                <a:srgbClr val="262626"/>
              </a:solidFill>
              <a:latin typeface="Meiryo UI"/>
              <a:ea typeface="Meiryo UI"/>
              <a:cs typeface="Meiryo UI"/>
            </a:rPr>
            <a:t>8</a:t>
          </a:r>
          <a:endParaRPr lang="ja-JP" altLang="en-US" sz="750" dirty="0">
            <a:latin typeface="Meiryo UI"/>
            <a:ea typeface="Meiryo UI"/>
          </a:endParaRPr>
        </a:p>
      </xdr:txBody>
    </xdr:sp>
    <xdr:clientData/>
  </xdr:twoCellAnchor>
  <xdr:twoCellAnchor editAs="oneCell">
    <xdr:from>
      <xdr:col>11</xdr:col>
      <xdr:colOff>152400</xdr:colOff>
      <xdr:row>10</xdr:row>
      <xdr:rowOff>152400</xdr:rowOff>
    </xdr:from>
    <xdr:to>
      <xdr:col>12</xdr:col>
      <xdr:colOff>38100</xdr:colOff>
      <xdr:row>11</xdr:row>
      <xdr:rowOff>38100</xdr:rowOff>
    </xdr:to>
    <xdr:sp macro="" textlink="">
      <xdr:nvSpPr>
        <xdr:cNvPr id="316" name="ガイド: 接続点9">
          <a:extLst>
            <a:ext uri="{FF2B5EF4-FFF2-40B4-BE49-F238E27FC236}">
              <a16:creationId xmlns:a16="http://schemas.microsoft.com/office/drawing/2014/main" id="{2E75E6F9-1D52-4B5E-8D32-4EBB31C0BAC3}"/>
            </a:ext>
          </a:extLst>
        </xdr:cNvPr>
        <xdr:cNvSpPr/>
      </xdr:nvSpPr>
      <xdr:spPr>
        <a:xfrm>
          <a:off x="2247900" y="2057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11</xdr:col>
      <xdr:colOff>160500</xdr:colOff>
      <xdr:row>11</xdr:row>
      <xdr:rowOff>76200</xdr:rowOff>
    </xdr:from>
    <xdr:to>
      <xdr:col>13</xdr:col>
      <xdr:colOff>8100</xdr:colOff>
      <xdr:row>12</xdr:row>
      <xdr:rowOff>57150</xdr:rowOff>
    </xdr:to>
    <xdr:sp macro="" textlink="">
      <xdr:nvSpPr>
        <xdr:cNvPr id="317" name="ガイド: 番号9">
          <a:extLst>
            <a:ext uri="{FF2B5EF4-FFF2-40B4-BE49-F238E27FC236}">
              <a16:creationId xmlns:a16="http://schemas.microsoft.com/office/drawing/2014/main" id="{10D8C90C-3800-4851-9EF3-1E7ED8269305}"/>
            </a:ext>
          </a:extLst>
        </xdr:cNvPr>
        <xdr:cNvSpPr/>
      </xdr:nvSpPr>
      <xdr:spPr>
        <a:xfrm>
          <a:off x="2256000" y="217170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750" b="1" dirty="0">
              <a:solidFill>
                <a:srgbClr val="262626"/>
              </a:solidFill>
              <a:latin typeface="Meiryo UI"/>
              <a:ea typeface="Meiryo UI"/>
              <a:cs typeface="Meiryo UI"/>
            </a:rPr>
            <a:t>9</a:t>
          </a:r>
          <a:endParaRPr lang="ja-JP" altLang="en-US" sz="750" dirty="0">
            <a:latin typeface="Meiryo UI"/>
            <a:ea typeface="Meiryo UI"/>
          </a:endParaRPr>
        </a:p>
      </xdr:txBody>
    </xdr:sp>
    <xdr:clientData/>
  </xdr:twoCellAnchor>
  <xdr:twoCellAnchor editAs="oneCell">
    <xdr:from>
      <xdr:col>9</xdr:col>
      <xdr:colOff>152400</xdr:colOff>
      <xdr:row>10</xdr:row>
      <xdr:rowOff>152400</xdr:rowOff>
    </xdr:from>
    <xdr:to>
      <xdr:col>10</xdr:col>
      <xdr:colOff>38100</xdr:colOff>
      <xdr:row>11</xdr:row>
      <xdr:rowOff>38100</xdr:rowOff>
    </xdr:to>
    <xdr:sp macro="" textlink="">
      <xdr:nvSpPr>
        <xdr:cNvPr id="318" name="ガイド: 接続点10">
          <a:extLst>
            <a:ext uri="{FF2B5EF4-FFF2-40B4-BE49-F238E27FC236}">
              <a16:creationId xmlns:a16="http://schemas.microsoft.com/office/drawing/2014/main" id="{460EE469-7E4D-4024-BBD8-9BA83AD9D36B}"/>
            </a:ext>
          </a:extLst>
        </xdr:cNvPr>
        <xdr:cNvSpPr/>
      </xdr:nvSpPr>
      <xdr:spPr>
        <a:xfrm>
          <a:off x="1866900" y="2057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9</xdr:col>
      <xdr:colOff>76200</xdr:colOff>
      <xdr:row>11</xdr:row>
      <xdr:rowOff>76200</xdr:rowOff>
    </xdr:from>
    <xdr:to>
      <xdr:col>10</xdr:col>
      <xdr:colOff>114300</xdr:colOff>
      <xdr:row>12</xdr:row>
      <xdr:rowOff>57150</xdr:rowOff>
    </xdr:to>
    <xdr:sp macro="" textlink="">
      <xdr:nvSpPr>
        <xdr:cNvPr id="319" name="ガイド: 番号10">
          <a:extLst>
            <a:ext uri="{FF2B5EF4-FFF2-40B4-BE49-F238E27FC236}">
              <a16:creationId xmlns:a16="http://schemas.microsoft.com/office/drawing/2014/main" id="{0267F813-0B21-4924-B193-8149B4430890}"/>
            </a:ext>
          </a:extLst>
        </xdr:cNvPr>
        <xdr:cNvSpPr/>
      </xdr:nvSpPr>
      <xdr:spPr>
        <a:xfrm>
          <a:off x="1790700" y="217170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750" b="1" dirty="0">
              <a:solidFill>
                <a:srgbClr val="262626"/>
              </a:solidFill>
              <a:latin typeface="Meiryo UI"/>
              <a:ea typeface="Meiryo UI"/>
              <a:cs typeface="Meiryo UI"/>
            </a:rPr>
            <a:t>10</a:t>
          </a:r>
          <a:endParaRPr lang="ja-JP" altLang="en-US" sz="750" dirty="0">
            <a:latin typeface="Meiryo UI"/>
            <a:ea typeface="Meiryo UI"/>
          </a:endParaRPr>
        </a:p>
      </xdr:txBody>
    </xdr:sp>
    <xdr:clientData/>
  </xdr:twoCellAnchor>
  <xdr:twoCellAnchor editAs="oneCell">
    <xdr:from>
      <xdr:col>7</xdr:col>
      <xdr:colOff>152400</xdr:colOff>
      <xdr:row>10</xdr:row>
      <xdr:rowOff>152400</xdr:rowOff>
    </xdr:from>
    <xdr:to>
      <xdr:col>8</xdr:col>
      <xdr:colOff>38100</xdr:colOff>
      <xdr:row>11</xdr:row>
      <xdr:rowOff>38100</xdr:rowOff>
    </xdr:to>
    <xdr:sp macro="" textlink="">
      <xdr:nvSpPr>
        <xdr:cNvPr id="320" name="ガイド: 接続点11">
          <a:extLst>
            <a:ext uri="{FF2B5EF4-FFF2-40B4-BE49-F238E27FC236}">
              <a16:creationId xmlns:a16="http://schemas.microsoft.com/office/drawing/2014/main" id="{7D198BAF-4DDE-4BF4-B20B-5B3CA0E523F4}"/>
            </a:ext>
          </a:extLst>
        </xdr:cNvPr>
        <xdr:cNvSpPr/>
      </xdr:nvSpPr>
      <xdr:spPr>
        <a:xfrm>
          <a:off x="1485900" y="2057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7</xdr:col>
      <xdr:colOff>76200</xdr:colOff>
      <xdr:row>11</xdr:row>
      <xdr:rowOff>76200</xdr:rowOff>
    </xdr:from>
    <xdr:to>
      <xdr:col>8</xdr:col>
      <xdr:colOff>114300</xdr:colOff>
      <xdr:row>12</xdr:row>
      <xdr:rowOff>57150</xdr:rowOff>
    </xdr:to>
    <xdr:sp macro="" textlink="">
      <xdr:nvSpPr>
        <xdr:cNvPr id="321" name="ガイド: 番号11">
          <a:extLst>
            <a:ext uri="{FF2B5EF4-FFF2-40B4-BE49-F238E27FC236}">
              <a16:creationId xmlns:a16="http://schemas.microsoft.com/office/drawing/2014/main" id="{46A8ACC2-A2A5-426C-BF34-17030C7D4019}"/>
            </a:ext>
          </a:extLst>
        </xdr:cNvPr>
        <xdr:cNvSpPr/>
      </xdr:nvSpPr>
      <xdr:spPr>
        <a:xfrm>
          <a:off x="1409700" y="217170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750" b="1" dirty="0">
              <a:solidFill>
                <a:srgbClr val="262626"/>
              </a:solidFill>
              <a:latin typeface="Meiryo UI"/>
              <a:ea typeface="Meiryo UI"/>
              <a:cs typeface="Meiryo UI"/>
            </a:rPr>
            <a:t>11</a:t>
          </a:r>
          <a:endParaRPr lang="ja-JP" altLang="en-US" sz="750" dirty="0">
            <a:latin typeface="Meiryo UI"/>
            <a:ea typeface="Meiryo UI"/>
          </a:endParaRPr>
        </a:p>
      </xdr:txBody>
    </xdr:sp>
    <xdr:clientData/>
  </xdr:twoCellAnchor>
  <xdr:twoCellAnchor editAs="oneCell">
    <xdr:from>
      <xdr:col>5</xdr:col>
      <xdr:colOff>152400</xdr:colOff>
      <xdr:row>10</xdr:row>
      <xdr:rowOff>152400</xdr:rowOff>
    </xdr:from>
    <xdr:to>
      <xdr:col>6</xdr:col>
      <xdr:colOff>38100</xdr:colOff>
      <xdr:row>11</xdr:row>
      <xdr:rowOff>38100</xdr:rowOff>
    </xdr:to>
    <xdr:sp macro="" textlink="">
      <xdr:nvSpPr>
        <xdr:cNvPr id="322" name="ガイド: 接続点12">
          <a:extLst>
            <a:ext uri="{FF2B5EF4-FFF2-40B4-BE49-F238E27FC236}">
              <a16:creationId xmlns:a16="http://schemas.microsoft.com/office/drawing/2014/main" id="{C29979C6-20C6-4DD9-B835-5C5E45B93B53}"/>
            </a:ext>
          </a:extLst>
        </xdr:cNvPr>
        <xdr:cNvSpPr/>
      </xdr:nvSpPr>
      <xdr:spPr>
        <a:xfrm>
          <a:off x="1104900" y="2057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5</xdr:col>
      <xdr:colOff>76200</xdr:colOff>
      <xdr:row>11</xdr:row>
      <xdr:rowOff>76200</xdr:rowOff>
    </xdr:from>
    <xdr:to>
      <xdr:col>6</xdr:col>
      <xdr:colOff>114300</xdr:colOff>
      <xdr:row>12</xdr:row>
      <xdr:rowOff>57150</xdr:rowOff>
    </xdr:to>
    <xdr:sp macro="" textlink="">
      <xdr:nvSpPr>
        <xdr:cNvPr id="323" name="ガイド: 番号12">
          <a:extLst>
            <a:ext uri="{FF2B5EF4-FFF2-40B4-BE49-F238E27FC236}">
              <a16:creationId xmlns:a16="http://schemas.microsoft.com/office/drawing/2014/main" id="{559FE5F2-3AD3-4673-887E-8B9FA2E3A778}"/>
            </a:ext>
          </a:extLst>
        </xdr:cNvPr>
        <xdr:cNvSpPr/>
      </xdr:nvSpPr>
      <xdr:spPr>
        <a:xfrm>
          <a:off x="1028700" y="217170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750" b="1" dirty="0">
              <a:solidFill>
                <a:srgbClr val="262626"/>
              </a:solidFill>
              <a:latin typeface="Meiryo UI"/>
              <a:ea typeface="Meiryo UI"/>
              <a:cs typeface="Meiryo UI"/>
            </a:rPr>
            <a:t>12</a:t>
          </a:r>
          <a:endParaRPr lang="ja-JP" altLang="en-US" sz="750" dirty="0">
            <a:latin typeface="Meiryo UI"/>
            <a:ea typeface="Meiryo UI"/>
          </a:endParaRPr>
        </a:p>
      </xdr:txBody>
    </xdr:sp>
    <xdr:clientData/>
  </xdr:twoCellAnchor>
  <xdr:twoCellAnchor editAs="oneCell">
    <xdr:from>
      <xdr:col>3</xdr:col>
      <xdr:colOff>152400</xdr:colOff>
      <xdr:row>10</xdr:row>
      <xdr:rowOff>152400</xdr:rowOff>
    </xdr:from>
    <xdr:to>
      <xdr:col>4</xdr:col>
      <xdr:colOff>38100</xdr:colOff>
      <xdr:row>11</xdr:row>
      <xdr:rowOff>38100</xdr:rowOff>
    </xdr:to>
    <xdr:sp macro="" textlink="">
      <xdr:nvSpPr>
        <xdr:cNvPr id="324" name="ガイド: 接続点13">
          <a:extLst>
            <a:ext uri="{FF2B5EF4-FFF2-40B4-BE49-F238E27FC236}">
              <a16:creationId xmlns:a16="http://schemas.microsoft.com/office/drawing/2014/main" id="{DB2CA7E7-E946-4EEC-ADE6-E1DF80A97630}"/>
            </a:ext>
          </a:extLst>
        </xdr:cNvPr>
        <xdr:cNvSpPr/>
      </xdr:nvSpPr>
      <xdr:spPr>
        <a:xfrm>
          <a:off x="723900" y="2057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2</xdr:col>
      <xdr:colOff>182400</xdr:colOff>
      <xdr:row>11</xdr:row>
      <xdr:rowOff>76200</xdr:rowOff>
    </xdr:from>
    <xdr:to>
      <xdr:col>4</xdr:col>
      <xdr:colOff>30000</xdr:colOff>
      <xdr:row>12</xdr:row>
      <xdr:rowOff>57150</xdr:rowOff>
    </xdr:to>
    <xdr:sp macro="" textlink="">
      <xdr:nvSpPr>
        <xdr:cNvPr id="325" name="ガイド: 番号13">
          <a:extLst>
            <a:ext uri="{FF2B5EF4-FFF2-40B4-BE49-F238E27FC236}">
              <a16:creationId xmlns:a16="http://schemas.microsoft.com/office/drawing/2014/main" id="{6F704D17-583D-4C41-8CC4-C87A7356537A}"/>
            </a:ext>
          </a:extLst>
        </xdr:cNvPr>
        <xdr:cNvSpPr/>
      </xdr:nvSpPr>
      <xdr:spPr>
        <a:xfrm>
          <a:off x="563400" y="2171700"/>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750" b="1" dirty="0">
              <a:solidFill>
                <a:srgbClr val="262626"/>
              </a:solidFill>
              <a:latin typeface="Meiryo UI"/>
              <a:ea typeface="Meiryo UI"/>
              <a:cs typeface="Meiryo UI"/>
            </a:rPr>
            <a:t>13</a:t>
          </a:r>
          <a:endParaRPr lang="ja-JP" altLang="en-US" sz="750" dirty="0">
            <a:latin typeface="Meiryo UI"/>
            <a:ea typeface="Meiryo UI"/>
          </a:endParaRPr>
        </a:p>
      </xdr:txBody>
    </xdr:sp>
    <xdr:clientData/>
  </xdr:twoCellAnchor>
  <xdr:twoCellAnchor editAs="oneCell">
    <xdr:from>
      <xdr:col>3</xdr:col>
      <xdr:colOff>152400</xdr:colOff>
      <xdr:row>9</xdr:row>
      <xdr:rowOff>152400</xdr:rowOff>
    </xdr:from>
    <xdr:to>
      <xdr:col>4</xdr:col>
      <xdr:colOff>38100</xdr:colOff>
      <xdr:row>10</xdr:row>
      <xdr:rowOff>38100</xdr:rowOff>
    </xdr:to>
    <xdr:sp macro="" textlink="">
      <xdr:nvSpPr>
        <xdr:cNvPr id="326" name="ガイド: 接続点14">
          <a:extLst>
            <a:ext uri="{FF2B5EF4-FFF2-40B4-BE49-F238E27FC236}">
              <a16:creationId xmlns:a16="http://schemas.microsoft.com/office/drawing/2014/main" id="{D25E5017-B95B-4EB3-BBF1-876D886769B8}"/>
            </a:ext>
          </a:extLst>
        </xdr:cNvPr>
        <xdr:cNvSpPr/>
      </xdr:nvSpPr>
      <xdr:spPr>
        <a:xfrm>
          <a:off x="723900" y="18669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2</xdr:col>
      <xdr:colOff>76200</xdr:colOff>
      <xdr:row>9</xdr:row>
      <xdr:rowOff>104775</xdr:rowOff>
    </xdr:from>
    <xdr:to>
      <xdr:col>3</xdr:col>
      <xdr:colOff>114300</xdr:colOff>
      <xdr:row>10</xdr:row>
      <xdr:rowOff>85725</xdr:rowOff>
    </xdr:to>
    <xdr:sp macro="" textlink="">
      <xdr:nvSpPr>
        <xdr:cNvPr id="327" name="ガイド: 番号14">
          <a:extLst>
            <a:ext uri="{FF2B5EF4-FFF2-40B4-BE49-F238E27FC236}">
              <a16:creationId xmlns:a16="http://schemas.microsoft.com/office/drawing/2014/main" id="{BAFBA77D-1E12-4AB5-827C-F160FD4A65EF}"/>
            </a:ext>
          </a:extLst>
        </xdr:cNvPr>
        <xdr:cNvSpPr/>
      </xdr:nvSpPr>
      <xdr:spPr>
        <a:xfrm>
          <a:off x="457200" y="1819275"/>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750" b="1" dirty="0">
              <a:solidFill>
                <a:srgbClr val="262626"/>
              </a:solidFill>
              <a:latin typeface="Meiryo UI"/>
              <a:ea typeface="Meiryo UI"/>
              <a:cs typeface="Meiryo UI"/>
            </a:rPr>
            <a:t>14</a:t>
          </a:r>
          <a:endParaRPr lang="ja-JP" altLang="en-US" sz="750" dirty="0">
            <a:latin typeface="Meiryo UI"/>
            <a:ea typeface="Meiryo UI"/>
          </a:endParaRPr>
        </a:p>
      </xdr:txBody>
    </xdr:sp>
    <xdr:clientData/>
  </xdr:twoCellAnchor>
  <xdr:twoCellAnchor editAs="oneCell">
    <xdr:from>
      <xdr:col>3</xdr:col>
      <xdr:colOff>152400</xdr:colOff>
      <xdr:row>8</xdr:row>
      <xdr:rowOff>152400</xdr:rowOff>
    </xdr:from>
    <xdr:to>
      <xdr:col>4</xdr:col>
      <xdr:colOff>38100</xdr:colOff>
      <xdr:row>9</xdr:row>
      <xdr:rowOff>38100</xdr:rowOff>
    </xdr:to>
    <xdr:sp macro="" textlink="">
      <xdr:nvSpPr>
        <xdr:cNvPr id="328" name="ガイド: 接続点15">
          <a:extLst>
            <a:ext uri="{FF2B5EF4-FFF2-40B4-BE49-F238E27FC236}">
              <a16:creationId xmlns:a16="http://schemas.microsoft.com/office/drawing/2014/main" id="{708BAC99-6E0D-4E16-9FEC-7F6EF8165A33}"/>
            </a:ext>
          </a:extLst>
        </xdr:cNvPr>
        <xdr:cNvSpPr/>
      </xdr:nvSpPr>
      <xdr:spPr>
        <a:xfrm>
          <a:off x="723900" y="16764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2</xdr:col>
      <xdr:colOff>76200</xdr:colOff>
      <xdr:row>8</xdr:row>
      <xdr:rowOff>104775</xdr:rowOff>
    </xdr:from>
    <xdr:to>
      <xdr:col>3</xdr:col>
      <xdr:colOff>114300</xdr:colOff>
      <xdr:row>9</xdr:row>
      <xdr:rowOff>85725</xdr:rowOff>
    </xdr:to>
    <xdr:sp macro="" textlink="">
      <xdr:nvSpPr>
        <xdr:cNvPr id="329" name="ガイド: 番号15">
          <a:extLst>
            <a:ext uri="{FF2B5EF4-FFF2-40B4-BE49-F238E27FC236}">
              <a16:creationId xmlns:a16="http://schemas.microsoft.com/office/drawing/2014/main" id="{8CBF2CCA-5920-489C-9F19-089F86BA7FCC}"/>
            </a:ext>
          </a:extLst>
        </xdr:cNvPr>
        <xdr:cNvSpPr/>
      </xdr:nvSpPr>
      <xdr:spPr>
        <a:xfrm>
          <a:off x="457200" y="1628775"/>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750" b="1" dirty="0">
              <a:solidFill>
                <a:srgbClr val="262626"/>
              </a:solidFill>
              <a:latin typeface="Meiryo UI"/>
              <a:ea typeface="Meiryo UI"/>
              <a:cs typeface="Meiryo UI"/>
            </a:rPr>
            <a:t>15</a:t>
          </a:r>
          <a:endParaRPr lang="ja-JP" altLang="en-US" sz="750" dirty="0">
            <a:latin typeface="Meiryo UI"/>
            <a:ea typeface="Meiryo UI"/>
          </a:endParaRPr>
        </a:p>
      </xdr:txBody>
    </xdr:sp>
    <xdr:clientData/>
  </xdr:twoCellAnchor>
  <xdr:twoCellAnchor editAs="oneCell">
    <xdr:from>
      <xdr:col>3</xdr:col>
      <xdr:colOff>152400</xdr:colOff>
      <xdr:row>7</xdr:row>
      <xdr:rowOff>152400</xdr:rowOff>
    </xdr:from>
    <xdr:to>
      <xdr:col>4</xdr:col>
      <xdr:colOff>38100</xdr:colOff>
      <xdr:row>8</xdr:row>
      <xdr:rowOff>38100</xdr:rowOff>
    </xdr:to>
    <xdr:sp macro="" textlink="">
      <xdr:nvSpPr>
        <xdr:cNvPr id="330" name="ガイド: 接続点16">
          <a:extLst>
            <a:ext uri="{FF2B5EF4-FFF2-40B4-BE49-F238E27FC236}">
              <a16:creationId xmlns:a16="http://schemas.microsoft.com/office/drawing/2014/main" id="{62475364-778E-4CA9-86F7-B697F64B3223}"/>
            </a:ext>
          </a:extLst>
        </xdr:cNvPr>
        <xdr:cNvSpPr/>
      </xdr:nvSpPr>
      <xdr:spPr>
        <a:xfrm>
          <a:off x="723900" y="1485900"/>
          <a:ext cx="76200" cy="76200"/>
        </a:xfrm>
        <a:prstGeom prst="ellipse">
          <a:avLst/>
        </a:prstGeom>
        <a:solidFill>
          <a:srgbClr val="7F7F7F"/>
        </a:solidFill>
        <a:ln w="6350" cap="flat">
          <a:solidFill>
            <a:srgbClr val="FFFFFF"/>
          </a:solidFill>
          <a:round/>
        </a:ln>
      </xdr:spPr>
      <xdr:txBody>
        <a:bodyPr vertOverflow="overflow" horzOverflow="overflow" wrap="square" lIns="38100" tIns="19050" rIns="38100" bIns="19050" rtlCol="0" anchor="ctr">
          <a:noAutofit/>
        </a:bodyPr>
        <a:lstStyle/>
        <a:p>
          <a:pPr algn="ctr"/>
          <a:endParaRPr lang="ja-JP" altLang="en-US" sz="500" dirty="0">
            <a:latin typeface="Meiryo UI"/>
            <a:ea typeface="Meiryo UI"/>
          </a:endParaRPr>
        </a:p>
      </xdr:txBody>
    </xdr:sp>
    <xdr:clientData/>
  </xdr:twoCellAnchor>
  <xdr:twoCellAnchor editAs="oneCell">
    <xdr:from>
      <xdr:col>2</xdr:col>
      <xdr:colOff>76200</xdr:colOff>
      <xdr:row>7</xdr:row>
      <xdr:rowOff>104775</xdr:rowOff>
    </xdr:from>
    <xdr:to>
      <xdr:col>3</xdr:col>
      <xdr:colOff>114300</xdr:colOff>
      <xdr:row>8</xdr:row>
      <xdr:rowOff>85725</xdr:rowOff>
    </xdr:to>
    <xdr:sp macro="" textlink="">
      <xdr:nvSpPr>
        <xdr:cNvPr id="331" name="ガイド: 番号16">
          <a:extLst>
            <a:ext uri="{FF2B5EF4-FFF2-40B4-BE49-F238E27FC236}">
              <a16:creationId xmlns:a16="http://schemas.microsoft.com/office/drawing/2014/main" id="{6E12E346-0E4C-4CF9-999A-6A6DFCC71B00}"/>
            </a:ext>
          </a:extLst>
        </xdr:cNvPr>
        <xdr:cNvSpPr/>
      </xdr:nvSpPr>
      <xdr:spPr>
        <a:xfrm>
          <a:off x="457200" y="1438275"/>
          <a:ext cx="228600" cy="171450"/>
        </a:xfrm>
        <a:prstGeom prst="rect">
          <a:avLst/>
        </a:prstGeom>
        <a:noFill/>
        <a:ln>
          <a:noFill/>
        </a:ln>
      </xdr:spPr>
      <xdr:txBody>
        <a:bodyPr vertOverflow="overflow" horzOverflow="overflow" wrap="none" lIns="0" tIns="0" rIns="0" bIns="0" rtlCol="0" anchor="ctr">
          <a:noAutofit/>
        </a:bodyPr>
        <a:lstStyle/>
        <a:p>
          <a:pPr algn="ctr"/>
          <a:r>
            <a:rPr lang="ja-JP" altLang="en-US" sz="750" b="1" dirty="0">
              <a:solidFill>
                <a:srgbClr val="262626"/>
              </a:solidFill>
              <a:latin typeface="Meiryo UI"/>
              <a:ea typeface="Meiryo UI"/>
              <a:cs typeface="Meiryo UI"/>
            </a:rPr>
            <a:t>16</a:t>
          </a:r>
          <a:endParaRPr lang="ja-JP" altLang="en-US" sz="750" dirty="0">
            <a:latin typeface="Meiryo UI"/>
            <a:ea typeface="Meiryo UI"/>
          </a:endParaRPr>
        </a:p>
      </xdr:txBody>
    </xdr:sp>
    <xdr:clientData/>
  </xdr:twoCellAnchor>
  <xdr:twoCellAnchor editAs="oneCell">
    <xdr:from>
      <xdr:col>11</xdr:col>
      <xdr:colOff>0</xdr:colOff>
      <xdr:row>20</xdr:row>
      <xdr:rowOff>0</xdr:rowOff>
    </xdr:from>
    <xdr:to>
      <xdr:col>19</xdr:col>
      <xdr:colOff>0</xdr:colOff>
      <xdr:row>24</xdr:row>
      <xdr:rowOff>0</xdr:rowOff>
    </xdr:to>
    <xdr:sp macro="" textlink="">
      <xdr:nvSpPr>
        <xdr:cNvPr id="332" name="ノード: 角丸・標準（共通）">
          <a:extLst>
            <a:ext uri="{FF2B5EF4-FFF2-40B4-BE49-F238E27FC236}">
              <a16:creationId xmlns:a16="http://schemas.microsoft.com/office/drawing/2014/main" id="{A0D902E5-2AE4-4111-9E4F-F03B08B25438}"/>
            </a:ext>
          </a:extLst>
        </xdr:cNvPr>
        <xdr:cNvSpPr/>
      </xdr:nvSpPr>
      <xdr:spPr>
        <a:xfrm>
          <a:off x="2095500" y="3810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2700" cap="flat">
          <a:solidFill>
            <a:srgbClr val="404040"/>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22</xdr:col>
      <xdr:colOff>0</xdr:colOff>
      <xdr:row>20</xdr:row>
      <xdr:rowOff>0</xdr:rowOff>
    </xdr:from>
    <xdr:to>
      <xdr:col>30</xdr:col>
      <xdr:colOff>0</xdr:colOff>
      <xdr:row>24</xdr:row>
      <xdr:rowOff>0</xdr:rowOff>
    </xdr:to>
    <xdr:sp macro="" textlink="">
      <xdr:nvSpPr>
        <xdr:cNvPr id="333" name="ノード: 角丸・標準（ルートA）">
          <a:extLst>
            <a:ext uri="{FF2B5EF4-FFF2-40B4-BE49-F238E27FC236}">
              <a16:creationId xmlns:a16="http://schemas.microsoft.com/office/drawing/2014/main" id="{0658B608-8674-4F5B-89D8-C0F779533F48}"/>
            </a:ext>
          </a:extLst>
        </xdr:cNvPr>
        <xdr:cNvSpPr/>
      </xdr:nvSpPr>
      <xdr:spPr>
        <a:xfrm>
          <a:off x="4191000" y="3810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E7F1FF"/>
        </a:solidFill>
        <a:ln w="15875" cap="flat">
          <a:solidFill>
            <a:srgbClr val="315C92"/>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33</xdr:col>
      <xdr:colOff>0</xdr:colOff>
      <xdr:row>20</xdr:row>
      <xdr:rowOff>0</xdr:rowOff>
    </xdr:from>
    <xdr:to>
      <xdr:col>41</xdr:col>
      <xdr:colOff>0</xdr:colOff>
      <xdr:row>24</xdr:row>
      <xdr:rowOff>0</xdr:rowOff>
    </xdr:to>
    <xdr:sp macro="" textlink="">
      <xdr:nvSpPr>
        <xdr:cNvPr id="334" name="ノード: 角丸・標準（ルートB）">
          <a:extLst>
            <a:ext uri="{FF2B5EF4-FFF2-40B4-BE49-F238E27FC236}">
              <a16:creationId xmlns:a16="http://schemas.microsoft.com/office/drawing/2014/main" id="{90E64D8F-F3D3-477B-A7F7-358AB35DADA2}"/>
            </a:ext>
          </a:extLst>
        </xdr:cNvPr>
        <xdr:cNvSpPr/>
      </xdr:nvSpPr>
      <xdr:spPr>
        <a:xfrm>
          <a:off x="6286500" y="3810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E3F5EF"/>
        </a:solidFill>
        <a:ln w="15875" cap="flat">
          <a:solidFill>
            <a:srgbClr val="24796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44</xdr:col>
      <xdr:colOff>0</xdr:colOff>
      <xdr:row>20</xdr:row>
      <xdr:rowOff>0</xdr:rowOff>
    </xdr:from>
    <xdr:to>
      <xdr:col>52</xdr:col>
      <xdr:colOff>0</xdr:colOff>
      <xdr:row>24</xdr:row>
      <xdr:rowOff>0</xdr:rowOff>
    </xdr:to>
    <xdr:sp macro="" textlink="">
      <xdr:nvSpPr>
        <xdr:cNvPr id="335" name="ノード: 角丸・標準（ルートC）">
          <a:extLst>
            <a:ext uri="{FF2B5EF4-FFF2-40B4-BE49-F238E27FC236}">
              <a16:creationId xmlns:a16="http://schemas.microsoft.com/office/drawing/2014/main" id="{C357A6E1-7938-43E0-AC3B-BE31C598A550}"/>
            </a:ext>
          </a:extLst>
        </xdr:cNvPr>
        <xdr:cNvSpPr/>
      </xdr:nvSpPr>
      <xdr:spPr>
        <a:xfrm>
          <a:off x="8382000" y="3810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DECE4"/>
        </a:solidFill>
        <a:ln w="15875" cap="flat">
          <a:solidFill>
            <a:srgbClr val="C46B39"/>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55</xdr:col>
      <xdr:colOff>0</xdr:colOff>
      <xdr:row>20</xdr:row>
      <xdr:rowOff>0</xdr:rowOff>
    </xdr:from>
    <xdr:to>
      <xdr:col>63</xdr:col>
      <xdr:colOff>0</xdr:colOff>
      <xdr:row>24</xdr:row>
      <xdr:rowOff>0</xdr:rowOff>
    </xdr:to>
    <xdr:sp macro="" textlink="">
      <xdr:nvSpPr>
        <xdr:cNvPr id="336" name="ノード: 角丸・標準（ルートD）">
          <a:extLst>
            <a:ext uri="{FF2B5EF4-FFF2-40B4-BE49-F238E27FC236}">
              <a16:creationId xmlns:a16="http://schemas.microsoft.com/office/drawing/2014/main" id="{8E9FA4D0-ED5E-4A39-807A-39B31A8A0F09}"/>
            </a:ext>
          </a:extLst>
        </xdr:cNvPr>
        <xdr:cNvSpPr/>
      </xdr:nvSpPr>
      <xdr:spPr>
        <a:xfrm>
          <a:off x="10477500" y="3810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5EEFC"/>
        </a:solidFill>
        <a:ln w="15875" cap="flat">
          <a:solidFill>
            <a:srgbClr val="876BA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66</xdr:col>
      <xdr:colOff>0</xdr:colOff>
      <xdr:row>20</xdr:row>
      <xdr:rowOff>0</xdr:rowOff>
    </xdr:from>
    <xdr:to>
      <xdr:col>74</xdr:col>
      <xdr:colOff>0</xdr:colOff>
      <xdr:row>24</xdr:row>
      <xdr:rowOff>0</xdr:rowOff>
    </xdr:to>
    <xdr:sp macro="" textlink="">
      <xdr:nvSpPr>
        <xdr:cNvPr id="337" name="ノード: 角丸・標準（ルートE）">
          <a:extLst>
            <a:ext uri="{FF2B5EF4-FFF2-40B4-BE49-F238E27FC236}">
              <a16:creationId xmlns:a16="http://schemas.microsoft.com/office/drawing/2014/main" id="{8D7706D9-79DD-4588-BB14-121AF5D5D9FE}"/>
            </a:ext>
          </a:extLst>
        </xdr:cNvPr>
        <xdr:cNvSpPr/>
      </xdr:nvSpPr>
      <xdr:spPr>
        <a:xfrm>
          <a:off x="12573000" y="3810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ECF0"/>
        </a:solidFill>
        <a:ln w="15875" cap="flat">
          <a:solidFill>
            <a:srgbClr val="B04B68"/>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77</xdr:col>
      <xdr:colOff>0</xdr:colOff>
      <xdr:row>20</xdr:row>
      <xdr:rowOff>0</xdr:rowOff>
    </xdr:from>
    <xdr:to>
      <xdr:col>85</xdr:col>
      <xdr:colOff>0</xdr:colOff>
      <xdr:row>24</xdr:row>
      <xdr:rowOff>0</xdr:rowOff>
    </xdr:to>
    <xdr:sp macro="" textlink="">
      <xdr:nvSpPr>
        <xdr:cNvPr id="338" name="ノード: 角丸・標準（ルートF）">
          <a:extLst>
            <a:ext uri="{FF2B5EF4-FFF2-40B4-BE49-F238E27FC236}">
              <a16:creationId xmlns:a16="http://schemas.microsoft.com/office/drawing/2014/main" id="{F4355CEF-2936-42B0-9320-A183433743B3}"/>
            </a:ext>
          </a:extLst>
        </xdr:cNvPr>
        <xdr:cNvSpPr/>
      </xdr:nvSpPr>
      <xdr:spPr>
        <a:xfrm>
          <a:off x="14668500" y="3810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4F1E2"/>
        </a:solidFill>
        <a:ln w="15875" cap="flat">
          <a:solidFill>
            <a:srgbClr val="6B651D"/>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11</xdr:col>
      <xdr:colOff>0</xdr:colOff>
      <xdr:row>26</xdr:row>
      <xdr:rowOff>0</xdr:rowOff>
    </xdr:from>
    <xdr:to>
      <xdr:col>19</xdr:col>
      <xdr:colOff>0</xdr:colOff>
      <xdr:row>30</xdr:row>
      <xdr:rowOff>0</xdr:rowOff>
    </xdr:to>
    <xdr:sp macro="" textlink="">
      <xdr:nvSpPr>
        <xdr:cNvPr id="339" name="ノード: 角丸・強調（共通）">
          <a:extLst>
            <a:ext uri="{FF2B5EF4-FFF2-40B4-BE49-F238E27FC236}">
              <a16:creationId xmlns:a16="http://schemas.microsoft.com/office/drawing/2014/main" id="{3ACA3D16-FE8C-498E-9FE4-D492142EBF5D}"/>
            </a:ext>
          </a:extLst>
        </xdr:cNvPr>
        <xdr:cNvSpPr/>
      </xdr:nvSpPr>
      <xdr:spPr>
        <a:xfrm>
          <a:off x="2095500" y="4953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404040"/>
        </a:solidFill>
        <a:ln w="15875" cap="flat">
          <a:solidFill>
            <a:srgbClr val="404040"/>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D9D9D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22</xdr:col>
      <xdr:colOff>0</xdr:colOff>
      <xdr:row>26</xdr:row>
      <xdr:rowOff>0</xdr:rowOff>
    </xdr:from>
    <xdr:to>
      <xdr:col>30</xdr:col>
      <xdr:colOff>0</xdr:colOff>
      <xdr:row>30</xdr:row>
      <xdr:rowOff>0</xdr:rowOff>
    </xdr:to>
    <xdr:sp macro="" textlink="">
      <xdr:nvSpPr>
        <xdr:cNvPr id="340" name="ノード: 角丸・強調（ルートA）">
          <a:extLst>
            <a:ext uri="{FF2B5EF4-FFF2-40B4-BE49-F238E27FC236}">
              <a16:creationId xmlns:a16="http://schemas.microsoft.com/office/drawing/2014/main" id="{324E98AE-6787-4C2D-BEBC-243D10518AD6}"/>
            </a:ext>
          </a:extLst>
        </xdr:cNvPr>
        <xdr:cNvSpPr/>
      </xdr:nvSpPr>
      <xdr:spPr>
        <a:xfrm>
          <a:off x="4191000" y="4953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315C92"/>
        </a:solidFill>
        <a:ln w="15875" cap="flat">
          <a:solidFill>
            <a:srgbClr val="315C92"/>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DBE9FC"/>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33</xdr:col>
      <xdr:colOff>0</xdr:colOff>
      <xdr:row>26</xdr:row>
      <xdr:rowOff>0</xdr:rowOff>
    </xdr:from>
    <xdr:to>
      <xdr:col>41</xdr:col>
      <xdr:colOff>0</xdr:colOff>
      <xdr:row>30</xdr:row>
      <xdr:rowOff>0</xdr:rowOff>
    </xdr:to>
    <xdr:sp macro="" textlink="">
      <xdr:nvSpPr>
        <xdr:cNvPr id="341" name="ノード: 角丸・強調（ルートB）">
          <a:extLst>
            <a:ext uri="{FF2B5EF4-FFF2-40B4-BE49-F238E27FC236}">
              <a16:creationId xmlns:a16="http://schemas.microsoft.com/office/drawing/2014/main" id="{02F61D5D-68A2-4EE1-88D4-A338CED8C60A}"/>
            </a:ext>
          </a:extLst>
        </xdr:cNvPr>
        <xdr:cNvSpPr/>
      </xdr:nvSpPr>
      <xdr:spPr>
        <a:xfrm>
          <a:off x="6286500" y="4953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247966"/>
        </a:solidFill>
        <a:ln w="15875" cap="flat">
          <a:solidFill>
            <a:srgbClr val="24796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D4EFE7"/>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44</xdr:col>
      <xdr:colOff>0</xdr:colOff>
      <xdr:row>26</xdr:row>
      <xdr:rowOff>0</xdr:rowOff>
    </xdr:from>
    <xdr:to>
      <xdr:col>52</xdr:col>
      <xdr:colOff>0</xdr:colOff>
      <xdr:row>30</xdr:row>
      <xdr:rowOff>0</xdr:rowOff>
    </xdr:to>
    <xdr:sp macro="" textlink="">
      <xdr:nvSpPr>
        <xdr:cNvPr id="342" name="ノード: 角丸・強調（ルートC）">
          <a:extLst>
            <a:ext uri="{FF2B5EF4-FFF2-40B4-BE49-F238E27FC236}">
              <a16:creationId xmlns:a16="http://schemas.microsoft.com/office/drawing/2014/main" id="{C67482DF-3C0F-4BC5-B23C-C71B7586A54B}"/>
            </a:ext>
          </a:extLst>
        </xdr:cNvPr>
        <xdr:cNvSpPr/>
      </xdr:nvSpPr>
      <xdr:spPr>
        <a:xfrm>
          <a:off x="8382000" y="4953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C46B39"/>
        </a:solidFill>
        <a:ln w="15875" cap="flat">
          <a:solidFill>
            <a:srgbClr val="C46B39"/>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FAE2D7"/>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55</xdr:col>
      <xdr:colOff>0</xdr:colOff>
      <xdr:row>26</xdr:row>
      <xdr:rowOff>0</xdr:rowOff>
    </xdr:from>
    <xdr:to>
      <xdr:col>63</xdr:col>
      <xdr:colOff>0</xdr:colOff>
      <xdr:row>30</xdr:row>
      <xdr:rowOff>0</xdr:rowOff>
    </xdr:to>
    <xdr:sp macro="" textlink="">
      <xdr:nvSpPr>
        <xdr:cNvPr id="343" name="ノード: 角丸・強調（ルートD）">
          <a:extLst>
            <a:ext uri="{FF2B5EF4-FFF2-40B4-BE49-F238E27FC236}">
              <a16:creationId xmlns:a16="http://schemas.microsoft.com/office/drawing/2014/main" id="{ED5595C3-C841-4ED3-BE9C-70EE64763160}"/>
            </a:ext>
          </a:extLst>
        </xdr:cNvPr>
        <xdr:cNvSpPr/>
      </xdr:nvSpPr>
      <xdr:spPr>
        <a:xfrm>
          <a:off x="10477500" y="4953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876BA6"/>
        </a:solidFill>
        <a:ln w="15875" cap="flat">
          <a:solidFill>
            <a:srgbClr val="876BA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EEE4F8"/>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66</xdr:col>
      <xdr:colOff>0</xdr:colOff>
      <xdr:row>26</xdr:row>
      <xdr:rowOff>0</xdr:rowOff>
    </xdr:from>
    <xdr:to>
      <xdr:col>74</xdr:col>
      <xdr:colOff>0</xdr:colOff>
      <xdr:row>30</xdr:row>
      <xdr:rowOff>0</xdr:rowOff>
    </xdr:to>
    <xdr:sp macro="" textlink="">
      <xdr:nvSpPr>
        <xdr:cNvPr id="344" name="ノード: 角丸・強調（ルートE）">
          <a:extLst>
            <a:ext uri="{FF2B5EF4-FFF2-40B4-BE49-F238E27FC236}">
              <a16:creationId xmlns:a16="http://schemas.microsoft.com/office/drawing/2014/main" id="{A01E1C51-0CB2-4044-909A-BA10ECC8BDAB}"/>
            </a:ext>
          </a:extLst>
        </xdr:cNvPr>
        <xdr:cNvSpPr/>
      </xdr:nvSpPr>
      <xdr:spPr>
        <a:xfrm>
          <a:off x="12573000" y="4953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B04B68"/>
        </a:solidFill>
        <a:ln w="15875" cap="flat">
          <a:solidFill>
            <a:srgbClr val="B04B68"/>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FDE1E7"/>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77</xdr:col>
      <xdr:colOff>0</xdr:colOff>
      <xdr:row>26</xdr:row>
      <xdr:rowOff>0</xdr:rowOff>
    </xdr:from>
    <xdr:to>
      <xdr:col>85</xdr:col>
      <xdr:colOff>0</xdr:colOff>
      <xdr:row>30</xdr:row>
      <xdr:rowOff>0</xdr:rowOff>
    </xdr:to>
    <xdr:sp macro="" textlink="">
      <xdr:nvSpPr>
        <xdr:cNvPr id="345" name="ノード: 角丸・強調（ルートF）">
          <a:extLst>
            <a:ext uri="{FF2B5EF4-FFF2-40B4-BE49-F238E27FC236}">
              <a16:creationId xmlns:a16="http://schemas.microsoft.com/office/drawing/2014/main" id="{2357A08E-E81F-4818-AFCD-C757E663323E}"/>
            </a:ext>
          </a:extLst>
        </xdr:cNvPr>
        <xdr:cNvSpPr/>
      </xdr:nvSpPr>
      <xdr:spPr>
        <a:xfrm>
          <a:off x="14668500" y="4953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6B651D"/>
        </a:solidFill>
        <a:ln w="15875" cap="flat">
          <a:solidFill>
            <a:srgbClr val="6B651D"/>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FFFFFF"/>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EDE8D4"/>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11</xdr:col>
      <xdr:colOff>0</xdr:colOff>
      <xdr:row>32</xdr:row>
      <xdr:rowOff>0</xdr:rowOff>
    </xdr:from>
    <xdr:to>
      <xdr:col>19</xdr:col>
      <xdr:colOff>0</xdr:colOff>
      <xdr:row>36</xdr:row>
      <xdr:rowOff>0</xdr:rowOff>
    </xdr:to>
    <xdr:sp macro="" textlink="">
      <xdr:nvSpPr>
        <xdr:cNvPr id="346" name="ノード: 四角・標準（共通）">
          <a:extLst>
            <a:ext uri="{FF2B5EF4-FFF2-40B4-BE49-F238E27FC236}">
              <a16:creationId xmlns:a16="http://schemas.microsoft.com/office/drawing/2014/main" id="{59F7098C-FE05-41D3-8878-06AB5D483ED0}"/>
            </a:ext>
          </a:extLst>
        </xdr:cNvPr>
        <xdr:cNvSpPr/>
      </xdr:nvSpPr>
      <xdr:spPr>
        <a:xfrm>
          <a:off x="2095500" y="6096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FFFFF"/>
        </a:solidFill>
        <a:ln w="12700" cap="flat">
          <a:solidFill>
            <a:srgbClr val="404040"/>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22</xdr:col>
      <xdr:colOff>0</xdr:colOff>
      <xdr:row>32</xdr:row>
      <xdr:rowOff>0</xdr:rowOff>
    </xdr:from>
    <xdr:to>
      <xdr:col>30</xdr:col>
      <xdr:colOff>0</xdr:colOff>
      <xdr:row>36</xdr:row>
      <xdr:rowOff>0</xdr:rowOff>
    </xdr:to>
    <xdr:sp macro="" textlink="">
      <xdr:nvSpPr>
        <xdr:cNvPr id="347" name="ノード: 四角・標準（ルートA）">
          <a:extLst>
            <a:ext uri="{FF2B5EF4-FFF2-40B4-BE49-F238E27FC236}">
              <a16:creationId xmlns:a16="http://schemas.microsoft.com/office/drawing/2014/main" id="{37EDC489-2AEB-4F2A-A70C-4835F2163353}"/>
            </a:ext>
          </a:extLst>
        </xdr:cNvPr>
        <xdr:cNvSpPr/>
      </xdr:nvSpPr>
      <xdr:spPr>
        <a:xfrm>
          <a:off x="4191000" y="6096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E7F1FF"/>
        </a:solidFill>
        <a:ln w="15875" cap="flat">
          <a:solidFill>
            <a:srgbClr val="315C92"/>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33</xdr:col>
      <xdr:colOff>0</xdr:colOff>
      <xdr:row>32</xdr:row>
      <xdr:rowOff>0</xdr:rowOff>
    </xdr:from>
    <xdr:to>
      <xdr:col>41</xdr:col>
      <xdr:colOff>0</xdr:colOff>
      <xdr:row>36</xdr:row>
      <xdr:rowOff>0</xdr:rowOff>
    </xdr:to>
    <xdr:sp macro="" textlink="">
      <xdr:nvSpPr>
        <xdr:cNvPr id="348" name="ノード: 四角・標準（ルートB）">
          <a:extLst>
            <a:ext uri="{FF2B5EF4-FFF2-40B4-BE49-F238E27FC236}">
              <a16:creationId xmlns:a16="http://schemas.microsoft.com/office/drawing/2014/main" id="{4BC64989-C6DF-4A1D-9DE5-4D99A67169EA}"/>
            </a:ext>
          </a:extLst>
        </xdr:cNvPr>
        <xdr:cNvSpPr/>
      </xdr:nvSpPr>
      <xdr:spPr>
        <a:xfrm>
          <a:off x="6286500" y="6096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E3F5EF"/>
        </a:solidFill>
        <a:ln w="15875" cap="flat">
          <a:solidFill>
            <a:srgbClr val="24796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44</xdr:col>
      <xdr:colOff>0</xdr:colOff>
      <xdr:row>32</xdr:row>
      <xdr:rowOff>0</xdr:rowOff>
    </xdr:from>
    <xdr:to>
      <xdr:col>52</xdr:col>
      <xdr:colOff>0</xdr:colOff>
      <xdr:row>36</xdr:row>
      <xdr:rowOff>0</xdr:rowOff>
    </xdr:to>
    <xdr:sp macro="" textlink="">
      <xdr:nvSpPr>
        <xdr:cNvPr id="349" name="ノード: 四角・標準（ルートC）">
          <a:extLst>
            <a:ext uri="{FF2B5EF4-FFF2-40B4-BE49-F238E27FC236}">
              <a16:creationId xmlns:a16="http://schemas.microsoft.com/office/drawing/2014/main" id="{6F00CB0A-7BA7-45EE-BF17-7EBDA13CEE14}"/>
            </a:ext>
          </a:extLst>
        </xdr:cNvPr>
        <xdr:cNvSpPr/>
      </xdr:nvSpPr>
      <xdr:spPr>
        <a:xfrm>
          <a:off x="8382000" y="6096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DECE4"/>
        </a:solidFill>
        <a:ln w="15875" cap="flat">
          <a:solidFill>
            <a:srgbClr val="C46B39"/>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55</xdr:col>
      <xdr:colOff>0</xdr:colOff>
      <xdr:row>32</xdr:row>
      <xdr:rowOff>0</xdr:rowOff>
    </xdr:from>
    <xdr:to>
      <xdr:col>63</xdr:col>
      <xdr:colOff>0</xdr:colOff>
      <xdr:row>36</xdr:row>
      <xdr:rowOff>0</xdr:rowOff>
    </xdr:to>
    <xdr:sp macro="" textlink="">
      <xdr:nvSpPr>
        <xdr:cNvPr id="350" name="ノード: 四角・標準（ルートD）">
          <a:extLst>
            <a:ext uri="{FF2B5EF4-FFF2-40B4-BE49-F238E27FC236}">
              <a16:creationId xmlns:a16="http://schemas.microsoft.com/office/drawing/2014/main" id="{024E3010-5C7F-4117-9D6A-B68482265482}"/>
            </a:ext>
          </a:extLst>
        </xdr:cNvPr>
        <xdr:cNvSpPr/>
      </xdr:nvSpPr>
      <xdr:spPr>
        <a:xfrm>
          <a:off x="10477500" y="6096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5EEFC"/>
        </a:solidFill>
        <a:ln w="15875" cap="flat">
          <a:solidFill>
            <a:srgbClr val="876BA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66</xdr:col>
      <xdr:colOff>0</xdr:colOff>
      <xdr:row>32</xdr:row>
      <xdr:rowOff>0</xdr:rowOff>
    </xdr:from>
    <xdr:to>
      <xdr:col>74</xdr:col>
      <xdr:colOff>0</xdr:colOff>
      <xdr:row>36</xdr:row>
      <xdr:rowOff>0</xdr:rowOff>
    </xdr:to>
    <xdr:sp macro="" textlink="">
      <xdr:nvSpPr>
        <xdr:cNvPr id="351" name="ノード: 四角・標準（ルートE）">
          <a:extLst>
            <a:ext uri="{FF2B5EF4-FFF2-40B4-BE49-F238E27FC236}">
              <a16:creationId xmlns:a16="http://schemas.microsoft.com/office/drawing/2014/main" id="{6D35454C-C790-4114-803E-10E2C472B25A}"/>
            </a:ext>
          </a:extLst>
        </xdr:cNvPr>
        <xdr:cNvSpPr/>
      </xdr:nvSpPr>
      <xdr:spPr>
        <a:xfrm>
          <a:off x="12573000" y="6096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FECF0"/>
        </a:solidFill>
        <a:ln w="15875" cap="flat">
          <a:solidFill>
            <a:srgbClr val="B04B68"/>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77</xdr:col>
      <xdr:colOff>0</xdr:colOff>
      <xdr:row>32</xdr:row>
      <xdr:rowOff>0</xdr:rowOff>
    </xdr:from>
    <xdr:to>
      <xdr:col>85</xdr:col>
      <xdr:colOff>0</xdr:colOff>
      <xdr:row>36</xdr:row>
      <xdr:rowOff>0</xdr:rowOff>
    </xdr:to>
    <xdr:sp macro="" textlink="">
      <xdr:nvSpPr>
        <xdr:cNvPr id="352" name="ノード: 四角・標準（ルートF）">
          <a:extLst>
            <a:ext uri="{FF2B5EF4-FFF2-40B4-BE49-F238E27FC236}">
              <a16:creationId xmlns:a16="http://schemas.microsoft.com/office/drawing/2014/main" id="{A0F126F0-E6C2-4A87-84B7-3C22E3528A44}"/>
            </a:ext>
          </a:extLst>
        </xdr:cNvPr>
        <xdr:cNvSpPr/>
      </xdr:nvSpPr>
      <xdr:spPr>
        <a:xfrm>
          <a:off x="14668500" y="6096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4F1E2"/>
        </a:solidFill>
        <a:ln w="15875" cap="flat">
          <a:solidFill>
            <a:srgbClr val="6B651D"/>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11</xdr:col>
      <xdr:colOff>0</xdr:colOff>
      <xdr:row>38</xdr:row>
      <xdr:rowOff>0</xdr:rowOff>
    </xdr:from>
    <xdr:to>
      <xdr:col>19</xdr:col>
      <xdr:colOff>0</xdr:colOff>
      <xdr:row>42</xdr:row>
      <xdr:rowOff>0</xdr:rowOff>
    </xdr:to>
    <xdr:sp macro="" textlink="">
      <xdr:nvSpPr>
        <xdr:cNvPr id="353" name="ノード: 角丸・線のみ（共通）">
          <a:extLst>
            <a:ext uri="{FF2B5EF4-FFF2-40B4-BE49-F238E27FC236}">
              <a16:creationId xmlns:a16="http://schemas.microsoft.com/office/drawing/2014/main" id="{3F2E3315-2D1A-4360-8753-0AFE1B66FA1B}"/>
            </a:ext>
          </a:extLst>
        </xdr:cNvPr>
        <xdr:cNvSpPr/>
      </xdr:nvSpPr>
      <xdr:spPr>
        <a:xfrm>
          <a:off x="2095500" y="7239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5875" cap="flat">
          <a:solidFill>
            <a:srgbClr val="404040"/>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22</xdr:col>
      <xdr:colOff>0</xdr:colOff>
      <xdr:row>38</xdr:row>
      <xdr:rowOff>0</xdr:rowOff>
    </xdr:from>
    <xdr:to>
      <xdr:col>30</xdr:col>
      <xdr:colOff>0</xdr:colOff>
      <xdr:row>42</xdr:row>
      <xdr:rowOff>0</xdr:rowOff>
    </xdr:to>
    <xdr:sp macro="" textlink="">
      <xdr:nvSpPr>
        <xdr:cNvPr id="354" name="ノード: 角丸・線のみ（ルートA）">
          <a:extLst>
            <a:ext uri="{FF2B5EF4-FFF2-40B4-BE49-F238E27FC236}">
              <a16:creationId xmlns:a16="http://schemas.microsoft.com/office/drawing/2014/main" id="{2EA473B3-B823-467E-A541-FC17ED7B1E2A}"/>
            </a:ext>
          </a:extLst>
        </xdr:cNvPr>
        <xdr:cNvSpPr/>
      </xdr:nvSpPr>
      <xdr:spPr>
        <a:xfrm>
          <a:off x="4191000" y="7239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5875" cap="flat">
          <a:solidFill>
            <a:srgbClr val="315C92"/>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113866"/>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33</xdr:col>
      <xdr:colOff>0</xdr:colOff>
      <xdr:row>38</xdr:row>
      <xdr:rowOff>0</xdr:rowOff>
    </xdr:from>
    <xdr:to>
      <xdr:col>41</xdr:col>
      <xdr:colOff>0</xdr:colOff>
      <xdr:row>42</xdr:row>
      <xdr:rowOff>0</xdr:rowOff>
    </xdr:to>
    <xdr:sp macro="" textlink="">
      <xdr:nvSpPr>
        <xdr:cNvPr id="355" name="ノード: 角丸・線のみ（ルートB）">
          <a:extLst>
            <a:ext uri="{FF2B5EF4-FFF2-40B4-BE49-F238E27FC236}">
              <a16:creationId xmlns:a16="http://schemas.microsoft.com/office/drawing/2014/main" id="{602234E5-77DB-4E4E-9830-5707F98A9AEB}"/>
            </a:ext>
          </a:extLst>
        </xdr:cNvPr>
        <xdr:cNvSpPr/>
      </xdr:nvSpPr>
      <xdr:spPr>
        <a:xfrm>
          <a:off x="6286500" y="7239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5875" cap="flat">
          <a:solidFill>
            <a:srgbClr val="24796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005243"/>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44</xdr:col>
      <xdr:colOff>0</xdr:colOff>
      <xdr:row>38</xdr:row>
      <xdr:rowOff>0</xdr:rowOff>
    </xdr:from>
    <xdr:to>
      <xdr:col>52</xdr:col>
      <xdr:colOff>0</xdr:colOff>
      <xdr:row>42</xdr:row>
      <xdr:rowOff>0</xdr:rowOff>
    </xdr:to>
    <xdr:sp macro="" textlink="">
      <xdr:nvSpPr>
        <xdr:cNvPr id="356" name="ノード: 角丸・線のみ（ルートC）">
          <a:extLst>
            <a:ext uri="{FF2B5EF4-FFF2-40B4-BE49-F238E27FC236}">
              <a16:creationId xmlns:a16="http://schemas.microsoft.com/office/drawing/2014/main" id="{6AA195E8-393F-44C4-BAFD-FAB69E717C6C}"/>
            </a:ext>
          </a:extLst>
        </xdr:cNvPr>
        <xdr:cNvSpPr/>
      </xdr:nvSpPr>
      <xdr:spPr>
        <a:xfrm>
          <a:off x="8382000" y="7239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5875" cap="flat">
          <a:solidFill>
            <a:srgbClr val="C46B39"/>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954717"/>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55</xdr:col>
      <xdr:colOff>0</xdr:colOff>
      <xdr:row>38</xdr:row>
      <xdr:rowOff>0</xdr:rowOff>
    </xdr:from>
    <xdr:to>
      <xdr:col>63</xdr:col>
      <xdr:colOff>0</xdr:colOff>
      <xdr:row>42</xdr:row>
      <xdr:rowOff>0</xdr:rowOff>
    </xdr:to>
    <xdr:sp macro="" textlink="">
      <xdr:nvSpPr>
        <xdr:cNvPr id="357" name="ノード: 角丸・線のみ（ルートD）">
          <a:extLst>
            <a:ext uri="{FF2B5EF4-FFF2-40B4-BE49-F238E27FC236}">
              <a16:creationId xmlns:a16="http://schemas.microsoft.com/office/drawing/2014/main" id="{E217CDAC-D72B-4471-A994-AAD411430907}"/>
            </a:ext>
          </a:extLst>
        </xdr:cNvPr>
        <xdr:cNvSpPr/>
      </xdr:nvSpPr>
      <xdr:spPr>
        <a:xfrm>
          <a:off x="10477500" y="7239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5875" cap="flat">
          <a:solidFill>
            <a:srgbClr val="876BA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5D4578"/>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66</xdr:col>
      <xdr:colOff>0</xdr:colOff>
      <xdr:row>38</xdr:row>
      <xdr:rowOff>0</xdr:rowOff>
    </xdr:from>
    <xdr:to>
      <xdr:col>74</xdr:col>
      <xdr:colOff>0</xdr:colOff>
      <xdr:row>42</xdr:row>
      <xdr:rowOff>0</xdr:rowOff>
    </xdr:to>
    <xdr:sp macro="" textlink="">
      <xdr:nvSpPr>
        <xdr:cNvPr id="358" name="ノード: 角丸・線のみ（ルートE）">
          <a:extLst>
            <a:ext uri="{FF2B5EF4-FFF2-40B4-BE49-F238E27FC236}">
              <a16:creationId xmlns:a16="http://schemas.microsoft.com/office/drawing/2014/main" id="{D803503C-B1DB-4C05-964E-901FF2D0A912}"/>
            </a:ext>
          </a:extLst>
        </xdr:cNvPr>
        <xdr:cNvSpPr/>
      </xdr:nvSpPr>
      <xdr:spPr>
        <a:xfrm>
          <a:off x="12573000" y="7239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5875" cap="flat">
          <a:solidFill>
            <a:srgbClr val="B04B68"/>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7E2643"/>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77</xdr:col>
      <xdr:colOff>0</xdr:colOff>
      <xdr:row>38</xdr:row>
      <xdr:rowOff>0</xdr:rowOff>
    </xdr:from>
    <xdr:to>
      <xdr:col>85</xdr:col>
      <xdr:colOff>0</xdr:colOff>
      <xdr:row>42</xdr:row>
      <xdr:rowOff>0</xdr:rowOff>
    </xdr:to>
    <xdr:sp macro="" textlink="">
      <xdr:nvSpPr>
        <xdr:cNvPr id="359" name="ノード: 角丸・線のみ（ルートF）">
          <a:extLst>
            <a:ext uri="{FF2B5EF4-FFF2-40B4-BE49-F238E27FC236}">
              <a16:creationId xmlns:a16="http://schemas.microsoft.com/office/drawing/2014/main" id="{C9DBE0F2-B58D-4843-8119-8FC9183D46B3}"/>
            </a:ext>
          </a:extLst>
        </xdr:cNvPr>
        <xdr:cNvSpPr/>
      </xdr:nvSpPr>
      <xdr:spPr>
        <a:xfrm>
          <a:off x="14668500" y="7239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5875" cap="flat">
          <a:solidFill>
            <a:srgbClr val="6B651D"/>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433F00"/>
              </a:solidFill>
              <a:latin typeface="Meiryo UI"/>
              <a:ea typeface="Meiryo UI"/>
              <a:cs typeface="Meiryo UI"/>
            </a:rPr>
            <a:t>ノード名</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役割・概要</a:t>
          </a:r>
          <a:endParaRPr lang="ja-JP" altLang="en-US" sz="750" dirty="0">
            <a:latin typeface="Meiryo UI"/>
            <a:ea typeface="Meiryo UI"/>
          </a:endParaRPr>
        </a:p>
      </xdr:txBody>
    </xdr:sp>
    <xdr:clientData/>
  </xdr:twoCellAnchor>
  <xdr:twoCellAnchor editAs="oneCell">
    <xdr:from>
      <xdr:col>11</xdr:col>
      <xdr:colOff>0</xdr:colOff>
      <xdr:row>44</xdr:row>
      <xdr:rowOff>0</xdr:rowOff>
    </xdr:from>
    <xdr:to>
      <xdr:col>15</xdr:col>
      <xdr:colOff>0</xdr:colOff>
      <xdr:row>48</xdr:row>
      <xdr:rowOff>0</xdr:rowOff>
    </xdr:to>
    <xdr:sp macro="" textlink="">
      <xdr:nvSpPr>
        <xdr:cNvPr id="360" name="ノード: 角丸・標準（共通）">
          <a:extLst>
            <a:ext uri="{FF2B5EF4-FFF2-40B4-BE49-F238E27FC236}">
              <a16:creationId xmlns:a16="http://schemas.microsoft.com/office/drawing/2014/main" id="{624F1C12-E6C3-49FF-A266-B3FB7F09DC7D}"/>
            </a:ext>
          </a:extLst>
        </xdr:cNvPr>
        <xdr:cNvSpPr/>
      </xdr:nvSpPr>
      <xdr:spPr>
        <a:xfrm>
          <a:off x="2095500" y="83820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2700" cap="flat">
          <a:solidFill>
            <a:srgbClr val="404040"/>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小ノード</a:t>
          </a:r>
          <a:endParaRPr lang="ja-JP" altLang="en-US" sz="850" dirty="0">
            <a:latin typeface="Meiryo UI"/>
            <a:ea typeface="Meiryo UI"/>
          </a:endParaRPr>
        </a:p>
      </xdr:txBody>
    </xdr:sp>
    <xdr:clientData/>
  </xdr:twoCellAnchor>
  <xdr:twoCellAnchor editAs="oneCell">
    <xdr:from>
      <xdr:col>22</xdr:col>
      <xdr:colOff>0</xdr:colOff>
      <xdr:row>44</xdr:row>
      <xdr:rowOff>0</xdr:rowOff>
    </xdr:from>
    <xdr:to>
      <xdr:col>26</xdr:col>
      <xdr:colOff>0</xdr:colOff>
      <xdr:row>48</xdr:row>
      <xdr:rowOff>0</xdr:rowOff>
    </xdr:to>
    <xdr:sp macro="" textlink="">
      <xdr:nvSpPr>
        <xdr:cNvPr id="361" name="ノード: 角丸・標準（ルートA）">
          <a:extLst>
            <a:ext uri="{FF2B5EF4-FFF2-40B4-BE49-F238E27FC236}">
              <a16:creationId xmlns:a16="http://schemas.microsoft.com/office/drawing/2014/main" id="{EB7D51A1-FDE1-4877-B03B-39C853E03CFB}"/>
            </a:ext>
          </a:extLst>
        </xdr:cNvPr>
        <xdr:cNvSpPr/>
      </xdr:nvSpPr>
      <xdr:spPr>
        <a:xfrm>
          <a:off x="4191000" y="83820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E7F1FF"/>
        </a:solidFill>
        <a:ln w="15875" cap="flat">
          <a:solidFill>
            <a:srgbClr val="315C92"/>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小ノード</a:t>
          </a:r>
          <a:endParaRPr lang="ja-JP" altLang="en-US" sz="850" dirty="0">
            <a:latin typeface="Meiryo UI"/>
            <a:ea typeface="Meiryo UI"/>
          </a:endParaRPr>
        </a:p>
      </xdr:txBody>
    </xdr:sp>
    <xdr:clientData/>
  </xdr:twoCellAnchor>
  <xdr:twoCellAnchor editAs="oneCell">
    <xdr:from>
      <xdr:col>33</xdr:col>
      <xdr:colOff>0</xdr:colOff>
      <xdr:row>44</xdr:row>
      <xdr:rowOff>0</xdr:rowOff>
    </xdr:from>
    <xdr:to>
      <xdr:col>37</xdr:col>
      <xdr:colOff>0</xdr:colOff>
      <xdr:row>48</xdr:row>
      <xdr:rowOff>0</xdr:rowOff>
    </xdr:to>
    <xdr:sp macro="" textlink="">
      <xdr:nvSpPr>
        <xdr:cNvPr id="362" name="ノード: 角丸・標準（ルートB）">
          <a:extLst>
            <a:ext uri="{FF2B5EF4-FFF2-40B4-BE49-F238E27FC236}">
              <a16:creationId xmlns:a16="http://schemas.microsoft.com/office/drawing/2014/main" id="{538B39B1-E62D-4922-8E91-2C21265405A9}"/>
            </a:ext>
          </a:extLst>
        </xdr:cNvPr>
        <xdr:cNvSpPr/>
      </xdr:nvSpPr>
      <xdr:spPr>
        <a:xfrm>
          <a:off x="6286500" y="83820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E3F5EF"/>
        </a:solidFill>
        <a:ln w="15875" cap="flat">
          <a:solidFill>
            <a:srgbClr val="247966"/>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小ノード</a:t>
          </a:r>
          <a:endParaRPr lang="ja-JP" altLang="en-US" sz="850" dirty="0">
            <a:latin typeface="Meiryo UI"/>
            <a:ea typeface="Meiryo UI"/>
          </a:endParaRPr>
        </a:p>
      </xdr:txBody>
    </xdr:sp>
    <xdr:clientData/>
  </xdr:twoCellAnchor>
  <xdr:twoCellAnchor editAs="oneCell">
    <xdr:from>
      <xdr:col>44</xdr:col>
      <xdr:colOff>0</xdr:colOff>
      <xdr:row>44</xdr:row>
      <xdr:rowOff>0</xdr:rowOff>
    </xdr:from>
    <xdr:to>
      <xdr:col>48</xdr:col>
      <xdr:colOff>0</xdr:colOff>
      <xdr:row>48</xdr:row>
      <xdr:rowOff>0</xdr:rowOff>
    </xdr:to>
    <xdr:sp macro="" textlink="">
      <xdr:nvSpPr>
        <xdr:cNvPr id="363" name="ノード: 角丸・標準（ルートC）">
          <a:extLst>
            <a:ext uri="{FF2B5EF4-FFF2-40B4-BE49-F238E27FC236}">
              <a16:creationId xmlns:a16="http://schemas.microsoft.com/office/drawing/2014/main" id="{69FB8D3E-B8C2-40D3-AD85-F706A62513B8}"/>
            </a:ext>
          </a:extLst>
        </xdr:cNvPr>
        <xdr:cNvSpPr/>
      </xdr:nvSpPr>
      <xdr:spPr>
        <a:xfrm>
          <a:off x="8382000" y="83820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DECE4"/>
        </a:solidFill>
        <a:ln w="15875" cap="flat">
          <a:solidFill>
            <a:srgbClr val="C46B39"/>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小ノード</a:t>
          </a:r>
          <a:endParaRPr lang="ja-JP" altLang="en-US" sz="850" dirty="0">
            <a:latin typeface="Meiryo UI"/>
            <a:ea typeface="Meiryo UI"/>
          </a:endParaRPr>
        </a:p>
      </xdr:txBody>
    </xdr:sp>
    <xdr:clientData/>
  </xdr:twoCellAnchor>
  <xdr:twoCellAnchor editAs="oneCell">
    <xdr:from>
      <xdr:col>55</xdr:col>
      <xdr:colOff>0</xdr:colOff>
      <xdr:row>44</xdr:row>
      <xdr:rowOff>0</xdr:rowOff>
    </xdr:from>
    <xdr:to>
      <xdr:col>59</xdr:col>
      <xdr:colOff>0</xdr:colOff>
      <xdr:row>48</xdr:row>
      <xdr:rowOff>0</xdr:rowOff>
    </xdr:to>
    <xdr:sp macro="" textlink="">
      <xdr:nvSpPr>
        <xdr:cNvPr id="364" name="ノード: 角丸・標準（ルートD）">
          <a:extLst>
            <a:ext uri="{FF2B5EF4-FFF2-40B4-BE49-F238E27FC236}">
              <a16:creationId xmlns:a16="http://schemas.microsoft.com/office/drawing/2014/main" id="{EEF12D48-FEFA-437A-8C08-6B2C3774139D}"/>
            </a:ext>
          </a:extLst>
        </xdr:cNvPr>
        <xdr:cNvSpPr/>
      </xdr:nvSpPr>
      <xdr:spPr>
        <a:xfrm>
          <a:off x="10477500" y="83820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5EEFC"/>
        </a:solidFill>
        <a:ln w="15875" cap="flat">
          <a:solidFill>
            <a:srgbClr val="876BA6"/>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小ノード</a:t>
          </a:r>
          <a:endParaRPr lang="ja-JP" altLang="en-US" sz="850" dirty="0">
            <a:latin typeface="Meiryo UI"/>
            <a:ea typeface="Meiryo UI"/>
          </a:endParaRPr>
        </a:p>
      </xdr:txBody>
    </xdr:sp>
    <xdr:clientData/>
  </xdr:twoCellAnchor>
  <xdr:twoCellAnchor editAs="oneCell">
    <xdr:from>
      <xdr:col>66</xdr:col>
      <xdr:colOff>0</xdr:colOff>
      <xdr:row>44</xdr:row>
      <xdr:rowOff>0</xdr:rowOff>
    </xdr:from>
    <xdr:to>
      <xdr:col>70</xdr:col>
      <xdr:colOff>0</xdr:colOff>
      <xdr:row>48</xdr:row>
      <xdr:rowOff>0</xdr:rowOff>
    </xdr:to>
    <xdr:sp macro="" textlink="">
      <xdr:nvSpPr>
        <xdr:cNvPr id="365" name="ノード: 角丸・標準（ルートE）">
          <a:extLst>
            <a:ext uri="{FF2B5EF4-FFF2-40B4-BE49-F238E27FC236}">
              <a16:creationId xmlns:a16="http://schemas.microsoft.com/office/drawing/2014/main" id="{152E17CF-6BE5-4D86-B00E-AA54C8C372AD}"/>
            </a:ext>
          </a:extLst>
        </xdr:cNvPr>
        <xdr:cNvSpPr/>
      </xdr:nvSpPr>
      <xdr:spPr>
        <a:xfrm>
          <a:off x="12573000" y="83820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ECF0"/>
        </a:solidFill>
        <a:ln w="15875" cap="flat">
          <a:solidFill>
            <a:srgbClr val="B04B68"/>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小ノード</a:t>
          </a:r>
          <a:endParaRPr lang="ja-JP" altLang="en-US" sz="850" dirty="0">
            <a:latin typeface="Meiryo UI"/>
            <a:ea typeface="Meiryo UI"/>
          </a:endParaRPr>
        </a:p>
      </xdr:txBody>
    </xdr:sp>
    <xdr:clientData/>
  </xdr:twoCellAnchor>
  <xdr:twoCellAnchor editAs="oneCell">
    <xdr:from>
      <xdr:col>77</xdr:col>
      <xdr:colOff>0</xdr:colOff>
      <xdr:row>44</xdr:row>
      <xdr:rowOff>0</xdr:rowOff>
    </xdr:from>
    <xdr:to>
      <xdr:col>81</xdr:col>
      <xdr:colOff>0</xdr:colOff>
      <xdr:row>48</xdr:row>
      <xdr:rowOff>0</xdr:rowOff>
    </xdr:to>
    <xdr:sp macro="" textlink="">
      <xdr:nvSpPr>
        <xdr:cNvPr id="366" name="ノード: 角丸・標準（ルートF）">
          <a:extLst>
            <a:ext uri="{FF2B5EF4-FFF2-40B4-BE49-F238E27FC236}">
              <a16:creationId xmlns:a16="http://schemas.microsoft.com/office/drawing/2014/main" id="{0012A474-08AD-4A36-B5B5-0CA0D32C99D5}"/>
            </a:ext>
          </a:extLst>
        </xdr:cNvPr>
        <xdr:cNvSpPr/>
      </xdr:nvSpPr>
      <xdr:spPr>
        <a:xfrm>
          <a:off x="14668500" y="83820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4F1E2"/>
        </a:solidFill>
        <a:ln w="15875" cap="flat">
          <a:solidFill>
            <a:srgbClr val="6B651D"/>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小ノード</a:t>
          </a:r>
          <a:endParaRPr lang="ja-JP" altLang="en-US" sz="850" dirty="0">
            <a:latin typeface="Meiryo UI"/>
            <a:ea typeface="Meiryo UI"/>
          </a:endParaRPr>
        </a:p>
      </xdr:txBody>
    </xdr:sp>
    <xdr:clientData/>
  </xdr:twoCellAnchor>
  <xdr:twoCellAnchor editAs="oneCell">
    <xdr:from>
      <xdr:col>16</xdr:col>
      <xdr:colOff>0</xdr:colOff>
      <xdr:row>44</xdr:row>
      <xdr:rowOff>0</xdr:rowOff>
    </xdr:from>
    <xdr:to>
      <xdr:col>20</xdr:col>
      <xdr:colOff>0</xdr:colOff>
      <xdr:row>48</xdr:row>
      <xdr:rowOff>0</xdr:rowOff>
    </xdr:to>
    <xdr:sp macro="" textlink="">
      <xdr:nvSpPr>
        <xdr:cNvPr id="367" name="ノード: 円・標準（共通）">
          <a:extLst>
            <a:ext uri="{FF2B5EF4-FFF2-40B4-BE49-F238E27FC236}">
              <a16:creationId xmlns:a16="http://schemas.microsoft.com/office/drawing/2014/main" id="{81EA57C9-8218-4DF2-B722-00C6CAAA24C7}"/>
            </a:ext>
          </a:extLst>
        </xdr:cNvPr>
        <xdr:cNvSpPr/>
      </xdr:nvSpPr>
      <xdr:spPr>
        <a:xfrm>
          <a:off x="3048000" y="8382000"/>
          <a:ext cx="762000" cy="762000"/>
        </a:xfrm>
        <a:custGeom>
          <a:avLst/>
          <a:gdLst>
            <a:gd name="wr" fmla="*/ w 1 2"/>
            <a:gd name="hr" fmla="*/ h 1 2"/>
            <a:gd name="dx0" fmla="sin wr 18900000"/>
            <a:gd name="dy0" fmla="cos hr 18900000"/>
            <a:gd name="px0" fmla="+- hc dx0 0"/>
            <a:gd name="py0" fmla="+- vc 0 dy0"/>
            <a:gd name="dx1" fmla="sin wr 20250000"/>
            <a:gd name="dy1" fmla="cos hr 20250000"/>
            <a:gd name="px1" fmla="+- hc dx1 0"/>
            <a:gd name="py1" fmla="+- vc 0 dy1"/>
            <a:gd name="dx2" fmla="sin wr 0"/>
            <a:gd name="dy2" fmla="cos hr 0"/>
            <a:gd name="px2" fmla="+- hc dx2 0"/>
            <a:gd name="py2" fmla="+- vc 0 dy2"/>
            <a:gd name="dx3" fmla="sin wr 1350000"/>
            <a:gd name="dy3" fmla="cos hr 1350000"/>
            <a:gd name="px3" fmla="+- hc dx3 0"/>
            <a:gd name="py3" fmla="+- vc 0 dy3"/>
            <a:gd name="dx4" fmla="sin wr 2700000"/>
            <a:gd name="dy4" fmla="cos hr 2700000"/>
            <a:gd name="px4" fmla="+- hc dx4 0"/>
            <a:gd name="py4" fmla="+- vc 0 dy4"/>
            <a:gd name="dx5" fmla="sin wr 4050000"/>
            <a:gd name="dy5" fmla="cos hr 4050000"/>
            <a:gd name="px5" fmla="+- hc dx5 0"/>
            <a:gd name="py5" fmla="+- vc 0 dy5"/>
            <a:gd name="dx6" fmla="sin wr 5400000"/>
            <a:gd name="dy6" fmla="cos hr 5400000"/>
            <a:gd name="px6" fmla="+- hc dx6 0"/>
            <a:gd name="py6" fmla="+- vc 0 dy6"/>
            <a:gd name="dx7" fmla="sin wr 6750000"/>
            <a:gd name="dy7" fmla="cos hr 6750000"/>
            <a:gd name="px7" fmla="+- hc dx7 0"/>
            <a:gd name="py7" fmla="+- vc 0 dy7"/>
            <a:gd name="dx8" fmla="sin wr 8100000"/>
            <a:gd name="dy8" fmla="cos hr 8100000"/>
            <a:gd name="px8" fmla="+- hc dx8 0"/>
            <a:gd name="py8" fmla="+- vc 0 dy8"/>
            <a:gd name="dx9" fmla="sin wr 9450000"/>
            <a:gd name="dy9" fmla="cos hr 9450000"/>
            <a:gd name="px9" fmla="+- hc dx9 0"/>
            <a:gd name="py9" fmla="+- vc 0 dy9"/>
            <a:gd name="dx10" fmla="sin wr 10800000"/>
            <a:gd name="dy10" fmla="cos hr 10800000"/>
            <a:gd name="px10" fmla="+- hc dx10 0"/>
            <a:gd name="py10" fmla="+- vc 0 dy10"/>
            <a:gd name="dx11" fmla="sin wr 12150000"/>
            <a:gd name="dy11" fmla="cos hr 12150000"/>
            <a:gd name="px11" fmla="+- hc dx11 0"/>
            <a:gd name="py11" fmla="+- vc 0 dy11"/>
            <a:gd name="dx12" fmla="sin wr 13500000"/>
            <a:gd name="dy12" fmla="cos hr 13500000"/>
            <a:gd name="px12" fmla="+- hc dx12 0"/>
            <a:gd name="py12" fmla="+- vc 0 dy12"/>
            <a:gd name="dx13" fmla="sin wr 14850000"/>
            <a:gd name="dy13" fmla="cos hr 14850000"/>
            <a:gd name="px13" fmla="+- hc dx13 0"/>
            <a:gd name="py13" fmla="+- vc 0 dy13"/>
            <a:gd name="dx14" fmla="sin wr 16200000"/>
            <a:gd name="dy14" fmla="cos hr 16200000"/>
            <a:gd name="px14" fmla="+- hc dx14 0"/>
            <a:gd name="py14" fmla="+- vc 0 dy14"/>
            <a:gd name="dx15" fmla="sin wr 17550000"/>
            <a:gd name="dy15" fmla="cos hr 17550000"/>
            <a:gd name="px15" fmla="+- hc dx15 0"/>
            <a:gd name="py15" fmla="+- vc 0 dy15"/>
          </a:gdLst>
          <a:ahLst/>
          <a:cxnLst>
            <a:cxn ang="10800000">
              <a:pos x="px0" y="py0"/>
            </a:cxn>
            <a:cxn ang="16200000">
              <a:pos x="px1" y="py1"/>
            </a:cxn>
            <a:cxn ang="16200000">
              <a:pos x="px2" y="py2"/>
            </a:cxn>
            <a:cxn ang="16200000">
              <a:pos x="px3" y="py3"/>
            </a:cxn>
            <a:cxn ang="0">
              <a:pos x="px4" y="py4"/>
            </a:cxn>
            <a:cxn ang="0">
              <a:pos x="px5" y="py5"/>
            </a:cxn>
            <a:cxn ang="0">
              <a:pos x="px6" y="py6"/>
            </a:cxn>
            <a:cxn ang="0">
              <a:pos x="px7" y="py7"/>
            </a:cxn>
            <a:cxn ang="0">
              <a:pos x="px8" y="py8"/>
            </a:cxn>
            <a:cxn ang="5400000">
              <a:pos x="px9" y="py9"/>
            </a:cxn>
            <a:cxn ang="5400000">
              <a:pos x="px10" y="py10"/>
            </a:cxn>
            <a:cxn ang="5400000">
              <a:pos x="px11" y="py11"/>
            </a:cxn>
            <a:cxn ang="10800000">
              <a:pos x="px12" y="py12"/>
            </a:cxn>
            <a:cxn ang="10800000">
              <a:pos x="px13" y="py13"/>
            </a:cxn>
            <a:cxn ang="10800000">
              <a:pos x="px14" y="py14"/>
            </a:cxn>
            <a:cxn ang="10800000">
              <a:pos x="px15" y="py15"/>
            </a:cxn>
          </a:cxnLst>
          <a:rect l="l" t="t" r="r" b="b"/>
          <a:pathLst>
            <a:path>
              <a:moveTo>
                <a:pt x="l" y="vc"/>
              </a:moveTo>
              <a:arcTo wR="wr" hR="hr" stAng="10800000" swAng="21600000"/>
              <a:close/>
            </a:path>
          </a:pathLst>
        </a:custGeom>
        <a:solidFill>
          <a:srgbClr val="FFFFFF"/>
        </a:solidFill>
        <a:ln w="12700" cap="flat">
          <a:solidFill>
            <a:srgbClr val="404040"/>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利用者</a:t>
          </a:r>
          <a:endParaRPr lang="ja-JP" altLang="en-US" sz="850" dirty="0">
            <a:latin typeface="Meiryo UI"/>
            <a:ea typeface="Meiryo UI"/>
          </a:endParaRPr>
        </a:p>
      </xdr:txBody>
    </xdr:sp>
    <xdr:clientData/>
  </xdr:twoCellAnchor>
  <xdr:twoCellAnchor editAs="oneCell">
    <xdr:from>
      <xdr:col>27</xdr:col>
      <xdr:colOff>0</xdr:colOff>
      <xdr:row>44</xdr:row>
      <xdr:rowOff>0</xdr:rowOff>
    </xdr:from>
    <xdr:to>
      <xdr:col>31</xdr:col>
      <xdr:colOff>0</xdr:colOff>
      <xdr:row>48</xdr:row>
      <xdr:rowOff>0</xdr:rowOff>
    </xdr:to>
    <xdr:sp macro="" textlink="">
      <xdr:nvSpPr>
        <xdr:cNvPr id="368" name="ノード: 円・標準（ルートA）">
          <a:extLst>
            <a:ext uri="{FF2B5EF4-FFF2-40B4-BE49-F238E27FC236}">
              <a16:creationId xmlns:a16="http://schemas.microsoft.com/office/drawing/2014/main" id="{C4F1200B-24B9-4189-A7E2-38503CA1EC6F}"/>
            </a:ext>
          </a:extLst>
        </xdr:cNvPr>
        <xdr:cNvSpPr/>
      </xdr:nvSpPr>
      <xdr:spPr>
        <a:xfrm>
          <a:off x="5143500" y="8382000"/>
          <a:ext cx="762000" cy="762000"/>
        </a:xfrm>
        <a:custGeom>
          <a:avLst/>
          <a:gdLst>
            <a:gd name="wr" fmla="*/ w 1 2"/>
            <a:gd name="hr" fmla="*/ h 1 2"/>
            <a:gd name="dx0" fmla="sin wr 18900000"/>
            <a:gd name="dy0" fmla="cos hr 18900000"/>
            <a:gd name="px0" fmla="+- hc dx0 0"/>
            <a:gd name="py0" fmla="+- vc 0 dy0"/>
            <a:gd name="dx1" fmla="sin wr 20250000"/>
            <a:gd name="dy1" fmla="cos hr 20250000"/>
            <a:gd name="px1" fmla="+- hc dx1 0"/>
            <a:gd name="py1" fmla="+- vc 0 dy1"/>
            <a:gd name="dx2" fmla="sin wr 0"/>
            <a:gd name="dy2" fmla="cos hr 0"/>
            <a:gd name="px2" fmla="+- hc dx2 0"/>
            <a:gd name="py2" fmla="+- vc 0 dy2"/>
            <a:gd name="dx3" fmla="sin wr 1350000"/>
            <a:gd name="dy3" fmla="cos hr 1350000"/>
            <a:gd name="px3" fmla="+- hc dx3 0"/>
            <a:gd name="py3" fmla="+- vc 0 dy3"/>
            <a:gd name="dx4" fmla="sin wr 2700000"/>
            <a:gd name="dy4" fmla="cos hr 2700000"/>
            <a:gd name="px4" fmla="+- hc dx4 0"/>
            <a:gd name="py4" fmla="+- vc 0 dy4"/>
            <a:gd name="dx5" fmla="sin wr 4050000"/>
            <a:gd name="dy5" fmla="cos hr 4050000"/>
            <a:gd name="px5" fmla="+- hc dx5 0"/>
            <a:gd name="py5" fmla="+- vc 0 dy5"/>
            <a:gd name="dx6" fmla="sin wr 5400000"/>
            <a:gd name="dy6" fmla="cos hr 5400000"/>
            <a:gd name="px6" fmla="+- hc dx6 0"/>
            <a:gd name="py6" fmla="+- vc 0 dy6"/>
            <a:gd name="dx7" fmla="sin wr 6750000"/>
            <a:gd name="dy7" fmla="cos hr 6750000"/>
            <a:gd name="px7" fmla="+- hc dx7 0"/>
            <a:gd name="py7" fmla="+- vc 0 dy7"/>
            <a:gd name="dx8" fmla="sin wr 8100000"/>
            <a:gd name="dy8" fmla="cos hr 8100000"/>
            <a:gd name="px8" fmla="+- hc dx8 0"/>
            <a:gd name="py8" fmla="+- vc 0 dy8"/>
            <a:gd name="dx9" fmla="sin wr 9450000"/>
            <a:gd name="dy9" fmla="cos hr 9450000"/>
            <a:gd name="px9" fmla="+- hc dx9 0"/>
            <a:gd name="py9" fmla="+- vc 0 dy9"/>
            <a:gd name="dx10" fmla="sin wr 10800000"/>
            <a:gd name="dy10" fmla="cos hr 10800000"/>
            <a:gd name="px10" fmla="+- hc dx10 0"/>
            <a:gd name="py10" fmla="+- vc 0 dy10"/>
            <a:gd name="dx11" fmla="sin wr 12150000"/>
            <a:gd name="dy11" fmla="cos hr 12150000"/>
            <a:gd name="px11" fmla="+- hc dx11 0"/>
            <a:gd name="py11" fmla="+- vc 0 dy11"/>
            <a:gd name="dx12" fmla="sin wr 13500000"/>
            <a:gd name="dy12" fmla="cos hr 13500000"/>
            <a:gd name="px12" fmla="+- hc dx12 0"/>
            <a:gd name="py12" fmla="+- vc 0 dy12"/>
            <a:gd name="dx13" fmla="sin wr 14850000"/>
            <a:gd name="dy13" fmla="cos hr 14850000"/>
            <a:gd name="px13" fmla="+- hc dx13 0"/>
            <a:gd name="py13" fmla="+- vc 0 dy13"/>
            <a:gd name="dx14" fmla="sin wr 16200000"/>
            <a:gd name="dy14" fmla="cos hr 16200000"/>
            <a:gd name="px14" fmla="+- hc dx14 0"/>
            <a:gd name="py14" fmla="+- vc 0 dy14"/>
            <a:gd name="dx15" fmla="sin wr 17550000"/>
            <a:gd name="dy15" fmla="cos hr 17550000"/>
            <a:gd name="px15" fmla="+- hc dx15 0"/>
            <a:gd name="py15" fmla="+- vc 0 dy15"/>
          </a:gdLst>
          <a:ahLst/>
          <a:cxnLst>
            <a:cxn ang="10800000">
              <a:pos x="px0" y="py0"/>
            </a:cxn>
            <a:cxn ang="16200000">
              <a:pos x="px1" y="py1"/>
            </a:cxn>
            <a:cxn ang="16200000">
              <a:pos x="px2" y="py2"/>
            </a:cxn>
            <a:cxn ang="16200000">
              <a:pos x="px3" y="py3"/>
            </a:cxn>
            <a:cxn ang="0">
              <a:pos x="px4" y="py4"/>
            </a:cxn>
            <a:cxn ang="0">
              <a:pos x="px5" y="py5"/>
            </a:cxn>
            <a:cxn ang="0">
              <a:pos x="px6" y="py6"/>
            </a:cxn>
            <a:cxn ang="0">
              <a:pos x="px7" y="py7"/>
            </a:cxn>
            <a:cxn ang="0">
              <a:pos x="px8" y="py8"/>
            </a:cxn>
            <a:cxn ang="5400000">
              <a:pos x="px9" y="py9"/>
            </a:cxn>
            <a:cxn ang="5400000">
              <a:pos x="px10" y="py10"/>
            </a:cxn>
            <a:cxn ang="5400000">
              <a:pos x="px11" y="py11"/>
            </a:cxn>
            <a:cxn ang="10800000">
              <a:pos x="px12" y="py12"/>
            </a:cxn>
            <a:cxn ang="10800000">
              <a:pos x="px13" y="py13"/>
            </a:cxn>
            <a:cxn ang="10800000">
              <a:pos x="px14" y="py14"/>
            </a:cxn>
            <a:cxn ang="10800000">
              <a:pos x="px15" y="py15"/>
            </a:cxn>
          </a:cxnLst>
          <a:rect l="l" t="t" r="r" b="b"/>
          <a:pathLst>
            <a:path>
              <a:moveTo>
                <a:pt x="l" y="vc"/>
              </a:moveTo>
              <a:arcTo wR="wr" hR="hr" stAng="10800000" swAng="21600000"/>
              <a:close/>
            </a:path>
          </a:pathLst>
        </a:custGeom>
        <a:solidFill>
          <a:srgbClr val="E7F1FF"/>
        </a:solidFill>
        <a:ln w="15875" cap="flat">
          <a:solidFill>
            <a:srgbClr val="315C92"/>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利用者</a:t>
          </a:r>
          <a:endParaRPr lang="ja-JP" altLang="en-US" sz="850" dirty="0">
            <a:latin typeface="Meiryo UI"/>
            <a:ea typeface="Meiryo UI"/>
          </a:endParaRPr>
        </a:p>
      </xdr:txBody>
    </xdr:sp>
    <xdr:clientData/>
  </xdr:twoCellAnchor>
  <xdr:twoCellAnchor editAs="oneCell">
    <xdr:from>
      <xdr:col>38</xdr:col>
      <xdr:colOff>0</xdr:colOff>
      <xdr:row>44</xdr:row>
      <xdr:rowOff>0</xdr:rowOff>
    </xdr:from>
    <xdr:to>
      <xdr:col>42</xdr:col>
      <xdr:colOff>0</xdr:colOff>
      <xdr:row>48</xdr:row>
      <xdr:rowOff>0</xdr:rowOff>
    </xdr:to>
    <xdr:sp macro="" textlink="">
      <xdr:nvSpPr>
        <xdr:cNvPr id="369" name="ノード: 円・標準（ルートB）">
          <a:extLst>
            <a:ext uri="{FF2B5EF4-FFF2-40B4-BE49-F238E27FC236}">
              <a16:creationId xmlns:a16="http://schemas.microsoft.com/office/drawing/2014/main" id="{3272C514-4623-423D-BF74-3FCEB126BCFE}"/>
            </a:ext>
          </a:extLst>
        </xdr:cNvPr>
        <xdr:cNvSpPr/>
      </xdr:nvSpPr>
      <xdr:spPr>
        <a:xfrm>
          <a:off x="7239000" y="8382000"/>
          <a:ext cx="762000" cy="762000"/>
        </a:xfrm>
        <a:custGeom>
          <a:avLst/>
          <a:gdLst>
            <a:gd name="wr" fmla="*/ w 1 2"/>
            <a:gd name="hr" fmla="*/ h 1 2"/>
            <a:gd name="dx0" fmla="sin wr 18900000"/>
            <a:gd name="dy0" fmla="cos hr 18900000"/>
            <a:gd name="px0" fmla="+- hc dx0 0"/>
            <a:gd name="py0" fmla="+- vc 0 dy0"/>
            <a:gd name="dx1" fmla="sin wr 20250000"/>
            <a:gd name="dy1" fmla="cos hr 20250000"/>
            <a:gd name="px1" fmla="+- hc dx1 0"/>
            <a:gd name="py1" fmla="+- vc 0 dy1"/>
            <a:gd name="dx2" fmla="sin wr 0"/>
            <a:gd name="dy2" fmla="cos hr 0"/>
            <a:gd name="px2" fmla="+- hc dx2 0"/>
            <a:gd name="py2" fmla="+- vc 0 dy2"/>
            <a:gd name="dx3" fmla="sin wr 1350000"/>
            <a:gd name="dy3" fmla="cos hr 1350000"/>
            <a:gd name="px3" fmla="+- hc dx3 0"/>
            <a:gd name="py3" fmla="+- vc 0 dy3"/>
            <a:gd name="dx4" fmla="sin wr 2700000"/>
            <a:gd name="dy4" fmla="cos hr 2700000"/>
            <a:gd name="px4" fmla="+- hc dx4 0"/>
            <a:gd name="py4" fmla="+- vc 0 dy4"/>
            <a:gd name="dx5" fmla="sin wr 4050000"/>
            <a:gd name="dy5" fmla="cos hr 4050000"/>
            <a:gd name="px5" fmla="+- hc dx5 0"/>
            <a:gd name="py5" fmla="+- vc 0 dy5"/>
            <a:gd name="dx6" fmla="sin wr 5400000"/>
            <a:gd name="dy6" fmla="cos hr 5400000"/>
            <a:gd name="px6" fmla="+- hc dx6 0"/>
            <a:gd name="py6" fmla="+- vc 0 dy6"/>
            <a:gd name="dx7" fmla="sin wr 6750000"/>
            <a:gd name="dy7" fmla="cos hr 6750000"/>
            <a:gd name="px7" fmla="+- hc dx7 0"/>
            <a:gd name="py7" fmla="+- vc 0 dy7"/>
            <a:gd name="dx8" fmla="sin wr 8100000"/>
            <a:gd name="dy8" fmla="cos hr 8100000"/>
            <a:gd name="px8" fmla="+- hc dx8 0"/>
            <a:gd name="py8" fmla="+- vc 0 dy8"/>
            <a:gd name="dx9" fmla="sin wr 9450000"/>
            <a:gd name="dy9" fmla="cos hr 9450000"/>
            <a:gd name="px9" fmla="+- hc dx9 0"/>
            <a:gd name="py9" fmla="+- vc 0 dy9"/>
            <a:gd name="dx10" fmla="sin wr 10800000"/>
            <a:gd name="dy10" fmla="cos hr 10800000"/>
            <a:gd name="px10" fmla="+- hc dx10 0"/>
            <a:gd name="py10" fmla="+- vc 0 dy10"/>
            <a:gd name="dx11" fmla="sin wr 12150000"/>
            <a:gd name="dy11" fmla="cos hr 12150000"/>
            <a:gd name="px11" fmla="+- hc dx11 0"/>
            <a:gd name="py11" fmla="+- vc 0 dy11"/>
            <a:gd name="dx12" fmla="sin wr 13500000"/>
            <a:gd name="dy12" fmla="cos hr 13500000"/>
            <a:gd name="px12" fmla="+- hc dx12 0"/>
            <a:gd name="py12" fmla="+- vc 0 dy12"/>
            <a:gd name="dx13" fmla="sin wr 14850000"/>
            <a:gd name="dy13" fmla="cos hr 14850000"/>
            <a:gd name="px13" fmla="+- hc dx13 0"/>
            <a:gd name="py13" fmla="+- vc 0 dy13"/>
            <a:gd name="dx14" fmla="sin wr 16200000"/>
            <a:gd name="dy14" fmla="cos hr 16200000"/>
            <a:gd name="px14" fmla="+- hc dx14 0"/>
            <a:gd name="py14" fmla="+- vc 0 dy14"/>
            <a:gd name="dx15" fmla="sin wr 17550000"/>
            <a:gd name="dy15" fmla="cos hr 17550000"/>
            <a:gd name="px15" fmla="+- hc dx15 0"/>
            <a:gd name="py15" fmla="+- vc 0 dy15"/>
          </a:gdLst>
          <a:ahLst/>
          <a:cxnLst>
            <a:cxn ang="10800000">
              <a:pos x="px0" y="py0"/>
            </a:cxn>
            <a:cxn ang="16200000">
              <a:pos x="px1" y="py1"/>
            </a:cxn>
            <a:cxn ang="16200000">
              <a:pos x="px2" y="py2"/>
            </a:cxn>
            <a:cxn ang="16200000">
              <a:pos x="px3" y="py3"/>
            </a:cxn>
            <a:cxn ang="0">
              <a:pos x="px4" y="py4"/>
            </a:cxn>
            <a:cxn ang="0">
              <a:pos x="px5" y="py5"/>
            </a:cxn>
            <a:cxn ang="0">
              <a:pos x="px6" y="py6"/>
            </a:cxn>
            <a:cxn ang="0">
              <a:pos x="px7" y="py7"/>
            </a:cxn>
            <a:cxn ang="0">
              <a:pos x="px8" y="py8"/>
            </a:cxn>
            <a:cxn ang="5400000">
              <a:pos x="px9" y="py9"/>
            </a:cxn>
            <a:cxn ang="5400000">
              <a:pos x="px10" y="py10"/>
            </a:cxn>
            <a:cxn ang="5400000">
              <a:pos x="px11" y="py11"/>
            </a:cxn>
            <a:cxn ang="10800000">
              <a:pos x="px12" y="py12"/>
            </a:cxn>
            <a:cxn ang="10800000">
              <a:pos x="px13" y="py13"/>
            </a:cxn>
            <a:cxn ang="10800000">
              <a:pos x="px14" y="py14"/>
            </a:cxn>
            <a:cxn ang="10800000">
              <a:pos x="px15" y="py15"/>
            </a:cxn>
          </a:cxnLst>
          <a:rect l="l" t="t" r="r" b="b"/>
          <a:pathLst>
            <a:path>
              <a:moveTo>
                <a:pt x="l" y="vc"/>
              </a:moveTo>
              <a:arcTo wR="wr" hR="hr" stAng="10800000" swAng="21600000"/>
              <a:close/>
            </a:path>
          </a:pathLst>
        </a:custGeom>
        <a:solidFill>
          <a:srgbClr val="E3F5EF"/>
        </a:solidFill>
        <a:ln w="15875" cap="flat">
          <a:solidFill>
            <a:srgbClr val="247966"/>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利用者</a:t>
          </a:r>
          <a:endParaRPr lang="ja-JP" altLang="en-US" sz="850" dirty="0">
            <a:latin typeface="Meiryo UI"/>
            <a:ea typeface="Meiryo UI"/>
          </a:endParaRPr>
        </a:p>
      </xdr:txBody>
    </xdr:sp>
    <xdr:clientData/>
  </xdr:twoCellAnchor>
  <xdr:twoCellAnchor editAs="oneCell">
    <xdr:from>
      <xdr:col>49</xdr:col>
      <xdr:colOff>0</xdr:colOff>
      <xdr:row>44</xdr:row>
      <xdr:rowOff>0</xdr:rowOff>
    </xdr:from>
    <xdr:to>
      <xdr:col>53</xdr:col>
      <xdr:colOff>0</xdr:colOff>
      <xdr:row>48</xdr:row>
      <xdr:rowOff>0</xdr:rowOff>
    </xdr:to>
    <xdr:sp macro="" textlink="">
      <xdr:nvSpPr>
        <xdr:cNvPr id="370" name="ノード: 円・標準（ルートC）">
          <a:extLst>
            <a:ext uri="{FF2B5EF4-FFF2-40B4-BE49-F238E27FC236}">
              <a16:creationId xmlns:a16="http://schemas.microsoft.com/office/drawing/2014/main" id="{1C6CDDF2-6B68-4466-84A8-A56EA972A418}"/>
            </a:ext>
          </a:extLst>
        </xdr:cNvPr>
        <xdr:cNvSpPr/>
      </xdr:nvSpPr>
      <xdr:spPr>
        <a:xfrm>
          <a:off x="9334500" y="8382000"/>
          <a:ext cx="762000" cy="762000"/>
        </a:xfrm>
        <a:custGeom>
          <a:avLst/>
          <a:gdLst>
            <a:gd name="wr" fmla="*/ w 1 2"/>
            <a:gd name="hr" fmla="*/ h 1 2"/>
            <a:gd name="dx0" fmla="sin wr 18900000"/>
            <a:gd name="dy0" fmla="cos hr 18900000"/>
            <a:gd name="px0" fmla="+- hc dx0 0"/>
            <a:gd name="py0" fmla="+- vc 0 dy0"/>
            <a:gd name="dx1" fmla="sin wr 20250000"/>
            <a:gd name="dy1" fmla="cos hr 20250000"/>
            <a:gd name="px1" fmla="+- hc dx1 0"/>
            <a:gd name="py1" fmla="+- vc 0 dy1"/>
            <a:gd name="dx2" fmla="sin wr 0"/>
            <a:gd name="dy2" fmla="cos hr 0"/>
            <a:gd name="px2" fmla="+- hc dx2 0"/>
            <a:gd name="py2" fmla="+- vc 0 dy2"/>
            <a:gd name="dx3" fmla="sin wr 1350000"/>
            <a:gd name="dy3" fmla="cos hr 1350000"/>
            <a:gd name="px3" fmla="+- hc dx3 0"/>
            <a:gd name="py3" fmla="+- vc 0 dy3"/>
            <a:gd name="dx4" fmla="sin wr 2700000"/>
            <a:gd name="dy4" fmla="cos hr 2700000"/>
            <a:gd name="px4" fmla="+- hc dx4 0"/>
            <a:gd name="py4" fmla="+- vc 0 dy4"/>
            <a:gd name="dx5" fmla="sin wr 4050000"/>
            <a:gd name="dy5" fmla="cos hr 4050000"/>
            <a:gd name="px5" fmla="+- hc dx5 0"/>
            <a:gd name="py5" fmla="+- vc 0 dy5"/>
            <a:gd name="dx6" fmla="sin wr 5400000"/>
            <a:gd name="dy6" fmla="cos hr 5400000"/>
            <a:gd name="px6" fmla="+- hc dx6 0"/>
            <a:gd name="py6" fmla="+- vc 0 dy6"/>
            <a:gd name="dx7" fmla="sin wr 6750000"/>
            <a:gd name="dy7" fmla="cos hr 6750000"/>
            <a:gd name="px7" fmla="+- hc dx7 0"/>
            <a:gd name="py7" fmla="+- vc 0 dy7"/>
            <a:gd name="dx8" fmla="sin wr 8100000"/>
            <a:gd name="dy8" fmla="cos hr 8100000"/>
            <a:gd name="px8" fmla="+- hc dx8 0"/>
            <a:gd name="py8" fmla="+- vc 0 dy8"/>
            <a:gd name="dx9" fmla="sin wr 9450000"/>
            <a:gd name="dy9" fmla="cos hr 9450000"/>
            <a:gd name="px9" fmla="+- hc dx9 0"/>
            <a:gd name="py9" fmla="+- vc 0 dy9"/>
            <a:gd name="dx10" fmla="sin wr 10800000"/>
            <a:gd name="dy10" fmla="cos hr 10800000"/>
            <a:gd name="px10" fmla="+- hc dx10 0"/>
            <a:gd name="py10" fmla="+- vc 0 dy10"/>
            <a:gd name="dx11" fmla="sin wr 12150000"/>
            <a:gd name="dy11" fmla="cos hr 12150000"/>
            <a:gd name="px11" fmla="+- hc dx11 0"/>
            <a:gd name="py11" fmla="+- vc 0 dy11"/>
            <a:gd name="dx12" fmla="sin wr 13500000"/>
            <a:gd name="dy12" fmla="cos hr 13500000"/>
            <a:gd name="px12" fmla="+- hc dx12 0"/>
            <a:gd name="py12" fmla="+- vc 0 dy12"/>
            <a:gd name="dx13" fmla="sin wr 14850000"/>
            <a:gd name="dy13" fmla="cos hr 14850000"/>
            <a:gd name="px13" fmla="+- hc dx13 0"/>
            <a:gd name="py13" fmla="+- vc 0 dy13"/>
            <a:gd name="dx14" fmla="sin wr 16200000"/>
            <a:gd name="dy14" fmla="cos hr 16200000"/>
            <a:gd name="px14" fmla="+- hc dx14 0"/>
            <a:gd name="py14" fmla="+- vc 0 dy14"/>
            <a:gd name="dx15" fmla="sin wr 17550000"/>
            <a:gd name="dy15" fmla="cos hr 17550000"/>
            <a:gd name="px15" fmla="+- hc dx15 0"/>
            <a:gd name="py15" fmla="+- vc 0 dy15"/>
          </a:gdLst>
          <a:ahLst/>
          <a:cxnLst>
            <a:cxn ang="10800000">
              <a:pos x="px0" y="py0"/>
            </a:cxn>
            <a:cxn ang="16200000">
              <a:pos x="px1" y="py1"/>
            </a:cxn>
            <a:cxn ang="16200000">
              <a:pos x="px2" y="py2"/>
            </a:cxn>
            <a:cxn ang="16200000">
              <a:pos x="px3" y="py3"/>
            </a:cxn>
            <a:cxn ang="0">
              <a:pos x="px4" y="py4"/>
            </a:cxn>
            <a:cxn ang="0">
              <a:pos x="px5" y="py5"/>
            </a:cxn>
            <a:cxn ang="0">
              <a:pos x="px6" y="py6"/>
            </a:cxn>
            <a:cxn ang="0">
              <a:pos x="px7" y="py7"/>
            </a:cxn>
            <a:cxn ang="0">
              <a:pos x="px8" y="py8"/>
            </a:cxn>
            <a:cxn ang="5400000">
              <a:pos x="px9" y="py9"/>
            </a:cxn>
            <a:cxn ang="5400000">
              <a:pos x="px10" y="py10"/>
            </a:cxn>
            <a:cxn ang="5400000">
              <a:pos x="px11" y="py11"/>
            </a:cxn>
            <a:cxn ang="10800000">
              <a:pos x="px12" y="py12"/>
            </a:cxn>
            <a:cxn ang="10800000">
              <a:pos x="px13" y="py13"/>
            </a:cxn>
            <a:cxn ang="10800000">
              <a:pos x="px14" y="py14"/>
            </a:cxn>
            <a:cxn ang="10800000">
              <a:pos x="px15" y="py15"/>
            </a:cxn>
          </a:cxnLst>
          <a:rect l="l" t="t" r="r" b="b"/>
          <a:pathLst>
            <a:path>
              <a:moveTo>
                <a:pt x="l" y="vc"/>
              </a:moveTo>
              <a:arcTo wR="wr" hR="hr" stAng="10800000" swAng="21600000"/>
              <a:close/>
            </a:path>
          </a:pathLst>
        </a:custGeom>
        <a:solidFill>
          <a:srgbClr val="FDECE4"/>
        </a:solidFill>
        <a:ln w="15875" cap="flat">
          <a:solidFill>
            <a:srgbClr val="C46B39"/>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利用者</a:t>
          </a:r>
          <a:endParaRPr lang="ja-JP" altLang="en-US" sz="850" dirty="0">
            <a:latin typeface="Meiryo UI"/>
            <a:ea typeface="Meiryo UI"/>
          </a:endParaRPr>
        </a:p>
      </xdr:txBody>
    </xdr:sp>
    <xdr:clientData/>
  </xdr:twoCellAnchor>
  <xdr:twoCellAnchor editAs="oneCell">
    <xdr:from>
      <xdr:col>60</xdr:col>
      <xdr:colOff>0</xdr:colOff>
      <xdr:row>44</xdr:row>
      <xdr:rowOff>0</xdr:rowOff>
    </xdr:from>
    <xdr:to>
      <xdr:col>64</xdr:col>
      <xdr:colOff>0</xdr:colOff>
      <xdr:row>48</xdr:row>
      <xdr:rowOff>0</xdr:rowOff>
    </xdr:to>
    <xdr:sp macro="" textlink="">
      <xdr:nvSpPr>
        <xdr:cNvPr id="371" name="ノード: 円・標準（ルートD）">
          <a:extLst>
            <a:ext uri="{FF2B5EF4-FFF2-40B4-BE49-F238E27FC236}">
              <a16:creationId xmlns:a16="http://schemas.microsoft.com/office/drawing/2014/main" id="{CF2C501A-BC12-4B6D-9C0B-028720616CF8}"/>
            </a:ext>
          </a:extLst>
        </xdr:cNvPr>
        <xdr:cNvSpPr/>
      </xdr:nvSpPr>
      <xdr:spPr>
        <a:xfrm>
          <a:off x="11430000" y="8382000"/>
          <a:ext cx="762000" cy="762000"/>
        </a:xfrm>
        <a:custGeom>
          <a:avLst/>
          <a:gdLst>
            <a:gd name="wr" fmla="*/ w 1 2"/>
            <a:gd name="hr" fmla="*/ h 1 2"/>
            <a:gd name="dx0" fmla="sin wr 18900000"/>
            <a:gd name="dy0" fmla="cos hr 18900000"/>
            <a:gd name="px0" fmla="+- hc dx0 0"/>
            <a:gd name="py0" fmla="+- vc 0 dy0"/>
            <a:gd name="dx1" fmla="sin wr 20250000"/>
            <a:gd name="dy1" fmla="cos hr 20250000"/>
            <a:gd name="px1" fmla="+- hc dx1 0"/>
            <a:gd name="py1" fmla="+- vc 0 dy1"/>
            <a:gd name="dx2" fmla="sin wr 0"/>
            <a:gd name="dy2" fmla="cos hr 0"/>
            <a:gd name="px2" fmla="+- hc dx2 0"/>
            <a:gd name="py2" fmla="+- vc 0 dy2"/>
            <a:gd name="dx3" fmla="sin wr 1350000"/>
            <a:gd name="dy3" fmla="cos hr 1350000"/>
            <a:gd name="px3" fmla="+- hc dx3 0"/>
            <a:gd name="py3" fmla="+- vc 0 dy3"/>
            <a:gd name="dx4" fmla="sin wr 2700000"/>
            <a:gd name="dy4" fmla="cos hr 2700000"/>
            <a:gd name="px4" fmla="+- hc dx4 0"/>
            <a:gd name="py4" fmla="+- vc 0 dy4"/>
            <a:gd name="dx5" fmla="sin wr 4050000"/>
            <a:gd name="dy5" fmla="cos hr 4050000"/>
            <a:gd name="px5" fmla="+- hc dx5 0"/>
            <a:gd name="py5" fmla="+- vc 0 dy5"/>
            <a:gd name="dx6" fmla="sin wr 5400000"/>
            <a:gd name="dy6" fmla="cos hr 5400000"/>
            <a:gd name="px6" fmla="+- hc dx6 0"/>
            <a:gd name="py6" fmla="+- vc 0 dy6"/>
            <a:gd name="dx7" fmla="sin wr 6750000"/>
            <a:gd name="dy7" fmla="cos hr 6750000"/>
            <a:gd name="px7" fmla="+- hc dx7 0"/>
            <a:gd name="py7" fmla="+- vc 0 dy7"/>
            <a:gd name="dx8" fmla="sin wr 8100000"/>
            <a:gd name="dy8" fmla="cos hr 8100000"/>
            <a:gd name="px8" fmla="+- hc dx8 0"/>
            <a:gd name="py8" fmla="+- vc 0 dy8"/>
            <a:gd name="dx9" fmla="sin wr 9450000"/>
            <a:gd name="dy9" fmla="cos hr 9450000"/>
            <a:gd name="px9" fmla="+- hc dx9 0"/>
            <a:gd name="py9" fmla="+- vc 0 dy9"/>
            <a:gd name="dx10" fmla="sin wr 10800000"/>
            <a:gd name="dy10" fmla="cos hr 10800000"/>
            <a:gd name="px10" fmla="+- hc dx10 0"/>
            <a:gd name="py10" fmla="+- vc 0 dy10"/>
            <a:gd name="dx11" fmla="sin wr 12150000"/>
            <a:gd name="dy11" fmla="cos hr 12150000"/>
            <a:gd name="px11" fmla="+- hc dx11 0"/>
            <a:gd name="py11" fmla="+- vc 0 dy11"/>
            <a:gd name="dx12" fmla="sin wr 13500000"/>
            <a:gd name="dy12" fmla="cos hr 13500000"/>
            <a:gd name="px12" fmla="+- hc dx12 0"/>
            <a:gd name="py12" fmla="+- vc 0 dy12"/>
            <a:gd name="dx13" fmla="sin wr 14850000"/>
            <a:gd name="dy13" fmla="cos hr 14850000"/>
            <a:gd name="px13" fmla="+- hc dx13 0"/>
            <a:gd name="py13" fmla="+- vc 0 dy13"/>
            <a:gd name="dx14" fmla="sin wr 16200000"/>
            <a:gd name="dy14" fmla="cos hr 16200000"/>
            <a:gd name="px14" fmla="+- hc dx14 0"/>
            <a:gd name="py14" fmla="+- vc 0 dy14"/>
            <a:gd name="dx15" fmla="sin wr 17550000"/>
            <a:gd name="dy15" fmla="cos hr 17550000"/>
            <a:gd name="px15" fmla="+- hc dx15 0"/>
            <a:gd name="py15" fmla="+- vc 0 dy15"/>
          </a:gdLst>
          <a:ahLst/>
          <a:cxnLst>
            <a:cxn ang="10800000">
              <a:pos x="px0" y="py0"/>
            </a:cxn>
            <a:cxn ang="16200000">
              <a:pos x="px1" y="py1"/>
            </a:cxn>
            <a:cxn ang="16200000">
              <a:pos x="px2" y="py2"/>
            </a:cxn>
            <a:cxn ang="16200000">
              <a:pos x="px3" y="py3"/>
            </a:cxn>
            <a:cxn ang="0">
              <a:pos x="px4" y="py4"/>
            </a:cxn>
            <a:cxn ang="0">
              <a:pos x="px5" y="py5"/>
            </a:cxn>
            <a:cxn ang="0">
              <a:pos x="px6" y="py6"/>
            </a:cxn>
            <a:cxn ang="0">
              <a:pos x="px7" y="py7"/>
            </a:cxn>
            <a:cxn ang="0">
              <a:pos x="px8" y="py8"/>
            </a:cxn>
            <a:cxn ang="5400000">
              <a:pos x="px9" y="py9"/>
            </a:cxn>
            <a:cxn ang="5400000">
              <a:pos x="px10" y="py10"/>
            </a:cxn>
            <a:cxn ang="5400000">
              <a:pos x="px11" y="py11"/>
            </a:cxn>
            <a:cxn ang="10800000">
              <a:pos x="px12" y="py12"/>
            </a:cxn>
            <a:cxn ang="10800000">
              <a:pos x="px13" y="py13"/>
            </a:cxn>
            <a:cxn ang="10800000">
              <a:pos x="px14" y="py14"/>
            </a:cxn>
            <a:cxn ang="10800000">
              <a:pos x="px15" y="py15"/>
            </a:cxn>
          </a:cxnLst>
          <a:rect l="l" t="t" r="r" b="b"/>
          <a:pathLst>
            <a:path>
              <a:moveTo>
                <a:pt x="l" y="vc"/>
              </a:moveTo>
              <a:arcTo wR="wr" hR="hr" stAng="10800000" swAng="21600000"/>
              <a:close/>
            </a:path>
          </a:pathLst>
        </a:custGeom>
        <a:solidFill>
          <a:srgbClr val="F5EEFC"/>
        </a:solidFill>
        <a:ln w="15875" cap="flat">
          <a:solidFill>
            <a:srgbClr val="876BA6"/>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利用者</a:t>
          </a:r>
          <a:endParaRPr lang="ja-JP" altLang="en-US" sz="850" dirty="0">
            <a:latin typeface="Meiryo UI"/>
            <a:ea typeface="Meiryo UI"/>
          </a:endParaRPr>
        </a:p>
      </xdr:txBody>
    </xdr:sp>
    <xdr:clientData/>
  </xdr:twoCellAnchor>
  <xdr:twoCellAnchor editAs="oneCell">
    <xdr:from>
      <xdr:col>71</xdr:col>
      <xdr:colOff>0</xdr:colOff>
      <xdr:row>44</xdr:row>
      <xdr:rowOff>0</xdr:rowOff>
    </xdr:from>
    <xdr:to>
      <xdr:col>75</xdr:col>
      <xdr:colOff>0</xdr:colOff>
      <xdr:row>48</xdr:row>
      <xdr:rowOff>0</xdr:rowOff>
    </xdr:to>
    <xdr:sp macro="" textlink="">
      <xdr:nvSpPr>
        <xdr:cNvPr id="372" name="ノード: 円・標準（ルートE）">
          <a:extLst>
            <a:ext uri="{FF2B5EF4-FFF2-40B4-BE49-F238E27FC236}">
              <a16:creationId xmlns:a16="http://schemas.microsoft.com/office/drawing/2014/main" id="{51B8FD60-FBA8-402E-922C-7214FAAEF74E}"/>
            </a:ext>
          </a:extLst>
        </xdr:cNvPr>
        <xdr:cNvSpPr/>
      </xdr:nvSpPr>
      <xdr:spPr>
        <a:xfrm>
          <a:off x="13525500" y="8382000"/>
          <a:ext cx="762000" cy="762000"/>
        </a:xfrm>
        <a:custGeom>
          <a:avLst/>
          <a:gdLst>
            <a:gd name="wr" fmla="*/ w 1 2"/>
            <a:gd name="hr" fmla="*/ h 1 2"/>
            <a:gd name="dx0" fmla="sin wr 18900000"/>
            <a:gd name="dy0" fmla="cos hr 18900000"/>
            <a:gd name="px0" fmla="+- hc dx0 0"/>
            <a:gd name="py0" fmla="+- vc 0 dy0"/>
            <a:gd name="dx1" fmla="sin wr 20250000"/>
            <a:gd name="dy1" fmla="cos hr 20250000"/>
            <a:gd name="px1" fmla="+- hc dx1 0"/>
            <a:gd name="py1" fmla="+- vc 0 dy1"/>
            <a:gd name="dx2" fmla="sin wr 0"/>
            <a:gd name="dy2" fmla="cos hr 0"/>
            <a:gd name="px2" fmla="+- hc dx2 0"/>
            <a:gd name="py2" fmla="+- vc 0 dy2"/>
            <a:gd name="dx3" fmla="sin wr 1350000"/>
            <a:gd name="dy3" fmla="cos hr 1350000"/>
            <a:gd name="px3" fmla="+- hc dx3 0"/>
            <a:gd name="py3" fmla="+- vc 0 dy3"/>
            <a:gd name="dx4" fmla="sin wr 2700000"/>
            <a:gd name="dy4" fmla="cos hr 2700000"/>
            <a:gd name="px4" fmla="+- hc dx4 0"/>
            <a:gd name="py4" fmla="+- vc 0 dy4"/>
            <a:gd name="dx5" fmla="sin wr 4050000"/>
            <a:gd name="dy5" fmla="cos hr 4050000"/>
            <a:gd name="px5" fmla="+- hc dx5 0"/>
            <a:gd name="py5" fmla="+- vc 0 dy5"/>
            <a:gd name="dx6" fmla="sin wr 5400000"/>
            <a:gd name="dy6" fmla="cos hr 5400000"/>
            <a:gd name="px6" fmla="+- hc dx6 0"/>
            <a:gd name="py6" fmla="+- vc 0 dy6"/>
            <a:gd name="dx7" fmla="sin wr 6750000"/>
            <a:gd name="dy7" fmla="cos hr 6750000"/>
            <a:gd name="px7" fmla="+- hc dx7 0"/>
            <a:gd name="py7" fmla="+- vc 0 dy7"/>
            <a:gd name="dx8" fmla="sin wr 8100000"/>
            <a:gd name="dy8" fmla="cos hr 8100000"/>
            <a:gd name="px8" fmla="+- hc dx8 0"/>
            <a:gd name="py8" fmla="+- vc 0 dy8"/>
            <a:gd name="dx9" fmla="sin wr 9450000"/>
            <a:gd name="dy9" fmla="cos hr 9450000"/>
            <a:gd name="px9" fmla="+- hc dx9 0"/>
            <a:gd name="py9" fmla="+- vc 0 dy9"/>
            <a:gd name="dx10" fmla="sin wr 10800000"/>
            <a:gd name="dy10" fmla="cos hr 10800000"/>
            <a:gd name="px10" fmla="+- hc dx10 0"/>
            <a:gd name="py10" fmla="+- vc 0 dy10"/>
            <a:gd name="dx11" fmla="sin wr 12150000"/>
            <a:gd name="dy11" fmla="cos hr 12150000"/>
            <a:gd name="px11" fmla="+- hc dx11 0"/>
            <a:gd name="py11" fmla="+- vc 0 dy11"/>
            <a:gd name="dx12" fmla="sin wr 13500000"/>
            <a:gd name="dy12" fmla="cos hr 13500000"/>
            <a:gd name="px12" fmla="+- hc dx12 0"/>
            <a:gd name="py12" fmla="+- vc 0 dy12"/>
            <a:gd name="dx13" fmla="sin wr 14850000"/>
            <a:gd name="dy13" fmla="cos hr 14850000"/>
            <a:gd name="px13" fmla="+- hc dx13 0"/>
            <a:gd name="py13" fmla="+- vc 0 dy13"/>
            <a:gd name="dx14" fmla="sin wr 16200000"/>
            <a:gd name="dy14" fmla="cos hr 16200000"/>
            <a:gd name="px14" fmla="+- hc dx14 0"/>
            <a:gd name="py14" fmla="+- vc 0 dy14"/>
            <a:gd name="dx15" fmla="sin wr 17550000"/>
            <a:gd name="dy15" fmla="cos hr 17550000"/>
            <a:gd name="px15" fmla="+- hc dx15 0"/>
            <a:gd name="py15" fmla="+- vc 0 dy15"/>
          </a:gdLst>
          <a:ahLst/>
          <a:cxnLst>
            <a:cxn ang="10800000">
              <a:pos x="px0" y="py0"/>
            </a:cxn>
            <a:cxn ang="16200000">
              <a:pos x="px1" y="py1"/>
            </a:cxn>
            <a:cxn ang="16200000">
              <a:pos x="px2" y="py2"/>
            </a:cxn>
            <a:cxn ang="16200000">
              <a:pos x="px3" y="py3"/>
            </a:cxn>
            <a:cxn ang="0">
              <a:pos x="px4" y="py4"/>
            </a:cxn>
            <a:cxn ang="0">
              <a:pos x="px5" y="py5"/>
            </a:cxn>
            <a:cxn ang="0">
              <a:pos x="px6" y="py6"/>
            </a:cxn>
            <a:cxn ang="0">
              <a:pos x="px7" y="py7"/>
            </a:cxn>
            <a:cxn ang="0">
              <a:pos x="px8" y="py8"/>
            </a:cxn>
            <a:cxn ang="5400000">
              <a:pos x="px9" y="py9"/>
            </a:cxn>
            <a:cxn ang="5400000">
              <a:pos x="px10" y="py10"/>
            </a:cxn>
            <a:cxn ang="5400000">
              <a:pos x="px11" y="py11"/>
            </a:cxn>
            <a:cxn ang="10800000">
              <a:pos x="px12" y="py12"/>
            </a:cxn>
            <a:cxn ang="10800000">
              <a:pos x="px13" y="py13"/>
            </a:cxn>
            <a:cxn ang="10800000">
              <a:pos x="px14" y="py14"/>
            </a:cxn>
            <a:cxn ang="10800000">
              <a:pos x="px15" y="py15"/>
            </a:cxn>
          </a:cxnLst>
          <a:rect l="l" t="t" r="r" b="b"/>
          <a:pathLst>
            <a:path>
              <a:moveTo>
                <a:pt x="l" y="vc"/>
              </a:moveTo>
              <a:arcTo wR="wr" hR="hr" stAng="10800000" swAng="21600000"/>
              <a:close/>
            </a:path>
          </a:pathLst>
        </a:custGeom>
        <a:solidFill>
          <a:srgbClr val="FFECF0"/>
        </a:solidFill>
        <a:ln w="15875" cap="flat">
          <a:solidFill>
            <a:srgbClr val="B04B68"/>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利用者</a:t>
          </a:r>
          <a:endParaRPr lang="ja-JP" altLang="en-US" sz="850" dirty="0">
            <a:latin typeface="Meiryo UI"/>
            <a:ea typeface="Meiryo UI"/>
          </a:endParaRPr>
        </a:p>
      </xdr:txBody>
    </xdr:sp>
    <xdr:clientData/>
  </xdr:twoCellAnchor>
  <xdr:twoCellAnchor editAs="oneCell">
    <xdr:from>
      <xdr:col>82</xdr:col>
      <xdr:colOff>0</xdr:colOff>
      <xdr:row>44</xdr:row>
      <xdr:rowOff>0</xdr:rowOff>
    </xdr:from>
    <xdr:to>
      <xdr:col>86</xdr:col>
      <xdr:colOff>0</xdr:colOff>
      <xdr:row>48</xdr:row>
      <xdr:rowOff>0</xdr:rowOff>
    </xdr:to>
    <xdr:sp macro="" textlink="">
      <xdr:nvSpPr>
        <xdr:cNvPr id="373" name="ノード: 円・標準（ルートF）">
          <a:extLst>
            <a:ext uri="{FF2B5EF4-FFF2-40B4-BE49-F238E27FC236}">
              <a16:creationId xmlns:a16="http://schemas.microsoft.com/office/drawing/2014/main" id="{1371AEA5-4DAB-4C10-82C5-9FB691DABE0F}"/>
            </a:ext>
          </a:extLst>
        </xdr:cNvPr>
        <xdr:cNvSpPr/>
      </xdr:nvSpPr>
      <xdr:spPr>
        <a:xfrm>
          <a:off x="15621000" y="8382000"/>
          <a:ext cx="762000" cy="762000"/>
        </a:xfrm>
        <a:custGeom>
          <a:avLst/>
          <a:gdLst>
            <a:gd name="wr" fmla="*/ w 1 2"/>
            <a:gd name="hr" fmla="*/ h 1 2"/>
            <a:gd name="dx0" fmla="sin wr 18900000"/>
            <a:gd name="dy0" fmla="cos hr 18900000"/>
            <a:gd name="px0" fmla="+- hc dx0 0"/>
            <a:gd name="py0" fmla="+- vc 0 dy0"/>
            <a:gd name="dx1" fmla="sin wr 20250000"/>
            <a:gd name="dy1" fmla="cos hr 20250000"/>
            <a:gd name="px1" fmla="+- hc dx1 0"/>
            <a:gd name="py1" fmla="+- vc 0 dy1"/>
            <a:gd name="dx2" fmla="sin wr 0"/>
            <a:gd name="dy2" fmla="cos hr 0"/>
            <a:gd name="px2" fmla="+- hc dx2 0"/>
            <a:gd name="py2" fmla="+- vc 0 dy2"/>
            <a:gd name="dx3" fmla="sin wr 1350000"/>
            <a:gd name="dy3" fmla="cos hr 1350000"/>
            <a:gd name="px3" fmla="+- hc dx3 0"/>
            <a:gd name="py3" fmla="+- vc 0 dy3"/>
            <a:gd name="dx4" fmla="sin wr 2700000"/>
            <a:gd name="dy4" fmla="cos hr 2700000"/>
            <a:gd name="px4" fmla="+- hc dx4 0"/>
            <a:gd name="py4" fmla="+- vc 0 dy4"/>
            <a:gd name="dx5" fmla="sin wr 4050000"/>
            <a:gd name="dy5" fmla="cos hr 4050000"/>
            <a:gd name="px5" fmla="+- hc dx5 0"/>
            <a:gd name="py5" fmla="+- vc 0 dy5"/>
            <a:gd name="dx6" fmla="sin wr 5400000"/>
            <a:gd name="dy6" fmla="cos hr 5400000"/>
            <a:gd name="px6" fmla="+- hc dx6 0"/>
            <a:gd name="py6" fmla="+- vc 0 dy6"/>
            <a:gd name="dx7" fmla="sin wr 6750000"/>
            <a:gd name="dy7" fmla="cos hr 6750000"/>
            <a:gd name="px7" fmla="+- hc dx7 0"/>
            <a:gd name="py7" fmla="+- vc 0 dy7"/>
            <a:gd name="dx8" fmla="sin wr 8100000"/>
            <a:gd name="dy8" fmla="cos hr 8100000"/>
            <a:gd name="px8" fmla="+- hc dx8 0"/>
            <a:gd name="py8" fmla="+- vc 0 dy8"/>
            <a:gd name="dx9" fmla="sin wr 9450000"/>
            <a:gd name="dy9" fmla="cos hr 9450000"/>
            <a:gd name="px9" fmla="+- hc dx9 0"/>
            <a:gd name="py9" fmla="+- vc 0 dy9"/>
            <a:gd name="dx10" fmla="sin wr 10800000"/>
            <a:gd name="dy10" fmla="cos hr 10800000"/>
            <a:gd name="px10" fmla="+- hc dx10 0"/>
            <a:gd name="py10" fmla="+- vc 0 dy10"/>
            <a:gd name="dx11" fmla="sin wr 12150000"/>
            <a:gd name="dy11" fmla="cos hr 12150000"/>
            <a:gd name="px11" fmla="+- hc dx11 0"/>
            <a:gd name="py11" fmla="+- vc 0 dy11"/>
            <a:gd name="dx12" fmla="sin wr 13500000"/>
            <a:gd name="dy12" fmla="cos hr 13500000"/>
            <a:gd name="px12" fmla="+- hc dx12 0"/>
            <a:gd name="py12" fmla="+- vc 0 dy12"/>
            <a:gd name="dx13" fmla="sin wr 14850000"/>
            <a:gd name="dy13" fmla="cos hr 14850000"/>
            <a:gd name="px13" fmla="+- hc dx13 0"/>
            <a:gd name="py13" fmla="+- vc 0 dy13"/>
            <a:gd name="dx14" fmla="sin wr 16200000"/>
            <a:gd name="dy14" fmla="cos hr 16200000"/>
            <a:gd name="px14" fmla="+- hc dx14 0"/>
            <a:gd name="py14" fmla="+- vc 0 dy14"/>
            <a:gd name="dx15" fmla="sin wr 17550000"/>
            <a:gd name="dy15" fmla="cos hr 17550000"/>
            <a:gd name="px15" fmla="+- hc dx15 0"/>
            <a:gd name="py15" fmla="+- vc 0 dy15"/>
          </a:gdLst>
          <a:ahLst/>
          <a:cxnLst>
            <a:cxn ang="10800000">
              <a:pos x="px0" y="py0"/>
            </a:cxn>
            <a:cxn ang="16200000">
              <a:pos x="px1" y="py1"/>
            </a:cxn>
            <a:cxn ang="16200000">
              <a:pos x="px2" y="py2"/>
            </a:cxn>
            <a:cxn ang="16200000">
              <a:pos x="px3" y="py3"/>
            </a:cxn>
            <a:cxn ang="0">
              <a:pos x="px4" y="py4"/>
            </a:cxn>
            <a:cxn ang="0">
              <a:pos x="px5" y="py5"/>
            </a:cxn>
            <a:cxn ang="0">
              <a:pos x="px6" y="py6"/>
            </a:cxn>
            <a:cxn ang="0">
              <a:pos x="px7" y="py7"/>
            </a:cxn>
            <a:cxn ang="0">
              <a:pos x="px8" y="py8"/>
            </a:cxn>
            <a:cxn ang="5400000">
              <a:pos x="px9" y="py9"/>
            </a:cxn>
            <a:cxn ang="5400000">
              <a:pos x="px10" y="py10"/>
            </a:cxn>
            <a:cxn ang="5400000">
              <a:pos x="px11" y="py11"/>
            </a:cxn>
            <a:cxn ang="10800000">
              <a:pos x="px12" y="py12"/>
            </a:cxn>
            <a:cxn ang="10800000">
              <a:pos x="px13" y="py13"/>
            </a:cxn>
            <a:cxn ang="10800000">
              <a:pos x="px14" y="py14"/>
            </a:cxn>
            <a:cxn ang="10800000">
              <a:pos x="px15" y="py15"/>
            </a:cxn>
          </a:cxnLst>
          <a:rect l="l" t="t" r="r" b="b"/>
          <a:pathLst>
            <a:path>
              <a:moveTo>
                <a:pt x="l" y="vc"/>
              </a:moveTo>
              <a:arcTo wR="wr" hR="hr" stAng="10800000" swAng="21600000"/>
              <a:close/>
            </a:path>
          </a:pathLst>
        </a:custGeom>
        <a:solidFill>
          <a:srgbClr val="F4F1E2"/>
        </a:solidFill>
        <a:ln w="15875" cap="flat">
          <a:solidFill>
            <a:srgbClr val="6B651D"/>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利用者</a:t>
          </a:r>
          <a:endParaRPr lang="ja-JP" altLang="en-US" sz="850" dirty="0">
            <a:latin typeface="Meiryo UI"/>
            <a:ea typeface="Meiryo UI"/>
          </a:endParaRPr>
        </a:p>
      </xdr:txBody>
    </xdr:sp>
    <xdr:clientData/>
  </xdr:twoCellAnchor>
  <xdr:twoCellAnchor editAs="oneCell">
    <xdr:from>
      <xdr:col>11</xdr:col>
      <xdr:colOff>0</xdr:colOff>
      <xdr:row>50</xdr:row>
      <xdr:rowOff>0</xdr:rowOff>
    </xdr:from>
    <xdr:to>
      <xdr:col>15</xdr:col>
      <xdr:colOff>0</xdr:colOff>
      <xdr:row>54</xdr:row>
      <xdr:rowOff>0</xdr:rowOff>
    </xdr:to>
    <xdr:sp macro="" textlink="">
      <xdr:nvSpPr>
        <xdr:cNvPr id="374" name="ノード: 円柱・標準（共通）">
          <a:extLst>
            <a:ext uri="{FF2B5EF4-FFF2-40B4-BE49-F238E27FC236}">
              <a16:creationId xmlns:a16="http://schemas.microsoft.com/office/drawing/2014/main" id="{3E462B77-55EF-4F6D-A7C6-8D9A91C9BAA6}"/>
            </a:ext>
          </a:extLst>
        </xdr:cNvPr>
        <xdr:cNvSpPr/>
      </xdr:nvSpPr>
      <xdr:spPr>
        <a:xfrm>
          <a:off x="2095500" y="9525000"/>
          <a:ext cx="762000" cy="76200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FFFFFF"/>
        </a:solidFill>
        <a:ln w="12700" cap="flat">
          <a:solidFill>
            <a:srgbClr val="404040"/>
          </a:solidFill>
          <a:round/>
        </a:ln>
      </xdr:spPr>
      <xdr:txBody>
        <a:bodyPr vertOverflow="overflow" horzOverflow="overflow" wrap="square" lIns="25400" tIns="76200" rIns="25400" bIns="25400" rtlCol="0" anchor="ctr">
          <a:noAutofit/>
        </a:bodyPr>
        <a:lstStyle/>
        <a:p>
          <a:pPr algn="ctr">
            <a:lnSpc>
              <a:spcPct val="95000"/>
            </a:lnSpc>
          </a:pPr>
          <a:r>
            <a:rPr lang="ja-JP" altLang="en-US" sz="850" b="1" dirty="0">
              <a:solidFill>
                <a:srgbClr val="262626"/>
              </a:solidFill>
              <a:latin typeface="Meiryo UI"/>
              <a:ea typeface="Meiryo UI"/>
              <a:cs typeface="Meiryo UI"/>
            </a:rPr>
            <a:t>DB</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ストレージ</a:t>
          </a:r>
          <a:endParaRPr lang="ja-JP" altLang="en-US" sz="700" dirty="0">
            <a:latin typeface="Meiryo UI"/>
            <a:ea typeface="Meiryo UI"/>
          </a:endParaRPr>
        </a:p>
      </xdr:txBody>
    </xdr:sp>
    <xdr:clientData/>
  </xdr:twoCellAnchor>
  <xdr:twoCellAnchor editAs="oneCell">
    <xdr:from>
      <xdr:col>22</xdr:col>
      <xdr:colOff>0</xdr:colOff>
      <xdr:row>50</xdr:row>
      <xdr:rowOff>0</xdr:rowOff>
    </xdr:from>
    <xdr:to>
      <xdr:col>26</xdr:col>
      <xdr:colOff>0</xdr:colOff>
      <xdr:row>54</xdr:row>
      <xdr:rowOff>0</xdr:rowOff>
    </xdr:to>
    <xdr:sp macro="" textlink="">
      <xdr:nvSpPr>
        <xdr:cNvPr id="375" name="ノード: 円柱・標準（ルートA）">
          <a:extLst>
            <a:ext uri="{FF2B5EF4-FFF2-40B4-BE49-F238E27FC236}">
              <a16:creationId xmlns:a16="http://schemas.microsoft.com/office/drawing/2014/main" id="{926F50FB-18D3-419F-AFA3-1540390DD2E6}"/>
            </a:ext>
          </a:extLst>
        </xdr:cNvPr>
        <xdr:cNvSpPr/>
      </xdr:nvSpPr>
      <xdr:spPr>
        <a:xfrm>
          <a:off x="4191000" y="9525000"/>
          <a:ext cx="762000" cy="76200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E7F1FF"/>
        </a:solidFill>
        <a:ln w="15875" cap="flat">
          <a:solidFill>
            <a:srgbClr val="315C92"/>
          </a:solidFill>
          <a:round/>
        </a:ln>
      </xdr:spPr>
      <xdr:txBody>
        <a:bodyPr vertOverflow="overflow" horzOverflow="overflow" wrap="square" lIns="25400" tIns="76200" rIns="25400" bIns="25400" rtlCol="0" anchor="ctr">
          <a:noAutofit/>
        </a:bodyPr>
        <a:lstStyle/>
        <a:p>
          <a:pPr algn="ctr">
            <a:lnSpc>
              <a:spcPct val="95000"/>
            </a:lnSpc>
          </a:pPr>
          <a:r>
            <a:rPr lang="ja-JP" altLang="en-US" sz="850" b="1" dirty="0">
              <a:solidFill>
                <a:srgbClr val="262626"/>
              </a:solidFill>
              <a:latin typeface="Meiryo UI"/>
              <a:ea typeface="Meiryo UI"/>
              <a:cs typeface="Meiryo UI"/>
            </a:rPr>
            <a:t>DB</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ストレージ</a:t>
          </a:r>
          <a:endParaRPr lang="ja-JP" altLang="en-US" sz="700" dirty="0">
            <a:latin typeface="Meiryo UI"/>
            <a:ea typeface="Meiryo UI"/>
          </a:endParaRPr>
        </a:p>
      </xdr:txBody>
    </xdr:sp>
    <xdr:clientData/>
  </xdr:twoCellAnchor>
  <xdr:twoCellAnchor editAs="oneCell">
    <xdr:from>
      <xdr:col>33</xdr:col>
      <xdr:colOff>0</xdr:colOff>
      <xdr:row>50</xdr:row>
      <xdr:rowOff>0</xdr:rowOff>
    </xdr:from>
    <xdr:to>
      <xdr:col>37</xdr:col>
      <xdr:colOff>0</xdr:colOff>
      <xdr:row>54</xdr:row>
      <xdr:rowOff>0</xdr:rowOff>
    </xdr:to>
    <xdr:sp macro="" textlink="">
      <xdr:nvSpPr>
        <xdr:cNvPr id="376" name="ノード: 円柱・標準（ルートB）">
          <a:extLst>
            <a:ext uri="{FF2B5EF4-FFF2-40B4-BE49-F238E27FC236}">
              <a16:creationId xmlns:a16="http://schemas.microsoft.com/office/drawing/2014/main" id="{61C5C2CE-3164-4401-B365-CB330B3B6A28}"/>
            </a:ext>
          </a:extLst>
        </xdr:cNvPr>
        <xdr:cNvSpPr/>
      </xdr:nvSpPr>
      <xdr:spPr>
        <a:xfrm>
          <a:off x="6286500" y="9525000"/>
          <a:ext cx="762000" cy="76200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E3F5EF"/>
        </a:solidFill>
        <a:ln w="15875" cap="flat">
          <a:solidFill>
            <a:srgbClr val="247966"/>
          </a:solidFill>
          <a:round/>
        </a:ln>
      </xdr:spPr>
      <xdr:txBody>
        <a:bodyPr vertOverflow="overflow" horzOverflow="overflow" wrap="square" lIns="25400" tIns="76200" rIns="25400" bIns="25400" rtlCol="0" anchor="ctr">
          <a:noAutofit/>
        </a:bodyPr>
        <a:lstStyle/>
        <a:p>
          <a:pPr algn="ctr">
            <a:lnSpc>
              <a:spcPct val="95000"/>
            </a:lnSpc>
          </a:pPr>
          <a:r>
            <a:rPr lang="ja-JP" altLang="en-US" sz="850" b="1" dirty="0">
              <a:solidFill>
                <a:srgbClr val="262626"/>
              </a:solidFill>
              <a:latin typeface="Meiryo UI"/>
              <a:ea typeface="Meiryo UI"/>
              <a:cs typeface="Meiryo UI"/>
            </a:rPr>
            <a:t>DB</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ストレージ</a:t>
          </a:r>
          <a:endParaRPr lang="ja-JP" altLang="en-US" sz="700" dirty="0">
            <a:latin typeface="Meiryo UI"/>
            <a:ea typeface="Meiryo UI"/>
          </a:endParaRPr>
        </a:p>
      </xdr:txBody>
    </xdr:sp>
    <xdr:clientData/>
  </xdr:twoCellAnchor>
  <xdr:twoCellAnchor editAs="oneCell">
    <xdr:from>
      <xdr:col>44</xdr:col>
      <xdr:colOff>0</xdr:colOff>
      <xdr:row>50</xdr:row>
      <xdr:rowOff>0</xdr:rowOff>
    </xdr:from>
    <xdr:to>
      <xdr:col>48</xdr:col>
      <xdr:colOff>0</xdr:colOff>
      <xdr:row>54</xdr:row>
      <xdr:rowOff>0</xdr:rowOff>
    </xdr:to>
    <xdr:sp macro="" textlink="">
      <xdr:nvSpPr>
        <xdr:cNvPr id="377" name="ノード: 円柱・標準（ルートC）">
          <a:extLst>
            <a:ext uri="{FF2B5EF4-FFF2-40B4-BE49-F238E27FC236}">
              <a16:creationId xmlns:a16="http://schemas.microsoft.com/office/drawing/2014/main" id="{C7417897-D948-44AE-A51E-200912D78802}"/>
            </a:ext>
          </a:extLst>
        </xdr:cNvPr>
        <xdr:cNvSpPr/>
      </xdr:nvSpPr>
      <xdr:spPr>
        <a:xfrm>
          <a:off x="8382000" y="9525000"/>
          <a:ext cx="762000" cy="76200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FDECE4"/>
        </a:solidFill>
        <a:ln w="15875" cap="flat">
          <a:solidFill>
            <a:srgbClr val="C46B39"/>
          </a:solidFill>
          <a:round/>
        </a:ln>
      </xdr:spPr>
      <xdr:txBody>
        <a:bodyPr vertOverflow="overflow" horzOverflow="overflow" wrap="square" lIns="25400" tIns="76200" rIns="25400" bIns="25400" rtlCol="0" anchor="ctr">
          <a:noAutofit/>
        </a:bodyPr>
        <a:lstStyle/>
        <a:p>
          <a:pPr algn="ctr">
            <a:lnSpc>
              <a:spcPct val="95000"/>
            </a:lnSpc>
          </a:pPr>
          <a:r>
            <a:rPr lang="ja-JP" altLang="en-US" sz="850" b="1" dirty="0">
              <a:solidFill>
                <a:srgbClr val="262626"/>
              </a:solidFill>
              <a:latin typeface="Meiryo UI"/>
              <a:ea typeface="Meiryo UI"/>
              <a:cs typeface="Meiryo UI"/>
            </a:rPr>
            <a:t>DB</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ストレージ</a:t>
          </a:r>
          <a:endParaRPr lang="ja-JP" altLang="en-US" sz="700" dirty="0">
            <a:latin typeface="Meiryo UI"/>
            <a:ea typeface="Meiryo UI"/>
          </a:endParaRPr>
        </a:p>
      </xdr:txBody>
    </xdr:sp>
    <xdr:clientData/>
  </xdr:twoCellAnchor>
  <xdr:twoCellAnchor editAs="oneCell">
    <xdr:from>
      <xdr:col>55</xdr:col>
      <xdr:colOff>0</xdr:colOff>
      <xdr:row>50</xdr:row>
      <xdr:rowOff>0</xdr:rowOff>
    </xdr:from>
    <xdr:to>
      <xdr:col>59</xdr:col>
      <xdr:colOff>0</xdr:colOff>
      <xdr:row>54</xdr:row>
      <xdr:rowOff>0</xdr:rowOff>
    </xdr:to>
    <xdr:sp macro="" textlink="">
      <xdr:nvSpPr>
        <xdr:cNvPr id="378" name="ノード: 円柱・標準（ルートD）">
          <a:extLst>
            <a:ext uri="{FF2B5EF4-FFF2-40B4-BE49-F238E27FC236}">
              <a16:creationId xmlns:a16="http://schemas.microsoft.com/office/drawing/2014/main" id="{9D280305-8BB9-43F6-B1E1-E8241E5677DD}"/>
            </a:ext>
          </a:extLst>
        </xdr:cNvPr>
        <xdr:cNvSpPr/>
      </xdr:nvSpPr>
      <xdr:spPr>
        <a:xfrm>
          <a:off x="10477500" y="9525000"/>
          <a:ext cx="762000" cy="76200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F5EEFC"/>
        </a:solidFill>
        <a:ln w="15875" cap="flat">
          <a:solidFill>
            <a:srgbClr val="876BA6"/>
          </a:solidFill>
          <a:round/>
        </a:ln>
      </xdr:spPr>
      <xdr:txBody>
        <a:bodyPr vertOverflow="overflow" horzOverflow="overflow" wrap="square" lIns="25400" tIns="76200" rIns="25400" bIns="25400" rtlCol="0" anchor="ctr">
          <a:noAutofit/>
        </a:bodyPr>
        <a:lstStyle/>
        <a:p>
          <a:pPr algn="ctr">
            <a:lnSpc>
              <a:spcPct val="95000"/>
            </a:lnSpc>
          </a:pPr>
          <a:r>
            <a:rPr lang="ja-JP" altLang="en-US" sz="850" b="1" dirty="0">
              <a:solidFill>
                <a:srgbClr val="262626"/>
              </a:solidFill>
              <a:latin typeface="Meiryo UI"/>
              <a:ea typeface="Meiryo UI"/>
              <a:cs typeface="Meiryo UI"/>
            </a:rPr>
            <a:t>DB</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ストレージ</a:t>
          </a:r>
          <a:endParaRPr lang="ja-JP" altLang="en-US" sz="700" dirty="0">
            <a:latin typeface="Meiryo UI"/>
            <a:ea typeface="Meiryo UI"/>
          </a:endParaRPr>
        </a:p>
      </xdr:txBody>
    </xdr:sp>
    <xdr:clientData/>
  </xdr:twoCellAnchor>
  <xdr:twoCellAnchor editAs="oneCell">
    <xdr:from>
      <xdr:col>66</xdr:col>
      <xdr:colOff>0</xdr:colOff>
      <xdr:row>50</xdr:row>
      <xdr:rowOff>0</xdr:rowOff>
    </xdr:from>
    <xdr:to>
      <xdr:col>70</xdr:col>
      <xdr:colOff>0</xdr:colOff>
      <xdr:row>54</xdr:row>
      <xdr:rowOff>0</xdr:rowOff>
    </xdr:to>
    <xdr:sp macro="" textlink="">
      <xdr:nvSpPr>
        <xdr:cNvPr id="379" name="ノード: 円柱・標準（ルートE）">
          <a:extLst>
            <a:ext uri="{FF2B5EF4-FFF2-40B4-BE49-F238E27FC236}">
              <a16:creationId xmlns:a16="http://schemas.microsoft.com/office/drawing/2014/main" id="{592B27DF-8F6F-4154-A468-D332B9E8FFAC}"/>
            </a:ext>
          </a:extLst>
        </xdr:cNvPr>
        <xdr:cNvSpPr/>
      </xdr:nvSpPr>
      <xdr:spPr>
        <a:xfrm>
          <a:off x="12573000" y="9525000"/>
          <a:ext cx="762000" cy="76200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FFECF0"/>
        </a:solidFill>
        <a:ln w="15875" cap="flat">
          <a:solidFill>
            <a:srgbClr val="B04B68"/>
          </a:solidFill>
          <a:round/>
        </a:ln>
      </xdr:spPr>
      <xdr:txBody>
        <a:bodyPr vertOverflow="overflow" horzOverflow="overflow" wrap="square" lIns="25400" tIns="76200" rIns="25400" bIns="25400" rtlCol="0" anchor="ctr">
          <a:noAutofit/>
        </a:bodyPr>
        <a:lstStyle/>
        <a:p>
          <a:pPr algn="ctr">
            <a:lnSpc>
              <a:spcPct val="95000"/>
            </a:lnSpc>
          </a:pPr>
          <a:r>
            <a:rPr lang="ja-JP" altLang="en-US" sz="850" b="1" dirty="0">
              <a:solidFill>
                <a:srgbClr val="262626"/>
              </a:solidFill>
              <a:latin typeface="Meiryo UI"/>
              <a:ea typeface="Meiryo UI"/>
              <a:cs typeface="Meiryo UI"/>
            </a:rPr>
            <a:t>DB</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ストレージ</a:t>
          </a:r>
          <a:endParaRPr lang="ja-JP" altLang="en-US" sz="700" dirty="0">
            <a:latin typeface="Meiryo UI"/>
            <a:ea typeface="Meiryo UI"/>
          </a:endParaRPr>
        </a:p>
      </xdr:txBody>
    </xdr:sp>
    <xdr:clientData/>
  </xdr:twoCellAnchor>
  <xdr:twoCellAnchor editAs="oneCell">
    <xdr:from>
      <xdr:col>77</xdr:col>
      <xdr:colOff>0</xdr:colOff>
      <xdr:row>50</xdr:row>
      <xdr:rowOff>0</xdr:rowOff>
    </xdr:from>
    <xdr:to>
      <xdr:col>81</xdr:col>
      <xdr:colOff>0</xdr:colOff>
      <xdr:row>54</xdr:row>
      <xdr:rowOff>0</xdr:rowOff>
    </xdr:to>
    <xdr:sp macro="" textlink="">
      <xdr:nvSpPr>
        <xdr:cNvPr id="380" name="ノード: 円柱・標準（ルートF）">
          <a:extLst>
            <a:ext uri="{FF2B5EF4-FFF2-40B4-BE49-F238E27FC236}">
              <a16:creationId xmlns:a16="http://schemas.microsoft.com/office/drawing/2014/main" id="{7F99D1DF-9A02-4A30-922A-90746C090021}"/>
            </a:ext>
          </a:extLst>
        </xdr:cNvPr>
        <xdr:cNvSpPr/>
      </xdr:nvSpPr>
      <xdr:spPr>
        <a:xfrm>
          <a:off x="14668500" y="9525000"/>
          <a:ext cx="762000" cy="76200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F4F1E2"/>
        </a:solidFill>
        <a:ln w="15875" cap="flat">
          <a:solidFill>
            <a:srgbClr val="6B651D"/>
          </a:solidFill>
          <a:round/>
        </a:ln>
      </xdr:spPr>
      <xdr:txBody>
        <a:bodyPr vertOverflow="overflow" horzOverflow="overflow" wrap="square" lIns="25400" tIns="76200" rIns="25400" bIns="25400" rtlCol="0" anchor="ctr">
          <a:noAutofit/>
        </a:bodyPr>
        <a:lstStyle/>
        <a:p>
          <a:pPr algn="ctr">
            <a:lnSpc>
              <a:spcPct val="95000"/>
            </a:lnSpc>
          </a:pPr>
          <a:r>
            <a:rPr lang="ja-JP" altLang="en-US" sz="850" b="1" dirty="0">
              <a:solidFill>
                <a:srgbClr val="262626"/>
              </a:solidFill>
              <a:latin typeface="Meiryo UI"/>
              <a:ea typeface="Meiryo UI"/>
              <a:cs typeface="Meiryo UI"/>
            </a:rPr>
            <a:t>DB</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ストレージ</a:t>
          </a:r>
          <a:endParaRPr lang="ja-JP" altLang="en-US" sz="700" dirty="0">
            <a:latin typeface="Meiryo UI"/>
            <a:ea typeface="Meiryo UI"/>
          </a:endParaRPr>
        </a:p>
      </xdr:txBody>
    </xdr:sp>
    <xdr:clientData/>
  </xdr:twoCellAnchor>
  <xdr:twoCellAnchor editAs="oneCell">
    <xdr:from>
      <xdr:col>16</xdr:col>
      <xdr:colOff>0</xdr:colOff>
      <xdr:row>50</xdr:row>
      <xdr:rowOff>0</xdr:rowOff>
    </xdr:from>
    <xdr:to>
      <xdr:col>20</xdr:col>
      <xdr:colOff>0</xdr:colOff>
      <xdr:row>54</xdr:row>
      <xdr:rowOff>0</xdr:rowOff>
    </xdr:to>
    <xdr:sp macro="" textlink="">
      <xdr:nvSpPr>
        <xdr:cNvPr id="381" name="ノード: ファイル・標準（共通）">
          <a:extLst>
            <a:ext uri="{FF2B5EF4-FFF2-40B4-BE49-F238E27FC236}">
              <a16:creationId xmlns:a16="http://schemas.microsoft.com/office/drawing/2014/main" id="{B5106F8B-E1F6-4EDC-BC13-41861E9E0D81}"/>
            </a:ext>
          </a:extLst>
        </xdr:cNvPr>
        <xdr:cNvSpPr/>
      </xdr:nvSpPr>
      <xdr:spPr>
        <a:xfrm>
          <a:off x="3048000" y="9525000"/>
          <a:ext cx="762000" cy="762000"/>
        </a:xfrm>
        <a:custGeom>
          <a:avLst/>
          <a:gdLst>
            <a:gd name="x1" fmla="*/ w 1 4"/>
            <a:gd name="x2" fmla="*/ w 1 2"/>
            <a:gd name="x3" fmla="*/ w 3 4"/>
            <a:gd name="y1" fmla="*/ h 1 4"/>
            <a:gd name="y2" fmla="*/ h 1 2"/>
            <a:gd name="y3" fmla="*/ h 3 4"/>
            <a:gd name="smin" fmla="min w h"/>
            <a:gd name="fq" fmla="*/ smin 1 4"/>
            <a:gd name="f" fmla="min 127000 fq"/>
            <a:gd name="fx" fmla="+- r 0 f"/>
            <a:gd name="fy" fmla="+- t f 0"/>
            <a:gd name="fh" fmla="*/ f 1 2"/>
            <a:gd name="fmx" fmla="+- fx fh 0"/>
            <a:gd name="fmy" fmla="+- t fh 0"/>
          </a:gdLst>
          <a:ahLst/>
          <a:cxnLst>
            <a:cxn ang="10800000">
              <a:pos x="l" y="t"/>
            </a:cxn>
            <a:cxn ang="16200000">
              <a:pos x="x1" y="t"/>
            </a:cxn>
            <a:cxn ang="16200000">
              <a:pos x="x2" y="t"/>
            </a:cxn>
            <a:cxn ang="16200000">
              <a:pos x="x3" y="t"/>
            </a:cxn>
            <a:cxn ang="0">
              <a:pos x="fmx" y="fmy"/>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fx" y="t"/>
              </a:lnTo>
              <a:lnTo>
                <a:pt x="r" y="fy"/>
              </a:lnTo>
              <a:lnTo>
                <a:pt x="r" y="b"/>
              </a:lnTo>
              <a:lnTo>
                <a:pt x="l" y="b"/>
              </a:lnTo>
              <a:close/>
            </a:path>
            <a:path fill="darkenLess" extrusionOk="0">
              <a:moveTo>
                <a:pt x="fx" y="t"/>
              </a:moveTo>
              <a:lnTo>
                <a:pt x="fx" y="fy"/>
              </a:lnTo>
              <a:lnTo>
                <a:pt x="r" y="fy"/>
              </a:lnTo>
              <a:close/>
            </a:path>
          </a:pathLst>
        </a:custGeom>
        <a:solidFill>
          <a:srgbClr val="FFFFFF"/>
        </a:solidFill>
        <a:ln w="12700" cap="flat">
          <a:solidFill>
            <a:srgbClr val="404040"/>
          </a:solidFill>
          <a:round/>
        </a:ln>
      </xdr:spPr>
      <xdr:txBody>
        <a:bodyPr vertOverflow="overflow" horzOverflow="overflow" wrap="square" lIns="25400" tIns="50800" rIns="50800" bIns="25400" rtlCol="0" anchor="ctr">
          <a:noAutofit/>
        </a:bodyPr>
        <a:lstStyle/>
        <a:p>
          <a:pPr algn="ctr">
            <a:lnSpc>
              <a:spcPct val="95000"/>
            </a:lnSpc>
          </a:pPr>
          <a:r>
            <a:rPr lang="ja-JP" altLang="en-US" sz="850" b="1" dirty="0">
              <a:solidFill>
                <a:srgbClr val="262626"/>
              </a:solidFill>
              <a:latin typeface="Meiryo UI"/>
              <a:ea typeface="Meiryo UI"/>
              <a:cs typeface="Meiryo UI"/>
            </a:rPr>
            <a:t>ファイル</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CSV</a:t>
          </a:r>
          <a:endParaRPr lang="ja-JP" altLang="en-US" sz="700" dirty="0">
            <a:latin typeface="Meiryo UI"/>
            <a:ea typeface="Meiryo UI"/>
          </a:endParaRPr>
        </a:p>
      </xdr:txBody>
    </xdr:sp>
    <xdr:clientData/>
  </xdr:twoCellAnchor>
  <xdr:twoCellAnchor editAs="oneCell">
    <xdr:from>
      <xdr:col>27</xdr:col>
      <xdr:colOff>0</xdr:colOff>
      <xdr:row>50</xdr:row>
      <xdr:rowOff>0</xdr:rowOff>
    </xdr:from>
    <xdr:to>
      <xdr:col>31</xdr:col>
      <xdr:colOff>0</xdr:colOff>
      <xdr:row>54</xdr:row>
      <xdr:rowOff>0</xdr:rowOff>
    </xdr:to>
    <xdr:sp macro="" textlink="">
      <xdr:nvSpPr>
        <xdr:cNvPr id="382" name="ノード: ファイル・標準（ルートA）">
          <a:extLst>
            <a:ext uri="{FF2B5EF4-FFF2-40B4-BE49-F238E27FC236}">
              <a16:creationId xmlns:a16="http://schemas.microsoft.com/office/drawing/2014/main" id="{E1A9F5D5-29F5-4BE0-B1C8-C83C5B08DD35}"/>
            </a:ext>
          </a:extLst>
        </xdr:cNvPr>
        <xdr:cNvSpPr/>
      </xdr:nvSpPr>
      <xdr:spPr>
        <a:xfrm>
          <a:off x="5143500" y="9525000"/>
          <a:ext cx="762000" cy="762000"/>
        </a:xfrm>
        <a:custGeom>
          <a:avLst/>
          <a:gdLst>
            <a:gd name="x1" fmla="*/ w 1 4"/>
            <a:gd name="x2" fmla="*/ w 1 2"/>
            <a:gd name="x3" fmla="*/ w 3 4"/>
            <a:gd name="y1" fmla="*/ h 1 4"/>
            <a:gd name="y2" fmla="*/ h 1 2"/>
            <a:gd name="y3" fmla="*/ h 3 4"/>
            <a:gd name="smin" fmla="min w h"/>
            <a:gd name="fq" fmla="*/ smin 1 4"/>
            <a:gd name="f" fmla="min 127000 fq"/>
            <a:gd name="fx" fmla="+- r 0 f"/>
            <a:gd name="fy" fmla="+- t f 0"/>
            <a:gd name="fh" fmla="*/ f 1 2"/>
            <a:gd name="fmx" fmla="+- fx fh 0"/>
            <a:gd name="fmy" fmla="+- t fh 0"/>
          </a:gdLst>
          <a:ahLst/>
          <a:cxnLst>
            <a:cxn ang="10800000">
              <a:pos x="l" y="t"/>
            </a:cxn>
            <a:cxn ang="16200000">
              <a:pos x="x1" y="t"/>
            </a:cxn>
            <a:cxn ang="16200000">
              <a:pos x="x2" y="t"/>
            </a:cxn>
            <a:cxn ang="16200000">
              <a:pos x="x3" y="t"/>
            </a:cxn>
            <a:cxn ang="0">
              <a:pos x="fmx" y="fmy"/>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fx" y="t"/>
              </a:lnTo>
              <a:lnTo>
                <a:pt x="r" y="fy"/>
              </a:lnTo>
              <a:lnTo>
                <a:pt x="r" y="b"/>
              </a:lnTo>
              <a:lnTo>
                <a:pt x="l" y="b"/>
              </a:lnTo>
              <a:close/>
            </a:path>
            <a:path fill="darkenLess" extrusionOk="0">
              <a:moveTo>
                <a:pt x="fx" y="t"/>
              </a:moveTo>
              <a:lnTo>
                <a:pt x="fx" y="fy"/>
              </a:lnTo>
              <a:lnTo>
                <a:pt x="r" y="fy"/>
              </a:lnTo>
              <a:close/>
            </a:path>
          </a:pathLst>
        </a:custGeom>
        <a:solidFill>
          <a:srgbClr val="E7F1FF"/>
        </a:solidFill>
        <a:ln w="15875" cap="flat">
          <a:solidFill>
            <a:srgbClr val="315C92"/>
          </a:solidFill>
          <a:round/>
        </a:ln>
      </xdr:spPr>
      <xdr:txBody>
        <a:bodyPr vertOverflow="overflow" horzOverflow="overflow" wrap="square" lIns="25400" tIns="50800" rIns="50800" bIns="25400" rtlCol="0" anchor="ctr">
          <a:noAutofit/>
        </a:bodyPr>
        <a:lstStyle/>
        <a:p>
          <a:pPr algn="ctr">
            <a:lnSpc>
              <a:spcPct val="95000"/>
            </a:lnSpc>
          </a:pPr>
          <a:r>
            <a:rPr lang="ja-JP" altLang="en-US" sz="850" b="1" dirty="0">
              <a:solidFill>
                <a:srgbClr val="262626"/>
              </a:solidFill>
              <a:latin typeface="Meiryo UI"/>
              <a:ea typeface="Meiryo UI"/>
              <a:cs typeface="Meiryo UI"/>
            </a:rPr>
            <a:t>ファイル</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CSV</a:t>
          </a:r>
          <a:endParaRPr lang="ja-JP" altLang="en-US" sz="700" dirty="0">
            <a:latin typeface="Meiryo UI"/>
            <a:ea typeface="Meiryo UI"/>
          </a:endParaRPr>
        </a:p>
      </xdr:txBody>
    </xdr:sp>
    <xdr:clientData/>
  </xdr:twoCellAnchor>
  <xdr:twoCellAnchor editAs="oneCell">
    <xdr:from>
      <xdr:col>38</xdr:col>
      <xdr:colOff>0</xdr:colOff>
      <xdr:row>50</xdr:row>
      <xdr:rowOff>0</xdr:rowOff>
    </xdr:from>
    <xdr:to>
      <xdr:col>42</xdr:col>
      <xdr:colOff>0</xdr:colOff>
      <xdr:row>54</xdr:row>
      <xdr:rowOff>0</xdr:rowOff>
    </xdr:to>
    <xdr:sp macro="" textlink="">
      <xdr:nvSpPr>
        <xdr:cNvPr id="383" name="ノード: ファイル・標準（ルートB）">
          <a:extLst>
            <a:ext uri="{FF2B5EF4-FFF2-40B4-BE49-F238E27FC236}">
              <a16:creationId xmlns:a16="http://schemas.microsoft.com/office/drawing/2014/main" id="{DDA0C996-CB41-44D4-AF7F-5DC5F0C5809C}"/>
            </a:ext>
          </a:extLst>
        </xdr:cNvPr>
        <xdr:cNvSpPr/>
      </xdr:nvSpPr>
      <xdr:spPr>
        <a:xfrm>
          <a:off x="7239000" y="9525000"/>
          <a:ext cx="762000" cy="762000"/>
        </a:xfrm>
        <a:custGeom>
          <a:avLst/>
          <a:gdLst>
            <a:gd name="x1" fmla="*/ w 1 4"/>
            <a:gd name="x2" fmla="*/ w 1 2"/>
            <a:gd name="x3" fmla="*/ w 3 4"/>
            <a:gd name="y1" fmla="*/ h 1 4"/>
            <a:gd name="y2" fmla="*/ h 1 2"/>
            <a:gd name="y3" fmla="*/ h 3 4"/>
            <a:gd name="smin" fmla="min w h"/>
            <a:gd name="fq" fmla="*/ smin 1 4"/>
            <a:gd name="f" fmla="min 127000 fq"/>
            <a:gd name="fx" fmla="+- r 0 f"/>
            <a:gd name="fy" fmla="+- t f 0"/>
            <a:gd name="fh" fmla="*/ f 1 2"/>
            <a:gd name="fmx" fmla="+- fx fh 0"/>
            <a:gd name="fmy" fmla="+- t fh 0"/>
          </a:gdLst>
          <a:ahLst/>
          <a:cxnLst>
            <a:cxn ang="10800000">
              <a:pos x="l" y="t"/>
            </a:cxn>
            <a:cxn ang="16200000">
              <a:pos x="x1" y="t"/>
            </a:cxn>
            <a:cxn ang="16200000">
              <a:pos x="x2" y="t"/>
            </a:cxn>
            <a:cxn ang="16200000">
              <a:pos x="x3" y="t"/>
            </a:cxn>
            <a:cxn ang="0">
              <a:pos x="fmx" y="fmy"/>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fx" y="t"/>
              </a:lnTo>
              <a:lnTo>
                <a:pt x="r" y="fy"/>
              </a:lnTo>
              <a:lnTo>
                <a:pt x="r" y="b"/>
              </a:lnTo>
              <a:lnTo>
                <a:pt x="l" y="b"/>
              </a:lnTo>
              <a:close/>
            </a:path>
            <a:path fill="darkenLess" extrusionOk="0">
              <a:moveTo>
                <a:pt x="fx" y="t"/>
              </a:moveTo>
              <a:lnTo>
                <a:pt x="fx" y="fy"/>
              </a:lnTo>
              <a:lnTo>
                <a:pt x="r" y="fy"/>
              </a:lnTo>
              <a:close/>
            </a:path>
          </a:pathLst>
        </a:custGeom>
        <a:solidFill>
          <a:srgbClr val="E3F5EF"/>
        </a:solidFill>
        <a:ln w="15875" cap="flat">
          <a:solidFill>
            <a:srgbClr val="247966"/>
          </a:solidFill>
          <a:round/>
        </a:ln>
      </xdr:spPr>
      <xdr:txBody>
        <a:bodyPr vertOverflow="overflow" horzOverflow="overflow" wrap="square" lIns="25400" tIns="50800" rIns="50800" bIns="25400" rtlCol="0" anchor="ctr">
          <a:noAutofit/>
        </a:bodyPr>
        <a:lstStyle/>
        <a:p>
          <a:pPr algn="ctr">
            <a:lnSpc>
              <a:spcPct val="95000"/>
            </a:lnSpc>
          </a:pPr>
          <a:r>
            <a:rPr lang="ja-JP" altLang="en-US" sz="850" b="1" dirty="0">
              <a:solidFill>
                <a:srgbClr val="262626"/>
              </a:solidFill>
              <a:latin typeface="Meiryo UI"/>
              <a:ea typeface="Meiryo UI"/>
              <a:cs typeface="Meiryo UI"/>
            </a:rPr>
            <a:t>ファイル</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CSV</a:t>
          </a:r>
          <a:endParaRPr lang="ja-JP" altLang="en-US" sz="700" dirty="0">
            <a:latin typeface="Meiryo UI"/>
            <a:ea typeface="Meiryo UI"/>
          </a:endParaRPr>
        </a:p>
      </xdr:txBody>
    </xdr:sp>
    <xdr:clientData/>
  </xdr:twoCellAnchor>
  <xdr:twoCellAnchor editAs="oneCell">
    <xdr:from>
      <xdr:col>49</xdr:col>
      <xdr:colOff>0</xdr:colOff>
      <xdr:row>50</xdr:row>
      <xdr:rowOff>0</xdr:rowOff>
    </xdr:from>
    <xdr:to>
      <xdr:col>53</xdr:col>
      <xdr:colOff>0</xdr:colOff>
      <xdr:row>54</xdr:row>
      <xdr:rowOff>0</xdr:rowOff>
    </xdr:to>
    <xdr:sp macro="" textlink="">
      <xdr:nvSpPr>
        <xdr:cNvPr id="384" name="ノード: ファイル・標準（ルートC）">
          <a:extLst>
            <a:ext uri="{FF2B5EF4-FFF2-40B4-BE49-F238E27FC236}">
              <a16:creationId xmlns:a16="http://schemas.microsoft.com/office/drawing/2014/main" id="{ABE90E04-3C1B-44D7-85B2-3903ACAC81A5}"/>
            </a:ext>
          </a:extLst>
        </xdr:cNvPr>
        <xdr:cNvSpPr/>
      </xdr:nvSpPr>
      <xdr:spPr>
        <a:xfrm>
          <a:off x="9334500" y="9525000"/>
          <a:ext cx="762000" cy="762000"/>
        </a:xfrm>
        <a:custGeom>
          <a:avLst/>
          <a:gdLst>
            <a:gd name="x1" fmla="*/ w 1 4"/>
            <a:gd name="x2" fmla="*/ w 1 2"/>
            <a:gd name="x3" fmla="*/ w 3 4"/>
            <a:gd name="y1" fmla="*/ h 1 4"/>
            <a:gd name="y2" fmla="*/ h 1 2"/>
            <a:gd name="y3" fmla="*/ h 3 4"/>
            <a:gd name="smin" fmla="min w h"/>
            <a:gd name="fq" fmla="*/ smin 1 4"/>
            <a:gd name="f" fmla="min 127000 fq"/>
            <a:gd name="fx" fmla="+- r 0 f"/>
            <a:gd name="fy" fmla="+- t f 0"/>
            <a:gd name="fh" fmla="*/ f 1 2"/>
            <a:gd name="fmx" fmla="+- fx fh 0"/>
            <a:gd name="fmy" fmla="+- t fh 0"/>
          </a:gdLst>
          <a:ahLst/>
          <a:cxnLst>
            <a:cxn ang="10800000">
              <a:pos x="l" y="t"/>
            </a:cxn>
            <a:cxn ang="16200000">
              <a:pos x="x1" y="t"/>
            </a:cxn>
            <a:cxn ang="16200000">
              <a:pos x="x2" y="t"/>
            </a:cxn>
            <a:cxn ang="16200000">
              <a:pos x="x3" y="t"/>
            </a:cxn>
            <a:cxn ang="0">
              <a:pos x="fmx" y="fmy"/>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fx" y="t"/>
              </a:lnTo>
              <a:lnTo>
                <a:pt x="r" y="fy"/>
              </a:lnTo>
              <a:lnTo>
                <a:pt x="r" y="b"/>
              </a:lnTo>
              <a:lnTo>
                <a:pt x="l" y="b"/>
              </a:lnTo>
              <a:close/>
            </a:path>
            <a:path fill="darkenLess" extrusionOk="0">
              <a:moveTo>
                <a:pt x="fx" y="t"/>
              </a:moveTo>
              <a:lnTo>
                <a:pt x="fx" y="fy"/>
              </a:lnTo>
              <a:lnTo>
                <a:pt x="r" y="fy"/>
              </a:lnTo>
              <a:close/>
            </a:path>
          </a:pathLst>
        </a:custGeom>
        <a:solidFill>
          <a:srgbClr val="FDECE4"/>
        </a:solidFill>
        <a:ln w="15875" cap="flat">
          <a:solidFill>
            <a:srgbClr val="C46B39"/>
          </a:solidFill>
          <a:round/>
        </a:ln>
      </xdr:spPr>
      <xdr:txBody>
        <a:bodyPr vertOverflow="overflow" horzOverflow="overflow" wrap="square" lIns="25400" tIns="50800" rIns="50800" bIns="25400" rtlCol="0" anchor="ctr">
          <a:noAutofit/>
        </a:bodyPr>
        <a:lstStyle/>
        <a:p>
          <a:pPr algn="ctr">
            <a:lnSpc>
              <a:spcPct val="95000"/>
            </a:lnSpc>
          </a:pPr>
          <a:r>
            <a:rPr lang="ja-JP" altLang="en-US" sz="850" b="1" dirty="0">
              <a:solidFill>
                <a:srgbClr val="262626"/>
              </a:solidFill>
              <a:latin typeface="Meiryo UI"/>
              <a:ea typeface="Meiryo UI"/>
              <a:cs typeface="Meiryo UI"/>
            </a:rPr>
            <a:t>ファイル</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CSV</a:t>
          </a:r>
          <a:endParaRPr lang="ja-JP" altLang="en-US" sz="700" dirty="0">
            <a:latin typeface="Meiryo UI"/>
            <a:ea typeface="Meiryo UI"/>
          </a:endParaRPr>
        </a:p>
      </xdr:txBody>
    </xdr:sp>
    <xdr:clientData/>
  </xdr:twoCellAnchor>
  <xdr:twoCellAnchor editAs="oneCell">
    <xdr:from>
      <xdr:col>60</xdr:col>
      <xdr:colOff>0</xdr:colOff>
      <xdr:row>50</xdr:row>
      <xdr:rowOff>0</xdr:rowOff>
    </xdr:from>
    <xdr:to>
      <xdr:col>64</xdr:col>
      <xdr:colOff>0</xdr:colOff>
      <xdr:row>54</xdr:row>
      <xdr:rowOff>0</xdr:rowOff>
    </xdr:to>
    <xdr:sp macro="" textlink="">
      <xdr:nvSpPr>
        <xdr:cNvPr id="385" name="ノード: ファイル・標準（ルートD）">
          <a:extLst>
            <a:ext uri="{FF2B5EF4-FFF2-40B4-BE49-F238E27FC236}">
              <a16:creationId xmlns:a16="http://schemas.microsoft.com/office/drawing/2014/main" id="{8C120A87-751A-4D1F-8487-333A63870D10}"/>
            </a:ext>
          </a:extLst>
        </xdr:cNvPr>
        <xdr:cNvSpPr/>
      </xdr:nvSpPr>
      <xdr:spPr>
        <a:xfrm>
          <a:off x="11430000" y="9525000"/>
          <a:ext cx="762000" cy="762000"/>
        </a:xfrm>
        <a:custGeom>
          <a:avLst/>
          <a:gdLst>
            <a:gd name="x1" fmla="*/ w 1 4"/>
            <a:gd name="x2" fmla="*/ w 1 2"/>
            <a:gd name="x3" fmla="*/ w 3 4"/>
            <a:gd name="y1" fmla="*/ h 1 4"/>
            <a:gd name="y2" fmla="*/ h 1 2"/>
            <a:gd name="y3" fmla="*/ h 3 4"/>
            <a:gd name="smin" fmla="min w h"/>
            <a:gd name="fq" fmla="*/ smin 1 4"/>
            <a:gd name="f" fmla="min 127000 fq"/>
            <a:gd name="fx" fmla="+- r 0 f"/>
            <a:gd name="fy" fmla="+- t f 0"/>
            <a:gd name="fh" fmla="*/ f 1 2"/>
            <a:gd name="fmx" fmla="+- fx fh 0"/>
            <a:gd name="fmy" fmla="+- t fh 0"/>
          </a:gdLst>
          <a:ahLst/>
          <a:cxnLst>
            <a:cxn ang="10800000">
              <a:pos x="l" y="t"/>
            </a:cxn>
            <a:cxn ang="16200000">
              <a:pos x="x1" y="t"/>
            </a:cxn>
            <a:cxn ang="16200000">
              <a:pos x="x2" y="t"/>
            </a:cxn>
            <a:cxn ang="16200000">
              <a:pos x="x3" y="t"/>
            </a:cxn>
            <a:cxn ang="0">
              <a:pos x="fmx" y="fmy"/>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fx" y="t"/>
              </a:lnTo>
              <a:lnTo>
                <a:pt x="r" y="fy"/>
              </a:lnTo>
              <a:lnTo>
                <a:pt x="r" y="b"/>
              </a:lnTo>
              <a:lnTo>
                <a:pt x="l" y="b"/>
              </a:lnTo>
              <a:close/>
            </a:path>
            <a:path fill="darkenLess" extrusionOk="0">
              <a:moveTo>
                <a:pt x="fx" y="t"/>
              </a:moveTo>
              <a:lnTo>
                <a:pt x="fx" y="fy"/>
              </a:lnTo>
              <a:lnTo>
                <a:pt x="r" y="fy"/>
              </a:lnTo>
              <a:close/>
            </a:path>
          </a:pathLst>
        </a:custGeom>
        <a:solidFill>
          <a:srgbClr val="F5EEFC"/>
        </a:solidFill>
        <a:ln w="15875" cap="flat">
          <a:solidFill>
            <a:srgbClr val="876BA6"/>
          </a:solidFill>
          <a:round/>
        </a:ln>
      </xdr:spPr>
      <xdr:txBody>
        <a:bodyPr vertOverflow="overflow" horzOverflow="overflow" wrap="square" lIns="25400" tIns="50800" rIns="50800" bIns="25400" rtlCol="0" anchor="ctr">
          <a:noAutofit/>
        </a:bodyPr>
        <a:lstStyle/>
        <a:p>
          <a:pPr algn="ctr">
            <a:lnSpc>
              <a:spcPct val="95000"/>
            </a:lnSpc>
          </a:pPr>
          <a:r>
            <a:rPr lang="ja-JP" altLang="en-US" sz="850" b="1" dirty="0">
              <a:solidFill>
                <a:srgbClr val="262626"/>
              </a:solidFill>
              <a:latin typeface="Meiryo UI"/>
              <a:ea typeface="Meiryo UI"/>
              <a:cs typeface="Meiryo UI"/>
            </a:rPr>
            <a:t>ファイル</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CSV</a:t>
          </a:r>
          <a:endParaRPr lang="ja-JP" altLang="en-US" sz="700" dirty="0">
            <a:latin typeface="Meiryo UI"/>
            <a:ea typeface="Meiryo UI"/>
          </a:endParaRPr>
        </a:p>
      </xdr:txBody>
    </xdr:sp>
    <xdr:clientData/>
  </xdr:twoCellAnchor>
  <xdr:twoCellAnchor editAs="oneCell">
    <xdr:from>
      <xdr:col>71</xdr:col>
      <xdr:colOff>0</xdr:colOff>
      <xdr:row>50</xdr:row>
      <xdr:rowOff>0</xdr:rowOff>
    </xdr:from>
    <xdr:to>
      <xdr:col>75</xdr:col>
      <xdr:colOff>0</xdr:colOff>
      <xdr:row>54</xdr:row>
      <xdr:rowOff>0</xdr:rowOff>
    </xdr:to>
    <xdr:sp macro="" textlink="">
      <xdr:nvSpPr>
        <xdr:cNvPr id="386" name="ノード: ファイル・標準（ルートE）">
          <a:extLst>
            <a:ext uri="{FF2B5EF4-FFF2-40B4-BE49-F238E27FC236}">
              <a16:creationId xmlns:a16="http://schemas.microsoft.com/office/drawing/2014/main" id="{F5874146-97C5-416E-935E-C50D56A263B8}"/>
            </a:ext>
          </a:extLst>
        </xdr:cNvPr>
        <xdr:cNvSpPr/>
      </xdr:nvSpPr>
      <xdr:spPr>
        <a:xfrm>
          <a:off x="13525500" y="9525000"/>
          <a:ext cx="762000" cy="762000"/>
        </a:xfrm>
        <a:custGeom>
          <a:avLst/>
          <a:gdLst>
            <a:gd name="x1" fmla="*/ w 1 4"/>
            <a:gd name="x2" fmla="*/ w 1 2"/>
            <a:gd name="x3" fmla="*/ w 3 4"/>
            <a:gd name="y1" fmla="*/ h 1 4"/>
            <a:gd name="y2" fmla="*/ h 1 2"/>
            <a:gd name="y3" fmla="*/ h 3 4"/>
            <a:gd name="smin" fmla="min w h"/>
            <a:gd name="fq" fmla="*/ smin 1 4"/>
            <a:gd name="f" fmla="min 127000 fq"/>
            <a:gd name="fx" fmla="+- r 0 f"/>
            <a:gd name="fy" fmla="+- t f 0"/>
            <a:gd name="fh" fmla="*/ f 1 2"/>
            <a:gd name="fmx" fmla="+- fx fh 0"/>
            <a:gd name="fmy" fmla="+- t fh 0"/>
          </a:gdLst>
          <a:ahLst/>
          <a:cxnLst>
            <a:cxn ang="10800000">
              <a:pos x="l" y="t"/>
            </a:cxn>
            <a:cxn ang="16200000">
              <a:pos x="x1" y="t"/>
            </a:cxn>
            <a:cxn ang="16200000">
              <a:pos x="x2" y="t"/>
            </a:cxn>
            <a:cxn ang="16200000">
              <a:pos x="x3" y="t"/>
            </a:cxn>
            <a:cxn ang="0">
              <a:pos x="fmx" y="fmy"/>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fx" y="t"/>
              </a:lnTo>
              <a:lnTo>
                <a:pt x="r" y="fy"/>
              </a:lnTo>
              <a:lnTo>
                <a:pt x="r" y="b"/>
              </a:lnTo>
              <a:lnTo>
                <a:pt x="l" y="b"/>
              </a:lnTo>
              <a:close/>
            </a:path>
            <a:path fill="darkenLess" extrusionOk="0">
              <a:moveTo>
                <a:pt x="fx" y="t"/>
              </a:moveTo>
              <a:lnTo>
                <a:pt x="fx" y="fy"/>
              </a:lnTo>
              <a:lnTo>
                <a:pt x="r" y="fy"/>
              </a:lnTo>
              <a:close/>
            </a:path>
          </a:pathLst>
        </a:custGeom>
        <a:solidFill>
          <a:srgbClr val="FFECF0"/>
        </a:solidFill>
        <a:ln w="15875" cap="flat">
          <a:solidFill>
            <a:srgbClr val="B04B68"/>
          </a:solidFill>
          <a:round/>
        </a:ln>
      </xdr:spPr>
      <xdr:txBody>
        <a:bodyPr vertOverflow="overflow" horzOverflow="overflow" wrap="square" lIns="25400" tIns="50800" rIns="50800" bIns="25400" rtlCol="0" anchor="ctr">
          <a:noAutofit/>
        </a:bodyPr>
        <a:lstStyle/>
        <a:p>
          <a:pPr algn="ctr">
            <a:lnSpc>
              <a:spcPct val="95000"/>
            </a:lnSpc>
          </a:pPr>
          <a:r>
            <a:rPr lang="ja-JP" altLang="en-US" sz="850" b="1" dirty="0">
              <a:solidFill>
                <a:srgbClr val="262626"/>
              </a:solidFill>
              <a:latin typeface="Meiryo UI"/>
              <a:ea typeface="Meiryo UI"/>
              <a:cs typeface="Meiryo UI"/>
            </a:rPr>
            <a:t>ファイル</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CSV</a:t>
          </a:r>
          <a:endParaRPr lang="ja-JP" altLang="en-US" sz="700" dirty="0">
            <a:latin typeface="Meiryo UI"/>
            <a:ea typeface="Meiryo UI"/>
          </a:endParaRPr>
        </a:p>
      </xdr:txBody>
    </xdr:sp>
    <xdr:clientData/>
  </xdr:twoCellAnchor>
  <xdr:twoCellAnchor editAs="oneCell">
    <xdr:from>
      <xdr:col>82</xdr:col>
      <xdr:colOff>0</xdr:colOff>
      <xdr:row>50</xdr:row>
      <xdr:rowOff>0</xdr:rowOff>
    </xdr:from>
    <xdr:to>
      <xdr:col>86</xdr:col>
      <xdr:colOff>0</xdr:colOff>
      <xdr:row>54</xdr:row>
      <xdr:rowOff>0</xdr:rowOff>
    </xdr:to>
    <xdr:sp macro="" textlink="">
      <xdr:nvSpPr>
        <xdr:cNvPr id="387" name="ノード: ファイル・標準（ルートF）">
          <a:extLst>
            <a:ext uri="{FF2B5EF4-FFF2-40B4-BE49-F238E27FC236}">
              <a16:creationId xmlns:a16="http://schemas.microsoft.com/office/drawing/2014/main" id="{5C4D29E2-BFAC-4B28-ABF5-D03CE19E3564}"/>
            </a:ext>
          </a:extLst>
        </xdr:cNvPr>
        <xdr:cNvSpPr/>
      </xdr:nvSpPr>
      <xdr:spPr>
        <a:xfrm>
          <a:off x="15621000" y="9525000"/>
          <a:ext cx="762000" cy="762000"/>
        </a:xfrm>
        <a:custGeom>
          <a:avLst/>
          <a:gdLst>
            <a:gd name="x1" fmla="*/ w 1 4"/>
            <a:gd name="x2" fmla="*/ w 1 2"/>
            <a:gd name="x3" fmla="*/ w 3 4"/>
            <a:gd name="y1" fmla="*/ h 1 4"/>
            <a:gd name="y2" fmla="*/ h 1 2"/>
            <a:gd name="y3" fmla="*/ h 3 4"/>
            <a:gd name="smin" fmla="min w h"/>
            <a:gd name="fq" fmla="*/ smin 1 4"/>
            <a:gd name="f" fmla="min 127000 fq"/>
            <a:gd name="fx" fmla="+- r 0 f"/>
            <a:gd name="fy" fmla="+- t f 0"/>
            <a:gd name="fh" fmla="*/ f 1 2"/>
            <a:gd name="fmx" fmla="+- fx fh 0"/>
            <a:gd name="fmy" fmla="+- t fh 0"/>
          </a:gdLst>
          <a:ahLst/>
          <a:cxnLst>
            <a:cxn ang="10800000">
              <a:pos x="l" y="t"/>
            </a:cxn>
            <a:cxn ang="16200000">
              <a:pos x="x1" y="t"/>
            </a:cxn>
            <a:cxn ang="16200000">
              <a:pos x="x2" y="t"/>
            </a:cxn>
            <a:cxn ang="16200000">
              <a:pos x="x3" y="t"/>
            </a:cxn>
            <a:cxn ang="0">
              <a:pos x="fmx" y="fmy"/>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fx" y="t"/>
              </a:lnTo>
              <a:lnTo>
                <a:pt x="r" y="fy"/>
              </a:lnTo>
              <a:lnTo>
                <a:pt x="r" y="b"/>
              </a:lnTo>
              <a:lnTo>
                <a:pt x="l" y="b"/>
              </a:lnTo>
              <a:close/>
            </a:path>
            <a:path fill="darkenLess" extrusionOk="0">
              <a:moveTo>
                <a:pt x="fx" y="t"/>
              </a:moveTo>
              <a:lnTo>
                <a:pt x="fx" y="fy"/>
              </a:lnTo>
              <a:lnTo>
                <a:pt x="r" y="fy"/>
              </a:lnTo>
              <a:close/>
            </a:path>
          </a:pathLst>
        </a:custGeom>
        <a:solidFill>
          <a:srgbClr val="F4F1E2"/>
        </a:solidFill>
        <a:ln w="15875" cap="flat">
          <a:solidFill>
            <a:srgbClr val="6B651D"/>
          </a:solidFill>
          <a:round/>
        </a:ln>
      </xdr:spPr>
      <xdr:txBody>
        <a:bodyPr vertOverflow="overflow" horzOverflow="overflow" wrap="square" lIns="25400" tIns="50800" rIns="50800" bIns="25400" rtlCol="0" anchor="ctr">
          <a:noAutofit/>
        </a:bodyPr>
        <a:lstStyle/>
        <a:p>
          <a:pPr algn="ctr">
            <a:lnSpc>
              <a:spcPct val="95000"/>
            </a:lnSpc>
          </a:pPr>
          <a:r>
            <a:rPr lang="ja-JP" altLang="en-US" sz="850" b="1" dirty="0">
              <a:solidFill>
                <a:srgbClr val="262626"/>
              </a:solidFill>
              <a:latin typeface="Meiryo UI"/>
              <a:ea typeface="Meiryo UI"/>
              <a:cs typeface="Meiryo UI"/>
            </a:rPr>
            <a:t>ファイル</a:t>
          </a:r>
          <a:endParaRPr lang="ja-JP" altLang="en-US" sz="850" dirty="0">
            <a:latin typeface="Meiryo UI"/>
            <a:ea typeface="Meiryo UI"/>
          </a:endParaRPr>
        </a:p>
        <a:p>
          <a:pPr algn="ctr">
            <a:lnSpc>
              <a:spcPct val="95000"/>
            </a:lnSpc>
            <a:spcBef>
              <a:spcPts val="50"/>
            </a:spcBef>
          </a:pPr>
          <a:r>
            <a:rPr lang="ja-JP" altLang="en-US" sz="700" b="0" dirty="0">
              <a:solidFill>
                <a:srgbClr val="595959"/>
              </a:solidFill>
              <a:latin typeface="Meiryo UI"/>
              <a:ea typeface="Meiryo UI"/>
              <a:cs typeface="Meiryo UI"/>
            </a:rPr>
            <a:t>CSV</a:t>
          </a:r>
          <a:endParaRPr lang="ja-JP" altLang="en-US" sz="700" dirty="0">
            <a:latin typeface="Meiryo UI"/>
            <a:ea typeface="Meiryo UI"/>
          </a:endParaRPr>
        </a:p>
      </xdr:txBody>
    </xdr:sp>
    <xdr:clientData/>
  </xdr:twoCellAnchor>
  <xdr:twoCellAnchor editAs="oneCell">
    <xdr:from>
      <xdr:col>11</xdr:col>
      <xdr:colOff>0</xdr:colOff>
      <xdr:row>56</xdr:row>
      <xdr:rowOff>0</xdr:rowOff>
    </xdr:from>
    <xdr:to>
      <xdr:col>19</xdr:col>
      <xdr:colOff>0</xdr:colOff>
      <xdr:row>60</xdr:row>
      <xdr:rowOff>0</xdr:rowOff>
    </xdr:to>
    <xdr:sp macro="" textlink="">
      <xdr:nvSpPr>
        <xdr:cNvPr id="388" name="ノード: カプセル・標準（共通）">
          <a:extLst>
            <a:ext uri="{FF2B5EF4-FFF2-40B4-BE49-F238E27FC236}">
              <a16:creationId xmlns:a16="http://schemas.microsoft.com/office/drawing/2014/main" id="{C148F0DB-21B2-43FA-B2E8-61762BBA1A5A}"/>
            </a:ext>
          </a:extLst>
        </xdr:cNvPr>
        <xdr:cNvSpPr/>
      </xdr:nvSpPr>
      <xdr:spPr>
        <a:xfrm>
          <a:off x="2095500" y="10668000"/>
          <a:ext cx="1524000" cy="762000"/>
        </a:xfrm>
        <a:custGeom>
          <a:avLst/>
          <a:gdLst>
            <a:gd name="x1" fmla="*/ w 1 4"/>
            <a:gd name="x2" fmla="*/ w 1 2"/>
            <a:gd name="x3" fmla="*/ w 3 4"/>
            <a:gd name="y1" fmla="*/ h 1 4"/>
            <a:gd name="y2" fmla="*/ h 1 2"/>
            <a:gd name="y3" fmla="*/ h 3 4"/>
            <a:gd name="smin" fmla="min w h"/>
            <a:gd name="rr" fmla="*/ smin 1 2"/>
            <a:gd name="rx" fmla="+- r 0 rr"/>
            <a:gd name="k" fmla="*/ rr 13397 100000"/>
            <a:gd name="rk" fmla="+- r 0 k"/>
            <a:gd name="q45" fmla="*/ rr 29289 100000"/>
            <a:gd name="q45r" fmla="+- r 0 q45"/>
            <a:gd name="q45b" fmla="+- b 0 q45"/>
          </a:gdLst>
          <a:ahLst/>
          <a:cxnLst>
            <a:cxn ang="10800000">
              <a:pos x="q45" y="q45"/>
            </a:cxn>
            <a:cxn ang="16200000">
              <a:pos x="x1" y="t"/>
            </a:cxn>
            <a:cxn ang="16200000">
              <a:pos x="x2" y="t"/>
            </a:cxn>
            <a:cxn ang="16200000">
              <a:pos x="x3" y="t"/>
            </a:cxn>
            <a:cxn ang="0">
              <a:pos x="q45r" y="q45"/>
            </a:cxn>
            <a:cxn ang="0">
              <a:pos x="rk" y="y1"/>
            </a:cxn>
            <a:cxn ang="0">
              <a:pos x="r" y="y2"/>
            </a:cxn>
            <a:cxn ang="0">
              <a:pos x="rk" y="y3"/>
            </a:cxn>
            <a:cxn ang="0">
              <a:pos x="q45r" y="q45b"/>
            </a:cxn>
            <a:cxn ang="5400000">
              <a:pos x="x3" y="b"/>
            </a:cxn>
            <a:cxn ang="5400000">
              <a:pos x="x2" y="b"/>
            </a:cxn>
            <a:cxn ang="5400000">
              <a:pos x="x1" y="b"/>
            </a:cxn>
            <a:cxn ang="10800000">
              <a:pos x="q45" y="q45b"/>
            </a:cxn>
            <a:cxn ang="10800000">
              <a:pos x="k" y="y3"/>
            </a:cxn>
            <a:cxn ang="10800000">
              <a:pos x="l" y="y2"/>
            </a:cxn>
            <a:cxn ang="10800000">
              <a:pos x="k" y="y1"/>
            </a:cxn>
          </a:cxnLst>
          <a:rect l="l" t="t" r="r" b="b"/>
          <a:pathLst>
            <a:path>
              <a:moveTo>
                <a:pt x="rr" y="t"/>
              </a:moveTo>
              <a:lnTo>
                <a:pt x="rx" y="t"/>
              </a:lnTo>
              <a:arcTo wR="rr" hR="rr" stAng="16200000" swAng="10800000"/>
              <a:lnTo>
                <a:pt x="rr" y="b"/>
              </a:lnTo>
              <a:arcTo wR="rr" hR="rr" stAng="5400000" swAng="10800000"/>
              <a:close/>
            </a:path>
          </a:pathLst>
        </a:custGeom>
        <a:solidFill>
          <a:srgbClr val="FFFFFF"/>
        </a:solidFill>
        <a:ln w="12700" cap="flat">
          <a:solidFill>
            <a:srgbClr val="404040"/>
          </a:solidFill>
          <a:round/>
        </a:ln>
      </xdr:spPr>
      <xdr:txBody>
        <a:bodyPr vertOverflow="overflow" horzOverflow="overflow" wrap="square" lIns="101600" tIns="12700" rIns="101600" bIns="12700" rtlCol="0" anchor="ctr">
          <a:noAutofit/>
        </a:bodyPr>
        <a:lstStyle/>
        <a:p>
          <a:pPr algn="ctr">
            <a:lnSpc>
              <a:spcPct val="95000"/>
            </a:lnSpc>
          </a:pPr>
          <a:r>
            <a:rPr lang="ja-JP" altLang="en-US" sz="950" b="1" dirty="0">
              <a:solidFill>
                <a:srgbClr val="262626"/>
              </a:solidFill>
              <a:latin typeface="Meiryo UI"/>
              <a:ea typeface="Meiryo UI"/>
              <a:cs typeface="Meiryo UI"/>
            </a:rPr>
            <a:t>API・キュー</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イベント</a:t>
          </a:r>
          <a:endParaRPr lang="ja-JP" altLang="en-US" sz="750" dirty="0">
            <a:latin typeface="Meiryo UI"/>
            <a:ea typeface="Meiryo UI"/>
          </a:endParaRPr>
        </a:p>
      </xdr:txBody>
    </xdr:sp>
    <xdr:clientData/>
  </xdr:twoCellAnchor>
  <xdr:twoCellAnchor editAs="oneCell">
    <xdr:from>
      <xdr:col>22</xdr:col>
      <xdr:colOff>0</xdr:colOff>
      <xdr:row>56</xdr:row>
      <xdr:rowOff>0</xdr:rowOff>
    </xdr:from>
    <xdr:to>
      <xdr:col>30</xdr:col>
      <xdr:colOff>0</xdr:colOff>
      <xdr:row>60</xdr:row>
      <xdr:rowOff>0</xdr:rowOff>
    </xdr:to>
    <xdr:sp macro="" textlink="">
      <xdr:nvSpPr>
        <xdr:cNvPr id="389" name="ノード: カプセル・標準（ルートA）">
          <a:extLst>
            <a:ext uri="{FF2B5EF4-FFF2-40B4-BE49-F238E27FC236}">
              <a16:creationId xmlns:a16="http://schemas.microsoft.com/office/drawing/2014/main" id="{BC8180AB-8FD1-4D22-8DF0-9B3E1F3A24F8}"/>
            </a:ext>
          </a:extLst>
        </xdr:cNvPr>
        <xdr:cNvSpPr/>
      </xdr:nvSpPr>
      <xdr:spPr>
        <a:xfrm>
          <a:off x="4191000" y="10668000"/>
          <a:ext cx="1524000" cy="762000"/>
        </a:xfrm>
        <a:custGeom>
          <a:avLst/>
          <a:gdLst>
            <a:gd name="x1" fmla="*/ w 1 4"/>
            <a:gd name="x2" fmla="*/ w 1 2"/>
            <a:gd name="x3" fmla="*/ w 3 4"/>
            <a:gd name="y1" fmla="*/ h 1 4"/>
            <a:gd name="y2" fmla="*/ h 1 2"/>
            <a:gd name="y3" fmla="*/ h 3 4"/>
            <a:gd name="smin" fmla="min w h"/>
            <a:gd name="rr" fmla="*/ smin 1 2"/>
            <a:gd name="rx" fmla="+- r 0 rr"/>
            <a:gd name="k" fmla="*/ rr 13397 100000"/>
            <a:gd name="rk" fmla="+- r 0 k"/>
            <a:gd name="q45" fmla="*/ rr 29289 100000"/>
            <a:gd name="q45r" fmla="+- r 0 q45"/>
            <a:gd name="q45b" fmla="+- b 0 q45"/>
          </a:gdLst>
          <a:ahLst/>
          <a:cxnLst>
            <a:cxn ang="10800000">
              <a:pos x="q45" y="q45"/>
            </a:cxn>
            <a:cxn ang="16200000">
              <a:pos x="x1" y="t"/>
            </a:cxn>
            <a:cxn ang="16200000">
              <a:pos x="x2" y="t"/>
            </a:cxn>
            <a:cxn ang="16200000">
              <a:pos x="x3" y="t"/>
            </a:cxn>
            <a:cxn ang="0">
              <a:pos x="q45r" y="q45"/>
            </a:cxn>
            <a:cxn ang="0">
              <a:pos x="rk" y="y1"/>
            </a:cxn>
            <a:cxn ang="0">
              <a:pos x="r" y="y2"/>
            </a:cxn>
            <a:cxn ang="0">
              <a:pos x="rk" y="y3"/>
            </a:cxn>
            <a:cxn ang="0">
              <a:pos x="q45r" y="q45b"/>
            </a:cxn>
            <a:cxn ang="5400000">
              <a:pos x="x3" y="b"/>
            </a:cxn>
            <a:cxn ang="5400000">
              <a:pos x="x2" y="b"/>
            </a:cxn>
            <a:cxn ang="5400000">
              <a:pos x="x1" y="b"/>
            </a:cxn>
            <a:cxn ang="10800000">
              <a:pos x="q45" y="q45b"/>
            </a:cxn>
            <a:cxn ang="10800000">
              <a:pos x="k" y="y3"/>
            </a:cxn>
            <a:cxn ang="10800000">
              <a:pos x="l" y="y2"/>
            </a:cxn>
            <a:cxn ang="10800000">
              <a:pos x="k" y="y1"/>
            </a:cxn>
          </a:cxnLst>
          <a:rect l="l" t="t" r="r" b="b"/>
          <a:pathLst>
            <a:path>
              <a:moveTo>
                <a:pt x="rr" y="t"/>
              </a:moveTo>
              <a:lnTo>
                <a:pt x="rx" y="t"/>
              </a:lnTo>
              <a:arcTo wR="rr" hR="rr" stAng="16200000" swAng="10800000"/>
              <a:lnTo>
                <a:pt x="rr" y="b"/>
              </a:lnTo>
              <a:arcTo wR="rr" hR="rr" stAng="5400000" swAng="10800000"/>
              <a:close/>
            </a:path>
          </a:pathLst>
        </a:custGeom>
        <a:solidFill>
          <a:srgbClr val="E7F1FF"/>
        </a:solidFill>
        <a:ln w="15875" cap="flat">
          <a:solidFill>
            <a:srgbClr val="315C92"/>
          </a:solidFill>
          <a:round/>
        </a:ln>
      </xdr:spPr>
      <xdr:txBody>
        <a:bodyPr vertOverflow="overflow" horzOverflow="overflow" wrap="square" lIns="101600" tIns="12700" rIns="101600" bIns="12700" rtlCol="0" anchor="ctr">
          <a:noAutofit/>
        </a:bodyPr>
        <a:lstStyle/>
        <a:p>
          <a:pPr algn="ctr">
            <a:lnSpc>
              <a:spcPct val="95000"/>
            </a:lnSpc>
          </a:pPr>
          <a:r>
            <a:rPr lang="ja-JP" altLang="en-US" sz="950" b="1" dirty="0">
              <a:solidFill>
                <a:srgbClr val="262626"/>
              </a:solidFill>
              <a:latin typeface="Meiryo UI"/>
              <a:ea typeface="Meiryo UI"/>
              <a:cs typeface="Meiryo UI"/>
            </a:rPr>
            <a:t>API・キュー</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イベント</a:t>
          </a:r>
          <a:endParaRPr lang="ja-JP" altLang="en-US" sz="750" dirty="0">
            <a:latin typeface="Meiryo UI"/>
            <a:ea typeface="Meiryo UI"/>
          </a:endParaRPr>
        </a:p>
      </xdr:txBody>
    </xdr:sp>
    <xdr:clientData/>
  </xdr:twoCellAnchor>
  <xdr:twoCellAnchor editAs="oneCell">
    <xdr:from>
      <xdr:col>33</xdr:col>
      <xdr:colOff>0</xdr:colOff>
      <xdr:row>56</xdr:row>
      <xdr:rowOff>0</xdr:rowOff>
    </xdr:from>
    <xdr:to>
      <xdr:col>41</xdr:col>
      <xdr:colOff>0</xdr:colOff>
      <xdr:row>60</xdr:row>
      <xdr:rowOff>0</xdr:rowOff>
    </xdr:to>
    <xdr:sp macro="" textlink="">
      <xdr:nvSpPr>
        <xdr:cNvPr id="390" name="ノード: カプセル・標準（ルートB）">
          <a:extLst>
            <a:ext uri="{FF2B5EF4-FFF2-40B4-BE49-F238E27FC236}">
              <a16:creationId xmlns:a16="http://schemas.microsoft.com/office/drawing/2014/main" id="{0147D1E2-4663-47FE-8A49-6380D492DA17}"/>
            </a:ext>
          </a:extLst>
        </xdr:cNvPr>
        <xdr:cNvSpPr/>
      </xdr:nvSpPr>
      <xdr:spPr>
        <a:xfrm>
          <a:off x="6286500" y="10668000"/>
          <a:ext cx="1524000" cy="762000"/>
        </a:xfrm>
        <a:custGeom>
          <a:avLst/>
          <a:gdLst>
            <a:gd name="x1" fmla="*/ w 1 4"/>
            <a:gd name="x2" fmla="*/ w 1 2"/>
            <a:gd name="x3" fmla="*/ w 3 4"/>
            <a:gd name="y1" fmla="*/ h 1 4"/>
            <a:gd name="y2" fmla="*/ h 1 2"/>
            <a:gd name="y3" fmla="*/ h 3 4"/>
            <a:gd name="smin" fmla="min w h"/>
            <a:gd name="rr" fmla="*/ smin 1 2"/>
            <a:gd name="rx" fmla="+- r 0 rr"/>
            <a:gd name="k" fmla="*/ rr 13397 100000"/>
            <a:gd name="rk" fmla="+- r 0 k"/>
            <a:gd name="q45" fmla="*/ rr 29289 100000"/>
            <a:gd name="q45r" fmla="+- r 0 q45"/>
            <a:gd name="q45b" fmla="+- b 0 q45"/>
          </a:gdLst>
          <a:ahLst/>
          <a:cxnLst>
            <a:cxn ang="10800000">
              <a:pos x="q45" y="q45"/>
            </a:cxn>
            <a:cxn ang="16200000">
              <a:pos x="x1" y="t"/>
            </a:cxn>
            <a:cxn ang="16200000">
              <a:pos x="x2" y="t"/>
            </a:cxn>
            <a:cxn ang="16200000">
              <a:pos x="x3" y="t"/>
            </a:cxn>
            <a:cxn ang="0">
              <a:pos x="q45r" y="q45"/>
            </a:cxn>
            <a:cxn ang="0">
              <a:pos x="rk" y="y1"/>
            </a:cxn>
            <a:cxn ang="0">
              <a:pos x="r" y="y2"/>
            </a:cxn>
            <a:cxn ang="0">
              <a:pos x="rk" y="y3"/>
            </a:cxn>
            <a:cxn ang="0">
              <a:pos x="q45r" y="q45b"/>
            </a:cxn>
            <a:cxn ang="5400000">
              <a:pos x="x3" y="b"/>
            </a:cxn>
            <a:cxn ang="5400000">
              <a:pos x="x2" y="b"/>
            </a:cxn>
            <a:cxn ang="5400000">
              <a:pos x="x1" y="b"/>
            </a:cxn>
            <a:cxn ang="10800000">
              <a:pos x="q45" y="q45b"/>
            </a:cxn>
            <a:cxn ang="10800000">
              <a:pos x="k" y="y3"/>
            </a:cxn>
            <a:cxn ang="10800000">
              <a:pos x="l" y="y2"/>
            </a:cxn>
            <a:cxn ang="10800000">
              <a:pos x="k" y="y1"/>
            </a:cxn>
          </a:cxnLst>
          <a:rect l="l" t="t" r="r" b="b"/>
          <a:pathLst>
            <a:path>
              <a:moveTo>
                <a:pt x="rr" y="t"/>
              </a:moveTo>
              <a:lnTo>
                <a:pt x="rx" y="t"/>
              </a:lnTo>
              <a:arcTo wR="rr" hR="rr" stAng="16200000" swAng="10800000"/>
              <a:lnTo>
                <a:pt x="rr" y="b"/>
              </a:lnTo>
              <a:arcTo wR="rr" hR="rr" stAng="5400000" swAng="10800000"/>
              <a:close/>
            </a:path>
          </a:pathLst>
        </a:custGeom>
        <a:solidFill>
          <a:srgbClr val="E3F5EF"/>
        </a:solidFill>
        <a:ln w="15875" cap="flat">
          <a:solidFill>
            <a:srgbClr val="247966"/>
          </a:solidFill>
          <a:round/>
        </a:ln>
      </xdr:spPr>
      <xdr:txBody>
        <a:bodyPr vertOverflow="overflow" horzOverflow="overflow" wrap="square" lIns="101600" tIns="12700" rIns="101600" bIns="12700" rtlCol="0" anchor="ctr">
          <a:noAutofit/>
        </a:bodyPr>
        <a:lstStyle/>
        <a:p>
          <a:pPr algn="ctr">
            <a:lnSpc>
              <a:spcPct val="95000"/>
            </a:lnSpc>
          </a:pPr>
          <a:r>
            <a:rPr lang="ja-JP" altLang="en-US" sz="950" b="1" dirty="0">
              <a:solidFill>
                <a:srgbClr val="262626"/>
              </a:solidFill>
              <a:latin typeface="Meiryo UI"/>
              <a:ea typeface="Meiryo UI"/>
              <a:cs typeface="Meiryo UI"/>
            </a:rPr>
            <a:t>API・キュー</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イベント</a:t>
          </a:r>
          <a:endParaRPr lang="ja-JP" altLang="en-US" sz="750" dirty="0">
            <a:latin typeface="Meiryo UI"/>
            <a:ea typeface="Meiryo UI"/>
          </a:endParaRPr>
        </a:p>
      </xdr:txBody>
    </xdr:sp>
    <xdr:clientData/>
  </xdr:twoCellAnchor>
  <xdr:twoCellAnchor editAs="oneCell">
    <xdr:from>
      <xdr:col>44</xdr:col>
      <xdr:colOff>0</xdr:colOff>
      <xdr:row>56</xdr:row>
      <xdr:rowOff>0</xdr:rowOff>
    </xdr:from>
    <xdr:to>
      <xdr:col>52</xdr:col>
      <xdr:colOff>0</xdr:colOff>
      <xdr:row>60</xdr:row>
      <xdr:rowOff>0</xdr:rowOff>
    </xdr:to>
    <xdr:sp macro="" textlink="">
      <xdr:nvSpPr>
        <xdr:cNvPr id="391" name="ノード: カプセル・標準（ルートC）">
          <a:extLst>
            <a:ext uri="{FF2B5EF4-FFF2-40B4-BE49-F238E27FC236}">
              <a16:creationId xmlns:a16="http://schemas.microsoft.com/office/drawing/2014/main" id="{EB588C55-2B45-4BD3-B7DE-E5A27517E0F0}"/>
            </a:ext>
          </a:extLst>
        </xdr:cNvPr>
        <xdr:cNvSpPr/>
      </xdr:nvSpPr>
      <xdr:spPr>
        <a:xfrm>
          <a:off x="8382000" y="10668000"/>
          <a:ext cx="1524000" cy="762000"/>
        </a:xfrm>
        <a:custGeom>
          <a:avLst/>
          <a:gdLst>
            <a:gd name="x1" fmla="*/ w 1 4"/>
            <a:gd name="x2" fmla="*/ w 1 2"/>
            <a:gd name="x3" fmla="*/ w 3 4"/>
            <a:gd name="y1" fmla="*/ h 1 4"/>
            <a:gd name="y2" fmla="*/ h 1 2"/>
            <a:gd name="y3" fmla="*/ h 3 4"/>
            <a:gd name="smin" fmla="min w h"/>
            <a:gd name="rr" fmla="*/ smin 1 2"/>
            <a:gd name="rx" fmla="+- r 0 rr"/>
            <a:gd name="k" fmla="*/ rr 13397 100000"/>
            <a:gd name="rk" fmla="+- r 0 k"/>
            <a:gd name="q45" fmla="*/ rr 29289 100000"/>
            <a:gd name="q45r" fmla="+- r 0 q45"/>
            <a:gd name="q45b" fmla="+- b 0 q45"/>
          </a:gdLst>
          <a:ahLst/>
          <a:cxnLst>
            <a:cxn ang="10800000">
              <a:pos x="q45" y="q45"/>
            </a:cxn>
            <a:cxn ang="16200000">
              <a:pos x="x1" y="t"/>
            </a:cxn>
            <a:cxn ang="16200000">
              <a:pos x="x2" y="t"/>
            </a:cxn>
            <a:cxn ang="16200000">
              <a:pos x="x3" y="t"/>
            </a:cxn>
            <a:cxn ang="0">
              <a:pos x="q45r" y="q45"/>
            </a:cxn>
            <a:cxn ang="0">
              <a:pos x="rk" y="y1"/>
            </a:cxn>
            <a:cxn ang="0">
              <a:pos x="r" y="y2"/>
            </a:cxn>
            <a:cxn ang="0">
              <a:pos x="rk" y="y3"/>
            </a:cxn>
            <a:cxn ang="0">
              <a:pos x="q45r" y="q45b"/>
            </a:cxn>
            <a:cxn ang="5400000">
              <a:pos x="x3" y="b"/>
            </a:cxn>
            <a:cxn ang="5400000">
              <a:pos x="x2" y="b"/>
            </a:cxn>
            <a:cxn ang="5400000">
              <a:pos x="x1" y="b"/>
            </a:cxn>
            <a:cxn ang="10800000">
              <a:pos x="q45" y="q45b"/>
            </a:cxn>
            <a:cxn ang="10800000">
              <a:pos x="k" y="y3"/>
            </a:cxn>
            <a:cxn ang="10800000">
              <a:pos x="l" y="y2"/>
            </a:cxn>
            <a:cxn ang="10800000">
              <a:pos x="k" y="y1"/>
            </a:cxn>
          </a:cxnLst>
          <a:rect l="l" t="t" r="r" b="b"/>
          <a:pathLst>
            <a:path>
              <a:moveTo>
                <a:pt x="rr" y="t"/>
              </a:moveTo>
              <a:lnTo>
                <a:pt x="rx" y="t"/>
              </a:lnTo>
              <a:arcTo wR="rr" hR="rr" stAng="16200000" swAng="10800000"/>
              <a:lnTo>
                <a:pt x="rr" y="b"/>
              </a:lnTo>
              <a:arcTo wR="rr" hR="rr" stAng="5400000" swAng="10800000"/>
              <a:close/>
            </a:path>
          </a:pathLst>
        </a:custGeom>
        <a:solidFill>
          <a:srgbClr val="FDECE4"/>
        </a:solidFill>
        <a:ln w="15875" cap="flat">
          <a:solidFill>
            <a:srgbClr val="C46B39"/>
          </a:solidFill>
          <a:round/>
        </a:ln>
      </xdr:spPr>
      <xdr:txBody>
        <a:bodyPr vertOverflow="overflow" horzOverflow="overflow" wrap="square" lIns="101600" tIns="12700" rIns="101600" bIns="12700" rtlCol="0" anchor="ctr">
          <a:noAutofit/>
        </a:bodyPr>
        <a:lstStyle/>
        <a:p>
          <a:pPr algn="ctr">
            <a:lnSpc>
              <a:spcPct val="95000"/>
            </a:lnSpc>
          </a:pPr>
          <a:r>
            <a:rPr lang="ja-JP" altLang="en-US" sz="950" b="1" dirty="0">
              <a:solidFill>
                <a:srgbClr val="262626"/>
              </a:solidFill>
              <a:latin typeface="Meiryo UI"/>
              <a:ea typeface="Meiryo UI"/>
              <a:cs typeface="Meiryo UI"/>
            </a:rPr>
            <a:t>API・キュー</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イベント</a:t>
          </a:r>
          <a:endParaRPr lang="ja-JP" altLang="en-US" sz="750" dirty="0">
            <a:latin typeface="Meiryo UI"/>
            <a:ea typeface="Meiryo UI"/>
          </a:endParaRPr>
        </a:p>
      </xdr:txBody>
    </xdr:sp>
    <xdr:clientData/>
  </xdr:twoCellAnchor>
  <xdr:twoCellAnchor editAs="oneCell">
    <xdr:from>
      <xdr:col>55</xdr:col>
      <xdr:colOff>0</xdr:colOff>
      <xdr:row>56</xdr:row>
      <xdr:rowOff>0</xdr:rowOff>
    </xdr:from>
    <xdr:to>
      <xdr:col>63</xdr:col>
      <xdr:colOff>0</xdr:colOff>
      <xdr:row>60</xdr:row>
      <xdr:rowOff>0</xdr:rowOff>
    </xdr:to>
    <xdr:sp macro="" textlink="">
      <xdr:nvSpPr>
        <xdr:cNvPr id="392" name="ノード: カプセル・標準（ルートD）">
          <a:extLst>
            <a:ext uri="{FF2B5EF4-FFF2-40B4-BE49-F238E27FC236}">
              <a16:creationId xmlns:a16="http://schemas.microsoft.com/office/drawing/2014/main" id="{134C49F2-5E01-43BA-8C0D-600CC8F1EBD7}"/>
            </a:ext>
          </a:extLst>
        </xdr:cNvPr>
        <xdr:cNvSpPr/>
      </xdr:nvSpPr>
      <xdr:spPr>
        <a:xfrm>
          <a:off x="10477500" y="10668000"/>
          <a:ext cx="1524000" cy="762000"/>
        </a:xfrm>
        <a:custGeom>
          <a:avLst/>
          <a:gdLst>
            <a:gd name="x1" fmla="*/ w 1 4"/>
            <a:gd name="x2" fmla="*/ w 1 2"/>
            <a:gd name="x3" fmla="*/ w 3 4"/>
            <a:gd name="y1" fmla="*/ h 1 4"/>
            <a:gd name="y2" fmla="*/ h 1 2"/>
            <a:gd name="y3" fmla="*/ h 3 4"/>
            <a:gd name="smin" fmla="min w h"/>
            <a:gd name="rr" fmla="*/ smin 1 2"/>
            <a:gd name="rx" fmla="+- r 0 rr"/>
            <a:gd name="k" fmla="*/ rr 13397 100000"/>
            <a:gd name="rk" fmla="+- r 0 k"/>
            <a:gd name="q45" fmla="*/ rr 29289 100000"/>
            <a:gd name="q45r" fmla="+- r 0 q45"/>
            <a:gd name="q45b" fmla="+- b 0 q45"/>
          </a:gdLst>
          <a:ahLst/>
          <a:cxnLst>
            <a:cxn ang="10800000">
              <a:pos x="q45" y="q45"/>
            </a:cxn>
            <a:cxn ang="16200000">
              <a:pos x="x1" y="t"/>
            </a:cxn>
            <a:cxn ang="16200000">
              <a:pos x="x2" y="t"/>
            </a:cxn>
            <a:cxn ang="16200000">
              <a:pos x="x3" y="t"/>
            </a:cxn>
            <a:cxn ang="0">
              <a:pos x="q45r" y="q45"/>
            </a:cxn>
            <a:cxn ang="0">
              <a:pos x="rk" y="y1"/>
            </a:cxn>
            <a:cxn ang="0">
              <a:pos x="r" y="y2"/>
            </a:cxn>
            <a:cxn ang="0">
              <a:pos x="rk" y="y3"/>
            </a:cxn>
            <a:cxn ang="0">
              <a:pos x="q45r" y="q45b"/>
            </a:cxn>
            <a:cxn ang="5400000">
              <a:pos x="x3" y="b"/>
            </a:cxn>
            <a:cxn ang="5400000">
              <a:pos x="x2" y="b"/>
            </a:cxn>
            <a:cxn ang="5400000">
              <a:pos x="x1" y="b"/>
            </a:cxn>
            <a:cxn ang="10800000">
              <a:pos x="q45" y="q45b"/>
            </a:cxn>
            <a:cxn ang="10800000">
              <a:pos x="k" y="y3"/>
            </a:cxn>
            <a:cxn ang="10800000">
              <a:pos x="l" y="y2"/>
            </a:cxn>
            <a:cxn ang="10800000">
              <a:pos x="k" y="y1"/>
            </a:cxn>
          </a:cxnLst>
          <a:rect l="l" t="t" r="r" b="b"/>
          <a:pathLst>
            <a:path>
              <a:moveTo>
                <a:pt x="rr" y="t"/>
              </a:moveTo>
              <a:lnTo>
                <a:pt x="rx" y="t"/>
              </a:lnTo>
              <a:arcTo wR="rr" hR="rr" stAng="16200000" swAng="10800000"/>
              <a:lnTo>
                <a:pt x="rr" y="b"/>
              </a:lnTo>
              <a:arcTo wR="rr" hR="rr" stAng="5400000" swAng="10800000"/>
              <a:close/>
            </a:path>
          </a:pathLst>
        </a:custGeom>
        <a:solidFill>
          <a:srgbClr val="F5EEFC"/>
        </a:solidFill>
        <a:ln w="15875" cap="flat">
          <a:solidFill>
            <a:srgbClr val="876BA6"/>
          </a:solidFill>
          <a:round/>
        </a:ln>
      </xdr:spPr>
      <xdr:txBody>
        <a:bodyPr vertOverflow="overflow" horzOverflow="overflow" wrap="square" lIns="101600" tIns="12700" rIns="101600" bIns="12700" rtlCol="0" anchor="ctr">
          <a:noAutofit/>
        </a:bodyPr>
        <a:lstStyle/>
        <a:p>
          <a:pPr algn="ctr">
            <a:lnSpc>
              <a:spcPct val="95000"/>
            </a:lnSpc>
          </a:pPr>
          <a:r>
            <a:rPr lang="ja-JP" altLang="en-US" sz="950" b="1" dirty="0">
              <a:solidFill>
                <a:srgbClr val="262626"/>
              </a:solidFill>
              <a:latin typeface="Meiryo UI"/>
              <a:ea typeface="Meiryo UI"/>
              <a:cs typeface="Meiryo UI"/>
            </a:rPr>
            <a:t>API・キュー</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イベント</a:t>
          </a:r>
          <a:endParaRPr lang="ja-JP" altLang="en-US" sz="750" dirty="0">
            <a:latin typeface="Meiryo UI"/>
            <a:ea typeface="Meiryo UI"/>
          </a:endParaRPr>
        </a:p>
      </xdr:txBody>
    </xdr:sp>
    <xdr:clientData/>
  </xdr:twoCellAnchor>
  <xdr:twoCellAnchor editAs="oneCell">
    <xdr:from>
      <xdr:col>66</xdr:col>
      <xdr:colOff>0</xdr:colOff>
      <xdr:row>56</xdr:row>
      <xdr:rowOff>0</xdr:rowOff>
    </xdr:from>
    <xdr:to>
      <xdr:col>74</xdr:col>
      <xdr:colOff>0</xdr:colOff>
      <xdr:row>60</xdr:row>
      <xdr:rowOff>0</xdr:rowOff>
    </xdr:to>
    <xdr:sp macro="" textlink="">
      <xdr:nvSpPr>
        <xdr:cNvPr id="393" name="ノード: カプセル・標準（ルートE）">
          <a:extLst>
            <a:ext uri="{FF2B5EF4-FFF2-40B4-BE49-F238E27FC236}">
              <a16:creationId xmlns:a16="http://schemas.microsoft.com/office/drawing/2014/main" id="{26520EB8-6057-40EF-9F3D-BF299BBDE82A}"/>
            </a:ext>
          </a:extLst>
        </xdr:cNvPr>
        <xdr:cNvSpPr/>
      </xdr:nvSpPr>
      <xdr:spPr>
        <a:xfrm>
          <a:off x="12573000" y="10668000"/>
          <a:ext cx="1524000" cy="762000"/>
        </a:xfrm>
        <a:custGeom>
          <a:avLst/>
          <a:gdLst>
            <a:gd name="x1" fmla="*/ w 1 4"/>
            <a:gd name="x2" fmla="*/ w 1 2"/>
            <a:gd name="x3" fmla="*/ w 3 4"/>
            <a:gd name="y1" fmla="*/ h 1 4"/>
            <a:gd name="y2" fmla="*/ h 1 2"/>
            <a:gd name="y3" fmla="*/ h 3 4"/>
            <a:gd name="smin" fmla="min w h"/>
            <a:gd name="rr" fmla="*/ smin 1 2"/>
            <a:gd name="rx" fmla="+- r 0 rr"/>
            <a:gd name="k" fmla="*/ rr 13397 100000"/>
            <a:gd name="rk" fmla="+- r 0 k"/>
            <a:gd name="q45" fmla="*/ rr 29289 100000"/>
            <a:gd name="q45r" fmla="+- r 0 q45"/>
            <a:gd name="q45b" fmla="+- b 0 q45"/>
          </a:gdLst>
          <a:ahLst/>
          <a:cxnLst>
            <a:cxn ang="10800000">
              <a:pos x="q45" y="q45"/>
            </a:cxn>
            <a:cxn ang="16200000">
              <a:pos x="x1" y="t"/>
            </a:cxn>
            <a:cxn ang="16200000">
              <a:pos x="x2" y="t"/>
            </a:cxn>
            <a:cxn ang="16200000">
              <a:pos x="x3" y="t"/>
            </a:cxn>
            <a:cxn ang="0">
              <a:pos x="q45r" y="q45"/>
            </a:cxn>
            <a:cxn ang="0">
              <a:pos x="rk" y="y1"/>
            </a:cxn>
            <a:cxn ang="0">
              <a:pos x="r" y="y2"/>
            </a:cxn>
            <a:cxn ang="0">
              <a:pos x="rk" y="y3"/>
            </a:cxn>
            <a:cxn ang="0">
              <a:pos x="q45r" y="q45b"/>
            </a:cxn>
            <a:cxn ang="5400000">
              <a:pos x="x3" y="b"/>
            </a:cxn>
            <a:cxn ang="5400000">
              <a:pos x="x2" y="b"/>
            </a:cxn>
            <a:cxn ang="5400000">
              <a:pos x="x1" y="b"/>
            </a:cxn>
            <a:cxn ang="10800000">
              <a:pos x="q45" y="q45b"/>
            </a:cxn>
            <a:cxn ang="10800000">
              <a:pos x="k" y="y3"/>
            </a:cxn>
            <a:cxn ang="10800000">
              <a:pos x="l" y="y2"/>
            </a:cxn>
            <a:cxn ang="10800000">
              <a:pos x="k" y="y1"/>
            </a:cxn>
          </a:cxnLst>
          <a:rect l="l" t="t" r="r" b="b"/>
          <a:pathLst>
            <a:path>
              <a:moveTo>
                <a:pt x="rr" y="t"/>
              </a:moveTo>
              <a:lnTo>
                <a:pt x="rx" y="t"/>
              </a:lnTo>
              <a:arcTo wR="rr" hR="rr" stAng="16200000" swAng="10800000"/>
              <a:lnTo>
                <a:pt x="rr" y="b"/>
              </a:lnTo>
              <a:arcTo wR="rr" hR="rr" stAng="5400000" swAng="10800000"/>
              <a:close/>
            </a:path>
          </a:pathLst>
        </a:custGeom>
        <a:solidFill>
          <a:srgbClr val="FFECF0"/>
        </a:solidFill>
        <a:ln w="15875" cap="flat">
          <a:solidFill>
            <a:srgbClr val="B04B68"/>
          </a:solidFill>
          <a:round/>
        </a:ln>
      </xdr:spPr>
      <xdr:txBody>
        <a:bodyPr vertOverflow="overflow" horzOverflow="overflow" wrap="square" lIns="101600" tIns="12700" rIns="101600" bIns="12700" rtlCol="0" anchor="ctr">
          <a:noAutofit/>
        </a:bodyPr>
        <a:lstStyle/>
        <a:p>
          <a:pPr algn="ctr">
            <a:lnSpc>
              <a:spcPct val="95000"/>
            </a:lnSpc>
          </a:pPr>
          <a:r>
            <a:rPr lang="ja-JP" altLang="en-US" sz="950" b="1" dirty="0">
              <a:solidFill>
                <a:srgbClr val="262626"/>
              </a:solidFill>
              <a:latin typeface="Meiryo UI"/>
              <a:ea typeface="Meiryo UI"/>
              <a:cs typeface="Meiryo UI"/>
            </a:rPr>
            <a:t>API・キュー</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イベント</a:t>
          </a:r>
          <a:endParaRPr lang="ja-JP" altLang="en-US" sz="750" dirty="0">
            <a:latin typeface="Meiryo UI"/>
            <a:ea typeface="Meiryo UI"/>
          </a:endParaRPr>
        </a:p>
      </xdr:txBody>
    </xdr:sp>
    <xdr:clientData/>
  </xdr:twoCellAnchor>
  <xdr:twoCellAnchor editAs="oneCell">
    <xdr:from>
      <xdr:col>77</xdr:col>
      <xdr:colOff>0</xdr:colOff>
      <xdr:row>56</xdr:row>
      <xdr:rowOff>0</xdr:rowOff>
    </xdr:from>
    <xdr:to>
      <xdr:col>85</xdr:col>
      <xdr:colOff>0</xdr:colOff>
      <xdr:row>60</xdr:row>
      <xdr:rowOff>0</xdr:rowOff>
    </xdr:to>
    <xdr:sp macro="" textlink="">
      <xdr:nvSpPr>
        <xdr:cNvPr id="394" name="ノード: カプセル・標準（ルートF）">
          <a:extLst>
            <a:ext uri="{FF2B5EF4-FFF2-40B4-BE49-F238E27FC236}">
              <a16:creationId xmlns:a16="http://schemas.microsoft.com/office/drawing/2014/main" id="{7C753CB8-619F-437B-AA01-3E787E4A1A25}"/>
            </a:ext>
          </a:extLst>
        </xdr:cNvPr>
        <xdr:cNvSpPr/>
      </xdr:nvSpPr>
      <xdr:spPr>
        <a:xfrm>
          <a:off x="14668500" y="10668000"/>
          <a:ext cx="1524000" cy="762000"/>
        </a:xfrm>
        <a:custGeom>
          <a:avLst/>
          <a:gdLst>
            <a:gd name="x1" fmla="*/ w 1 4"/>
            <a:gd name="x2" fmla="*/ w 1 2"/>
            <a:gd name="x3" fmla="*/ w 3 4"/>
            <a:gd name="y1" fmla="*/ h 1 4"/>
            <a:gd name="y2" fmla="*/ h 1 2"/>
            <a:gd name="y3" fmla="*/ h 3 4"/>
            <a:gd name="smin" fmla="min w h"/>
            <a:gd name="rr" fmla="*/ smin 1 2"/>
            <a:gd name="rx" fmla="+- r 0 rr"/>
            <a:gd name="k" fmla="*/ rr 13397 100000"/>
            <a:gd name="rk" fmla="+- r 0 k"/>
            <a:gd name="q45" fmla="*/ rr 29289 100000"/>
            <a:gd name="q45r" fmla="+- r 0 q45"/>
            <a:gd name="q45b" fmla="+- b 0 q45"/>
          </a:gdLst>
          <a:ahLst/>
          <a:cxnLst>
            <a:cxn ang="10800000">
              <a:pos x="q45" y="q45"/>
            </a:cxn>
            <a:cxn ang="16200000">
              <a:pos x="x1" y="t"/>
            </a:cxn>
            <a:cxn ang="16200000">
              <a:pos x="x2" y="t"/>
            </a:cxn>
            <a:cxn ang="16200000">
              <a:pos x="x3" y="t"/>
            </a:cxn>
            <a:cxn ang="0">
              <a:pos x="q45r" y="q45"/>
            </a:cxn>
            <a:cxn ang="0">
              <a:pos x="rk" y="y1"/>
            </a:cxn>
            <a:cxn ang="0">
              <a:pos x="r" y="y2"/>
            </a:cxn>
            <a:cxn ang="0">
              <a:pos x="rk" y="y3"/>
            </a:cxn>
            <a:cxn ang="0">
              <a:pos x="q45r" y="q45b"/>
            </a:cxn>
            <a:cxn ang="5400000">
              <a:pos x="x3" y="b"/>
            </a:cxn>
            <a:cxn ang="5400000">
              <a:pos x="x2" y="b"/>
            </a:cxn>
            <a:cxn ang="5400000">
              <a:pos x="x1" y="b"/>
            </a:cxn>
            <a:cxn ang="10800000">
              <a:pos x="q45" y="q45b"/>
            </a:cxn>
            <a:cxn ang="10800000">
              <a:pos x="k" y="y3"/>
            </a:cxn>
            <a:cxn ang="10800000">
              <a:pos x="l" y="y2"/>
            </a:cxn>
            <a:cxn ang="10800000">
              <a:pos x="k" y="y1"/>
            </a:cxn>
          </a:cxnLst>
          <a:rect l="l" t="t" r="r" b="b"/>
          <a:pathLst>
            <a:path>
              <a:moveTo>
                <a:pt x="rr" y="t"/>
              </a:moveTo>
              <a:lnTo>
                <a:pt x="rx" y="t"/>
              </a:lnTo>
              <a:arcTo wR="rr" hR="rr" stAng="16200000" swAng="10800000"/>
              <a:lnTo>
                <a:pt x="rr" y="b"/>
              </a:lnTo>
              <a:arcTo wR="rr" hR="rr" stAng="5400000" swAng="10800000"/>
              <a:close/>
            </a:path>
          </a:pathLst>
        </a:custGeom>
        <a:solidFill>
          <a:srgbClr val="F4F1E2"/>
        </a:solidFill>
        <a:ln w="15875" cap="flat">
          <a:solidFill>
            <a:srgbClr val="6B651D"/>
          </a:solidFill>
          <a:round/>
        </a:ln>
      </xdr:spPr>
      <xdr:txBody>
        <a:bodyPr vertOverflow="overflow" horzOverflow="overflow" wrap="square" lIns="101600" tIns="12700" rIns="101600" bIns="12700" rtlCol="0" anchor="ctr">
          <a:noAutofit/>
        </a:bodyPr>
        <a:lstStyle/>
        <a:p>
          <a:pPr algn="ctr">
            <a:lnSpc>
              <a:spcPct val="95000"/>
            </a:lnSpc>
          </a:pPr>
          <a:r>
            <a:rPr lang="ja-JP" altLang="en-US" sz="950" b="1" dirty="0">
              <a:solidFill>
                <a:srgbClr val="262626"/>
              </a:solidFill>
              <a:latin typeface="Meiryo UI"/>
              <a:ea typeface="Meiryo UI"/>
              <a:cs typeface="Meiryo UI"/>
            </a:rPr>
            <a:t>API・キュー</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イベント</a:t>
          </a:r>
          <a:endParaRPr lang="ja-JP" altLang="en-US" sz="750" dirty="0">
            <a:latin typeface="Meiryo UI"/>
            <a:ea typeface="Meiryo UI"/>
          </a:endParaRPr>
        </a:p>
      </xdr:txBody>
    </xdr:sp>
    <xdr:clientData/>
  </xdr:twoCellAnchor>
  <xdr:twoCellAnchor editAs="oneCell">
    <xdr:from>
      <xdr:col>11</xdr:col>
      <xdr:colOff>0</xdr:colOff>
      <xdr:row>62</xdr:row>
      <xdr:rowOff>0</xdr:rowOff>
    </xdr:from>
    <xdr:to>
      <xdr:col>19</xdr:col>
      <xdr:colOff>0</xdr:colOff>
      <xdr:row>70</xdr:row>
      <xdr:rowOff>0</xdr:rowOff>
    </xdr:to>
    <xdr:sp macro="" textlink="">
      <xdr:nvSpPr>
        <xdr:cNvPr id="395" name="システム枠（共通）">
          <a:extLst>
            <a:ext uri="{FF2B5EF4-FFF2-40B4-BE49-F238E27FC236}">
              <a16:creationId xmlns:a16="http://schemas.microsoft.com/office/drawing/2014/main" id="{F91260A0-5137-47FC-A0A7-428308D4D953}"/>
            </a:ext>
          </a:extLst>
        </xdr:cNvPr>
        <xdr:cNvSpPr/>
      </xdr:nvSpPr>
      <xdr:spPr>
        <a:xfrm>
          <a:off x="2095500" y="11811000"/>
          <a:ext cx="1524000" cy="1524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AFAFA"/>
        </a:solidFill>
        <a:ln w="12700" cap="flat">
          <a:solidFill>
            <a:srgbClr val="595959"/>
          </a:solidFill>
          <a:round/>
        </a:ln>
      </xdr:spPr>
      <xdr:txBody>
        <a:bodyPr vertOverflow="overflow" horzOverflow="overflow" wrap="square" lIns="76200" tIns="50800" rIns="76200" bIns="50800" rtlCol="0" anchor="t">
          <a:noAutofit/>
        </a:bodyPr>
        <a:lstStyle/>
        <a:p>
          <a:pPr algn="l"/>
          <a:r>
            <a:rPr lang="ja-JP" altLang="en-US" sz="950" b="1" dirty="0">
              <a:solidFill>
                <a:srgbClr val="262626"/>
              </a:solidFill>
              <a:latin typeface="Meiryo UI"/>
              <a:ea typeface="Meiryo UI"/>
              <a:cs typeface="Meiryo UI"/>
            </a:rPr>
            <a:t>システム枠</a:t>
          </a:r>
          <a:endParaRPr lang="ja-JP" altLang="en-US" sz="950" dirty="0">
            <a:latin typeface="Meiryo UI"/>
            <a:ea typeface="Meiryo UI"/>
          </a:endParaRPr>
        </a:p>
        <a:p>
          <a:pPr algn="l"/>
          <a:r>
            <a:rPr lang="ja-JP" altLang="en-US" sz="750" b="0" dirty="0">
              <a:solidFill>
                <a:srgbClr val="595959"/>
              </a:solidFill>
              <a:latin typeface="Meiryo UI"/>
              <a:ea typeface="Meiryo UI"/>
              <a:cs typeface="Meiryo UI"/>
            </a:rPr>
            <a:t>中にノードを配置。枠にも16点接続</a:t>
          </a:r>
          <a:endParaRPr lang="ja-JP" altLang="en-US" sz="750" dirty="0">
            <a:latin typeface="Meiryo UI"/>
            <a:ea typeface="Meiryo UI"/>
          </a:endParaRPr>
        </a:p>
      </xdr:txBody>
    </xdr:sp>
    <xdr:clientData/>
  </xdr:twoCellAnchor>
  <xdr:twoCellAnchor editAs="oneCell">
    <xdr:from>
      <xdr:col>22</xdr:col>
      <xdr:colOff>0</xdr:colOff>
      <xdr:row>62</xdr:row>
      <xdr:rowOff>0</xdr:rowOff>
    </xdr:from>
    <xdr:to>
      <xdr:col>30</xdr:col>
      <xdr:colOff>0</xdr:colOff>
      <xdr:row>70</xdr:row>
      <xdr:rowOff>0</xdr:rowOff>
    </xdr:to>
    <xdr:sp macro="" textlink="">
      <xdr:nvSpPr>
        <xdr:cNvPr id="396" name="システム枠（ルートA）">
          <a:extLst>
            <a:ext uri="{FF2B5EF4-FFF2-40B4-BE49-F238E27FC236}">
              <a16:creationId xmlns:a16="http://schemas.microsoft.com/office/drawing/2014/main" id="{1B5FB936-745D-42D6-971B-1CB74520475A}"/>
            </a:ext>
          </a:extLst>
        </xdr:cNvPr>
        <xdr:cNvSpPr/>
      </xdr:nvSpPr>
      <xdr:spPr>
        <a:xfrm>
          <a:off x="4191000" y="11811000"/>
          <a:ext cx="1524000" cy="1524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3F8FF"/>
        </a:solidFill>
        <a:ln w="12700" cap="flat">
          <a:solidFill>
            <a:srgbClr val="315C92"/>
          </a:solidFill>
          <a:round/>
        </a:ln>
      </xdr:spPr>
      <xdr:txBody>
        <a:bodyPr vertOverflow="overflow" horzOverflow="overflow" wrap="square" lIns="76200" tIns="50800" rIns="76200" bIns="50800" rtlCol="0" anchor="t">
          <a:noAutofit/>
        </a:bodyPr>
        <a:lstStyle/>
        <a:p>
          <a:pPr algn="l"/>
          <a:r>
            <a:rPr lang="ja-JP" altLang="en-US" sz="950" b="1" dirty="0">
              <a:solidFill>
                <a:srgbClr val="113866"/>
              </a:solidFill>
              <a:latin typeface="Meiryo UI"/>
              <a:ea typeface="Meiryo UI"/>
              <a:cs typeface="Meiryo UI"/>
            </a:rPr>
            <a:t>システム枠</a:t>
          </a:r>
          <a:endParaRPr lang="ja-JP" altLang="en-US" sz="950" dirty="0">
            <a:latin typeface="Meiryo UI"/>
            <a:ea typeface="Meiryo UI"/>
          </a:endParaRPr>
        </a:p>
        <a:p>
          <a:pPr algn="l"/>
          <a:r>
            <a:rPr lang="ja-JP" altLang="en-US" sz="750" b="0" dirty="0">
              <a:solidFill>
                <a:srgbClr val="595959"/>
              </a:solidFill>
              <a:latin typeface="Meiryo UI"/>
              <a:ea typeface="Meiryo UI"/>
              <a:cs typeface="Meiryo UI"/>
            </a:rPr>
            <a:t>中にノードを配置。枠にも16点接続</a:t>
          </a:r>
          <a:endParaRPr lang="ja-JP" altLang="en-US" sz="750" dirty="0">
            <a:latin typeface="Meiryo UI"/>
            <a:ea typeface="Meiryo UI"/>
          </a:endParaRPr>
        </a:p>
      </xdr:txBody>
    </xdr:sp>
    <xdr:clientData/>
  </xdr:twoCellAnchor>
  <xdr:twoCellAnchor editAs="oneCell">
    <xdr:from>
      <xdr:col>33</xdr:col>
      <xdr:colOff>0</xdr:colOff>
      <xdr:row>62</xdr:row>
      <xdr:rowOff>0</xdr:rowOff>
    </xdr:from>
    <xdr:to>
      <xdr:col>41</xdr:col>
      <xdr:colOff>0</xdr:colOff>
      <xdr:row>70</xdr:row>
      <xdr:rowOff>0</xdr:rowOff>
    </xdr:to>
    <xdr:sp macro="" textlink="">
      <xdr:nvSpPr>
        <xdr:cNvPr id="397" name="システム枠（ルートB）">
          <a:extLst>
            <a:ext uri="{FF2B5EF4-FFF2-40B4-BE49-F238E27FC236}">
              <a16:creationId xmlns:a16="http://schemas.microsoft.com/office/drawing/2014/main" id="{9D13AC9D-A926-4790-A692-B1DDD49054CC}"/>
            </a:ext>
          </a:extLst>
        </xdr:cNvPr>
        <xdr:cNvSpPr/>
      </xdr:nvSpPr>
      <xdr:spPr>
        <a:xfrm>
          <a:off x="6286500" y="11811000"/>
          <a:ext cx="1524000" cy="1524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1FAF7"/>
        </a:solidFill>
        <a:ln w="12700" cap="flat">
          <a:solidFill>
            <a:srgbClr val="247966"/>
          </a:solidFill>
          <a:round/>
        </a:ln>
      </xdr:spPr>
      <xdr:txBody>
        <a:bodyPr vertOverflow="overflow" horzOverflow="overflow" wrap="square" lIns="76200" tIns="50800" rIns="76200" bIns="50800" rtlCol="0" anchor="t">
          <a:noAutofit/>
        </a:bodyPr>
        <a:lstStyle/>
        <a:p>
          <a:pPr algn="l"/>
          <a:r>
            <a:rPr lang="ja-JP" altLang="en-US" sz="950" b="1" dirty="0">
              <a:solidFill>
                <a:srgbClr val="005243"/>
              </a:solidFill>
              <a:latin typeface="Meiryo UI"/>
              <a:ea typeface="Meiryo UI"/>
              <a:cs typeface="Meiryo UI"/>
            </a:rPr>
            <a:t>システム枠</a:t>
          </a:r>
          <a:endParaRPr lang="ja-JP" altLang="en-US" sz="950" dirty="0">
            <a:latin typeface="Meiryo UI"/>
            <a:ea typeface="Meiryo UI"/>
          </a:endParaRPr>
        </a:p>
        <a:p>
          <a:pPr algn="l"/>
          <a:r>
            <a:rPr lang="ja-JP" altLang="en-US" sz="750" b="0" dirty="0">
              <a:solidFill>
                <a:srgbClr val="595959"/>
              </a:solidFill>
              <a:latin typeface="Meiryo UI"/>
              <a:ea typeface="Meiryo UI"/>
              <a:cs typeface="Meiryo UI"/>
            </a:rPr>
            <a:t>中にノードを配置。枠にも16点接続</a:t>
          </a:r>
          <a:endParaRPr lang="ja-JP" altLang="en-US" sz="750" dirty="0">
            <a:latin typeface="Meiryo UI"/>
            <a:ea typeface="Meiryo UI"/>
          </a:endParaRPr>
        </a:p>
      </xdr:txBody>
    </xdr:sp>
    <xdr:clientData/>
  </xdr:twoCellAnchor>
  <xdr:twoCellAnchor editAs="oneCell">
    <xdr:from>
      <xdr:col>44</xdr:col>
      <xdr:colOff>0</xdr:colOff>
      <xdr:row>62</xdr:row>
      <xdr:rowOff>0</xdr:rowOff>
    </xdr:from>
    <xdr:to>
      <xdr:col>52</xdr:col>
      <xdr:colOff>0</xdr:colOff>
      <xdr:row>70</xdr:row>
      <xdr:rowOff>0</xdr:rowOff>
    </xdr:to>
    <xdr:sp macro="" textlink="">
      <xdr:nvSpPr>
        <xdr:cNvPr id="398" name="システム枠（ルートC）">
          <a:extLst>
            <a:ext uri="{FF2B5EF4-FFF2-40B4-BE49-F238E27FC236}">
              <a16:creationId xmlns:a16="http://schemas.microsoft.com/office/drawing/2014/main" id="{6A148BDF-6599-43B3-9C80-5D900824AB6C}"/>
            </a:ext>
          </a:extLst>
        </xdr:cNvPr>
        <xdr:cNvSpPr/>
      </xdr:nvSpPr>
      <xdr:spPr>
        <a:xfrm>
          <a:off x="8382000" y="11811000"/>
          <a:ext cx="1524000" cy="1524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EF6F2"/>
        </a:solidFill>
        <a:ln w="12700" cap="flat">
          <a:solidFill>
            <a:srgbClr val="C46B39"/>
          </a:solidFill>
          <a:round/>
        </a:ln>
      </xdr:spPr>
      <xdr:txBody>
        <a:bodyPr vertOverflow="overflow" horzOverflow="overflow" wrap="square" lIns="76200" tIns="50800" rIns="76200" bIns="50800" rtlCol="0" anchor="t">
          <a:noAutofit/>
        </a:bodyPr>
        <a:lstStyle/>
        <a:p>
          <a:pPr algn="l"/>
          <a:r>
            <a:rPr lang="ja-JP" altLang="en-US" sz="950" b="1" dirty="0">
              <a:solidFill>
                <a:srgbClr val="954717"/>
              </a:solidFill>
              <a:latin typeface="Meiryo UI"/>
              <a:ea typeface="Meiryo UI"/>
              <a:cs typeface="Meiryo UI"/>
            </a:rPr>
            <a:t>システム枠</a:t>
          </a:r>
          <a:endParaRPr lang="ja-JP" altLang="en-US" sz="950" dirty="0">
            <a:latin typeface="Meiryo UI"/>
            <a:ea typeface="Meiryo UI"/>
          </a:endParaRPr>
        </a:p>
        <a:p>
          <a:pPr algn="l"/>
          <a:r>
            <a:rPr lang="ja-JP" altLang="en-US" sz="750" b="0" dirty="0">
              <a:solidFill>
                <a:srgbClr val="595959"/>
              </a:solidFill>
              <a:latin typeface="Meiryo UI"/>
              <a:ea typeface="Meiryo UI"/>
              <a:cs typeface="Meiryo UI"/>
            </a:rPr>
            <a:t>中にノードを配置。枠にも16点接続</a:t>
          </a:r>
          <a:endParaRPr lang="ja-JP" altLang="en-US" sz="750" dirty="0">
            <a:latin typeface="Meiryo UI"/>
            <a:ea typeface="Meiryo UI"/>
          </a:endParaRPr>
        </a:p>
      </xdr:txBody>
    </xdr:sp>
    <xdr:clientData/>
  </xdr:twoCellAnchor>
  <xdr:twoCellAnchor editAs="oneCell">
    <xdr:from>
      <xdr:col>55</xdr:col>
      <xdr:colOff>0</xdr:colOff>
      <xdr:row>62</xdr:row>
      <xdr:rowOff>0</xdr:rowOff>
    </xdr:from>
    <xdr:to>
      <xdr:col>63</xdr:col>
      <xdr:colOff>0</xdr:colOff>
      <xdr:row>70</xdr:row>
      <xdr:rowOff>0</xdr:rowOff>
    </xdr:to>
    <xdr:sp macro="" textlink="">
      <xdr:nvSpPr>
        <xdr:cNvPr id="399" name="システム枠（ルートD）">
          <a:extLst>
            <a:ext uri="{FF2B5EF4-FFF2-40B4-BE49-F238E27FC236}">
              <a16:creationId xmlns:a16="http://schemas.microsoft.com/office/drawing/2014/main" id="{0193F2D6-BE20-4BDF-A6DF-E75664FA3490}"/>
            </a:ext>
          </a:extLst>
        </xdr:cNvPr>
        <xdr:cNvSpPr/>
      </xdr:nvSpPr>
      <xdr:spPr>
        <a:xfrm>
          <a:off x="10477500" y="11811000"/>
          <a:ext cx="1524000" cy="1524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AF6FD"/>
        </a:solidFill>
        <a:ln w="12700" cap="flat">
          <a:solidFill>
            <a:srgbClr val="876BA6"/>
          </a:solidFill>
          <a:round/>
        </a:ln>
      </xdr:spPr>
      <xdr:txBody>
        <a:bodyPr vertOverflow="overflow" horzOverflow="overflow" wrap="square" lIns="76200" tIns="50800" rIns="76200" bIns="50800" rtlCol="0" anchor="t">
          <a:noAutofit/>
        </a:bodyPr>
        <a:lstStyle/>
        <a:p>
          <a:pPr algn="l"/>
          <a:r>
            <a:rPr lang="ja-JP" altLang="en-US" sz="950" b="1" dirty="0">
              <a:solidFill>
                <a:srgbClr val="5D4578"/>
              </a:solidFill>
              <a:latin typeface="Meiryo UI"/>
              <a:ea typeface="Meiryo UI"/>
              <a:cs typeface="Meiryo UI"/>
            </a:rPr>
            <a:t>システム枠</a:t>
          </a:r>
          <a:endParaRPr lang="ja-JP" altLang="en-US" sz="950" dirty="0">
            <a:latin typeface="Meiryo UI"/>
            <a:ea typeface="Meiryo UI"/>
          </a:endParaRPr>
        </a:p>
        <a:p>
          <a:pPr algn="l"/>
          <a:r>
            <a:rPr lang="ja-JP" altLang="en-US" sz="750" b="0" dirty="0">
              <a:solidFill>
                <a:srgbClr val="595959"/>
              </a:solidFill>
              <a:latin typeface="Meiryo UI"/>
              <a:ea typeface="Meiryo UI"/>
              <a:cs typeface="Meiryo UI"/>
            </a:rPr>
            <a:t>中にノードを配置。枠にも16点接続</a:t>
          </a:r>
          <a:endParaRPr lang="ja-JP" altLang="en-US" sz="750" dirty="0">
            <a:latin typeface="Meiryo UI"/>
            <a:ea typeface="Meiryo UI"/>
          </a:endParaRPr>
        </a:p>
      </xdr:txBody>
    </xdr:sp>
    <xdr:clientData/>
  </xdr:twoCellAnchor>
  <xdr:twoCellAnchor editAs="oneCell">
    <xdr:from>
      <xdr:col>66</xdr:col>
      <xdr:colOff>0</xdr:colOff>
      <xdr:row>62</xdr:row>
      <xdr:rowOff>0</xdr:rowOff>
    </xdr:from>
    <xdr:to>
      <xdr:col>74</xdr:col>
      <xdr:colOff>0</xdr:colOff>
      <xdr:row>70</xdr:row>
      <xdr:rowOff>0</xdr:rowOff>
    </xdr:to>
    <xdr:sp macro="" textlink="">
      <xdr:nvSpPr>
        <xdr:cNvPr id="400" name="システム枠（ルートE）">
          <a:extLst>
            <a:ext uri="{FF2B5EF4-FFF2-40B4-BE49-F238E27FC236}">
              <a16:creationId xmlns:a16="http://schemas.microsoft.com/office/drawing/2014/main" id="{FEDB98AC-AF51-458D-B918-B33A7AD436C4}"/>
            </a:ext>
          </a:extLst>
        </xdr:cNvPr>
        <xdr:cNvSpPr/>
      </xdr:nvSpPr>
      <xdr:spPr>
        <a:xfrm>
          <a:off x="12573000" y="11811000"/>
          <a:ext cx="1524000" cy="1524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5F7"/>
        </a:solidFill>
        <a:ln w="12700" cap="flat">
          <a:solidFill>
            <a:srgbClr val="B04B68"/>
          </a:solidFill>
          <a:round/>
        </a:ln>
      </xdr:spPr>
      <xdr:txBody>
        <a:bodyPr vertOverflow="overflow" horzOverflow="overflow" wrap="square" lIns="76200" tIns="50800" rIns="76200" bIns="50800" rtlCol="0" anchor="t">
          <a:noAutofit/>
        </a:bodyPr>
        <a:lstStyle/>
        <a:p>
          <a:pPr algn="l"/>
          <a:r>
            <a:rPr lang="ja-JP" altLang="en-US" sz="950" b="1" dirty="0">
              <a:solidFill>
                <a:srgbClr val="7E2643"/>
              </a:solidFill>
              <a:latin typeface="Meiryo UI"/>
              <a:ea typeface="Meiryo UI"/>
              <a:cs typeface="Meiryo UI"/>
            </a:rPr>
            <a:t>システム枠</a:t>
          </a:r>
          <a:endParaRPr lang="ja-JP" altLang="en-US" sz="950" dirty="0">
            <a:latin typeface="Meiryo UI"/>
            <a:ea typeface="Meiryo UI"/>
          </a:endParaRPr>
        </a:p>
        <a:p>
          <a:pPr algn="l"/>
          <a:r>
            <a:rPr lang="ja-JP" altLang="en-US" sz="750" b="0" dirty="0">
              <a:solidFill>
                <a:srgbClr val="595959"/>
              </a:solidFill>
              <a:latin typeface="Meiryo UI"/>
              <a:ea typeface="Meiryo UI"/>
              <a:cs typeface="Meiryo UI"/>
            </a:rPr>
            <a:t>中にノードを配置。枠にも16点接続</a:t>
          </a:r>
          <a:endParaRPr lang="ja-JP" altLang="en-US" sz="750" dirty="0">
            <a:latin typeface="Meiryo UI"/>
            <a:ea typeface="Meiryo UI"/>
          </a:endParaRPr>
        </a:p>
      </xdr:txBody>
    </xdr:sp>
    <xdr:clientData/>
  </xdr:twoCellAnchor>
  <xdr:twoCellAnchor editAs="oneCell">
    <xdr:from>
      <xdr:col>77</xdr:col>
      <xdr:colOff>0</xdr:colOff>
      <xdr:row>62</xdr:row>
      <xdr:rowOff>0</xdr:rowOff>
    </xdr:from>
    <xdr:to>
      <xdr:col>85</xdr:col>
      <xdr:colOff>0</xdr:colOff>
      <xdr:row>70</xdr:row>
      <xdr:rowOff>0</xdr:rowOff>
    </xdr:to>
    <xdr:sp macro="" textlink="">
      <xdr:nvSpPr>
        <xdr:cNvPr id="401" name="システム枠（ルートF）">
          <a:extLst>
            <a:ext uri="{FF2B5EF4-FFF2-40B4-BE49-F238E27FC236}">
              <a16:creationId xmlns:a16="http://schemas.microsoft.com/office/drawing/2014/main" id="{9193C4B7-76E7-4FB3-96B2-DB3B4E240C5B}"/>
            </a:ext>
          </a:extLst>
        </xdr:cNvPr>
        <xdr:cNvSpPr/>
      </xdr:nvSpPr>
      <xdr:spPr>
        <a:xfrm>
          <a:off x="14668500" y="11811000"/>
          <a:ext cx="1524000" cy="1524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AF8F1"/>
        </a:solidFill>
        <a:ln w="12700" cap="flat">
          <a:solidFill>
            <a:srgbClr val="6B651D"/>
          </a:solidFill>
          <a:round/>
        </a:ln>
      </xdr:spPr>
      <xdr:txBody>
        <a:bodyPr vertOverflow="overflow" horzOverflow="overflow" wrap="square" lIns="76200" tIns="50800" rIns="76200" bIns="50800" rtlCol="0" anchor="t">
          <a:noAutofit/>
        </a:bodyPr>
        <a:lstStyle/>
        <a:p>
          <a:pPr algn="l"/>
          <a:r>
            <a:rPr lang="ja-JP" altLang="en-US" sz="950" b="1" dirty="0">
              <a:solidFill>
                <a:srgbClr val="433F00"/>
              </a:solidFill>
              <a:latin typeface="Meiryo UI"/>
              <a:ea typeface="Meiryo UI"/>
              <a:cs typeface="Meiryo UI"/>
            </a:rPr>
            <a:t>システム枠</a:t>
          </a:r>
          <a:endParaRPr lang="ja-JP" altLang="en-US" sz="950" dirty="0">
            <a:latin typeface="Meiryo UI"/>
            <a:ea typeface="Meiryo UI"/>
          </a:endParaRPr>
        </a:p>
        <a:p>
          <a:pPr algn="l"/>
          <a:r>
            <a:rPr lang="ja-JP" altLang="en-US" sz="750" b="0" dirty="0">
              <a:solidFill>
                <a:srgbClr val="595959"/>
              </a:solidFill>
              <a:latin typeface="Meiryo UI"/>
              <a:ea typeface="Meiryo UI"/>
              <a:cs typeface="Meiryo UI"/>
            </a:rPr>
            <a:t>中にノードを配置。枠にも16点接続</a:t>
          </a:r>
          <a:endParaRPr lang="ja-JP" altLang="en-US" sz="750" dirty="0">
            <a:latin typeface="Meiryo UI"/>
            <a:ea typeface="Meiryo UI"/>
          </a:endParaRPr>
        </a:p>
      </xdr:txBody>
    </xdr:sp>
    <xdr:clientData/>
  </xdr:twoCellAnchor>
  <xdr:twoCellAnchor editAs="oneCell">
    <xdr:from>
      <xdr:col>11</xdr:col>
      <xdr:colOff>0</xdr:colOff>
      <xdr:row>72</xdr:row>
      <xdr:rowOff>0</xdr:rowOff>
    </xdr:from>
    <xdr:to>
      <xdr:col>19</xdr:col>
      <xdr:colOff>0</xdr:colOff>
      <xdr:row>76</xdr:row>
      <xdr:rowOff>0</xdr:rowOff>
    </xdr:to>
    <xdr:sp macro="" textlink="">
      <xdr:nvSpPr>
        <xdr:cNvPr id="402" name="ノード: 角丸・既存（共通）">
          <a:extLst>
            <a:ext uri="{FF2B5EF4-FFF2-40B4-BE49-F238E27FC236}">
              <a16:creationId xmlns:a16="http://schemas.microsoft.com/office/drawing/2014/main" id="{0394E87E-F7F9-4B61-A8E5-88E5ACEF67A8}"/>
            </a:ext>
          </a:extLst>
        </xdr:cNvPr>
        <xdr:cNvSpPr/>
      </xdr:nvSpPr>
      <xdr:spPr>
        <a:xfrm>
          <a:off x="2095500" y="13716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2F2F2"/>
        </a:solidFill>
        <a:ln w="12700" cap="flat">
          <a:solidFill>
            <a:srgbClr val="A6A6A6"/>
          </a:solidFill>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7F7F7F"/>
              </a:solidFill>
              <a:latin typeface="Meiryo UI"/>
              <a:ea typeface="Meiryo UI"/>
              <a:cs typeface="Meiryo UI"/>
            </a:rPr>
            <a:t>既存システム</a:t>
          </a:r>
          <a:endParaRPr lang="ja-JP" altLang="en-US" sz="950" dirty="0">
            <a:latin typeface="Meiryo UI"/>
            <a:ea typeface="Meiryo UI"/>
          </a:endParaRPr>
        </a:p>
        <a:p>
          <a:pPr algn="ctr">
            <a:lnSpc>
              <a:spcPct val="95000"/>
            </a:lnSpc>
            <a:spcBef>
              <a:spcPts val="50"/>
            </a:spcBef>
          </a:pPr>
          <a:r>
            <a:rPr lang="ja-JP" altLang="en-US" sz="750" b="0" dirty="0">
              <a:solidFill>
                <a:srgbClr val="A6A6A6"/>
              </a:solidFill>
              <a:latin typeface="Meiryo UI"/>
              <a:ea typeface="Meiryo UI"/>
              <a:cs typeface="Meiryo UI"/>
            </a:rPr>
            <a:t>変更なし・対象外</a:t>
          </a:r>
          <a:endParaRPr lang="ja-JP" altLang="en-US" sz="750" dirty="0">
            <a:latin typeface="Meiryo UI"/>
            <a:ea typeface="Meiryo UI"/>
          </a:endParaRPr>
        </a:p>
      </xdr:txBody>
    </xdr:sp>
    <xdr:clientData/>
  </xdr:twoCellAnchor>
  <xdr:twoCellAnchor editAs="oneCell">
    <xdr:from>
      <xdr:col>22</xdr:col>
      <xdr:colOff>0</xdr:colOff>
      <xdr:row>72</xdr:row>
      <xdr:rowOff>0</xdr:rowOff>
    </xdr:from>
    <xdr:to>
      <xdr:col>30</xdr:col>
      <xdr:colOff>0</xdr:colOff>
      <xdr:row>76</xdr:row>
      <xdr:rowOff>0</xdr:rowOff>
    </xdr:to>
    <xdr:sp macro="" textlink="">
      <xdr:nvSpPr>
        <xdr:cNvPr id="403" name="ノード: 角丸・外部（共通）">
          <a:extLst>
            <a:ext uri="{FF2B5EF4-FFF2-40B4-BE49-F238E27FC236}">
              <a16:creationId xmlns:a16="http://schemas.microsoft.com/office/drawing/2014/main" id="{3EE0C062-E49B-46D5-9EC1-9CF8F8F0B89E}"/>
            </a:ext>
          </a:extLst>
        </xdr:cNvPr>
        <xdr:cNvSpPr/>
      </xdr:nvSpPr>
      <xdr:spPr>
        <a:xfrm>
          <a:off x="4191000" y="13716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2700" cap="flat">
          <a:solidFill>
            <a:srgbClr val="7F7F7F"/>
          </a:solidFill>
          <a:prstDash val="dash"/>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外部システム</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範囲外（破線）</a:t>
          </a:r>
          <a:endParaRPr lang="ja-JP" altLang="en-US" sz="750" dirty="0">
            <a:latin typeface="Meiryo UI"/>
            <a:ea typeface="Meiryo UI"/>
          </a:endParaRPr>
        </a:p>
      </xdr:txBody>
    </xdr:sp>
    <xdr:clientData/>
  </xdr:twoCellAnchor>
  <xdr:twoCellAnchor editAs="oneCell">
    <xdr:from>
      <xdr:col>33</xdr:col>
      <xdr:colOff>0</xdr:colOff>
      <xdr:row>72</xdr:row>
      <xdr:rowOff>0</xdr:rowOff>
    </xdr:from>
    <xdr:to>
      <xdr:col>41</xdr:col>
      <xdr:colOff>0</xdr:colOff>
      <xdr:row>76</xdr:row>
      <xdr:rowOff>0</xdr:rowOff>
    </xdr:to>
    <xdr:sp macro="" textlink="">
      <xdr:nvSpPr>
        <xdr:cNvPr id="404" name="ノード: 角丸・新規（共通）">
          <a:extLst>
            <a:ext uri="{FF2B5EF4-FFF2-40B4-BE49-F238E27FC236}">
              <a16:creationId xmlns:a16="http://schemas.microsoft.com/office/drawing/2014/main" id="{AFD207C7-98F6-4524-A921-C88488577C52}"/>
            </a:ext>
          </a:extLst>
        </xdr:cNvPr>
        <xdr:cNvSpPr/>
      </xdr:nvSpPr>
      <xdr:spPr>
        <a:xfrm>
          <a:off x="6286500" y="13716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9050" cap="flat">
          <a:solidFill>
            <a:srgbClr val="C00000"/>
          </a:solidFill>
          <a:prstDash val="dash"/>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262626"/>
              </a:solidFill>
              <a:latin typeface="Meiryo UI"/>
              <a:ea typeface="Meiryo UI"/>
              <a:cs typeface="Meiryo UI"/>
            </a:rPr>
            <a:t>新規システム</a:t>
          </a:r>
          <a:endParaRPr lang="ja-JP" altLang="en-US" sz="950" dirty="0">
            <a:latin typeface="Meiryo UI"/>
            <a:ea typeface="Meiryo UI"/>
          </a:endParaRPr>
        </a:p>
        <a:p>
          <a:pPr algn="ctr">
            <a:lnSpc>
              <a:spcPct val="95000"/>
            </a:lnSpc>
            <a:spcBef>
              <a:spcPts val="50"/>
            </a:spcBef>
          </a:pPr>
          <a:r>
            <a:rPr lang="ja-JP" altLang="en-US" sz="750" b="0" dirty="0">
              <a:solidFill>
                <a:srgbClr val="595959"/>
              </a:solidFill>
              <a:latin typeface="Meiryo UI"/>
              <a:ea typeface="Meiryo UI"/>
              <a:cs typeface="Meiryo UI"/>
            </a:rPr>
            <a:t>今回構築（赤破線）</a:t>
          </a:r>
          <a:endParaRPr lang="ja-JP" altLang="en-US" sz="750" dirty="0">
            <a:latin typeface="Meiryo UI"/>
            <a:ea typeface="Meiryo UI"/>
          </a:endParaRPr>
        </a:p>
      </xdr:txBody>
    </xdr:sp>
    <xdr:clientData/>
  </xdr:twoCellAnchor>
  <xdr:twoCellAnchor editAs="oneCell">
    <xdr:from>
      <xdr:col>44</xdr:col>
      <xdr:colOff>0</xdr:colOff>
      <xdr:row>72</xdr:row>
      <xdr:rowOff>0</xdr:rowOff>
    </xdr:from>
    <xdr:to>
      <xdr:col>52</xdr:col>
      <xdr:colOff>0</xdr:colOff>
      <xdr:row>76</xdr:row>
      <xdr:rowOff>0</xdr:rowOff>
    </xdr:to>
    <xdr:sp macro="" textlink="">
      <xdr:nvSpPr>
        <xdr:cNvPr id="405" name="ノード: 角丸・将来（共通）">
          <a:extLst>
            <a:ext uri="{FF2B5EF4-FFF2-40B4-BE49-F238E27FC236}">
              <a16:creationId xmlns:a16="http://schemas.microsoft.com/office/drawing/2014/main" id="{E4893D70-CA04-4794-AF55-94FDBAA69D16}"/>
            </a:ext>
          </a:extLst>
        </xdr:cNvPr>
        <xdr:cNvSpPr/>
      </xdr:nvSpPr>
      <xdr:spPr>
        <a:xfrm>
          <a:off x="8382000" y="13716000"/>
          <a:ext cx="1524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2700" cap="flat">
          <a:solidFill>
            <a:srgbClr val="A6A6A6"/>
          </a:solidFill>
          <a:prstDash val="sysDot"/>
          <a:round/>
        </a:ln>
      </xdr:spPr>
      <xdr:txBody>
        <a:bodyPr vertOverflow="overflow" horzOverflow="overflow" wrap="square" lIns="38100" tIns="19050" rIns="38100" bIns="19050" rtlCol="0" anchor="ctr">
          <a:noAutofit/>
        </a:bodyPr>
        <a:lstStyle/>
        <a:p>
          <a:pPr algn="ctr">
            <a:lnSpc>
              <a:spcPct val="95000"/>
            </a:lnSpc>
          </a:pPr>
          <a:r>
            <a:rPr lang="ja-JP" altLang="en-US" sz="950" b="1" dirty="0">
              <a:solidFill>
                <a:srgbClr val="7F7F7F"/>
              </a:solidFill>
              <a:latin typeface="Meiryo UI"/>
              <a:ea typeface="Meiryo UI"/>
              <a:cs typeface="Meiryo UI"/>
            </a:rPr>
            <a:t>将来システム</a:t>
          </a:r>
          <a:endParaRPr lang="ja-JP" altLang="en-US" sz="950" dirty="0">
            <a:latin typeface="Meiryo UI"/>
            <a:ea typeface="Meiryo UI"/>
          </a:endParaRPr>
        </a:p>
        <a:p>
          <a:pPr algn="ctr">
            <a:lnSpc>
              <a:spcPct val="95000"/>
            </a:lnSpc>
            <a:spcBef>
              <a:spcPts val="50"/>
            </a:spcBef>
          </a:pPr>
          <a:r>
            <a:rPr lang="ja-JP" altLang="en-US" sz="750" b="0" dirty="0">
              <a:solidFill>
                <a:srgbClr val="A6A6A6"/>
              </a:solidFill>
              <a:latin typeface="Meiryo UI"/>
              <a:ea typeface="Meiryo UI"/>
              <a:cs typeface="Meiryo UI"/>
            </a:rPr>
            <a:t>計画中（点線）</a:t>
          </a:r>
          <a:endParaRPr lang="ja-JP" altLang="en-US" sz="750" dirty="0">
            <a:latin typeface="Meiryo UI"/>
            <a:ea typeface="Meiryo UI"/>
          </a:endParaRPr>
        </a:p>
      </xdr:txBody>
    </xdr:sp>
    <xdr:clientData/>
  </xdr:twoCellAnchor>
  <xdr:twoCellAnchor editAs="oneCell">
    <xdr:from>
      <xdr:col>39</xdr:col>
      <xdr:colOff>0</xdr:colOff>
      <xdr:row>71</xdr:row>
      <xdr:rowOff>0</xdr:rowOff>
    </xdr:from>
    <xdr:to>
      <xdr:col>41</xdr:col>
      <xdr:colOff>0</xdr:colOff>
      <xdr:row>72</xdr:row>
      <xdr:rowOff>0</xdr:rowOff>
    </xdr:to>
    <xdr:sp macro="" textlink="">
      <xdr:nvSpPr>
        <xdr:cNvPr id="406" name="タグ: 新規">
          <a:extLst>
            <a:ext uri="{FF2B5EF4-FFF2-40B4-BE49-F238E27FC236}">
              <a16:creationId xmlns:a16="http://schemas.microsoft.com/office/drawing/2014/main" id="{E108D618-2CB4-4793-94FD-663B767D7F08}"/>
            </a:ext>
          </a:extLst>
        </xdr:cNvPr>
        <xdr:cNvSpPr/>
      </xdr:nvSpPr>
      <xdr:spPr>
        <a:xfrm>
          <a:off x="7429500" y="13525500"/>
          <a:ext cx="381000" cy="190500"/>
        </a:xfrm>
        <a:prstGeom prst="rect">
          <a:avLst/>
        </a:prstGeom>
        <a:solidFill>
          <a:srgbClr val="C00000"/>
        </a:solidFill>
        <a:ln w="9525" cap="flat">
          <a:solidFill>
            <a:srgbClr val="C00000"/>
          </a:solidFill>
          <a:round/>
        </a:ln>
      </xdr:spPr>
      <xdr:txBody>
        <a:bodyPr vertOverflow="overflow" horzOverflow="overflow" wrap="none" lIns="0" tIns="0" rIns="0" bIns="0" rtlCol="0" anchor="ctr">
          <a:noAutofit/>
        </a:bodyPr>
        <a:lstStyle/>
        <a:p>
          <a:pPr algn="ctr"/>
          <a:r>
            <a:rPr lang="ja-JP" altLang="en-US" sz="700" b="1" dirty="0">
              <a:solidFill>
                <a:srgbClr val="FFFFFF"/>
              </a:solidFill>
              <a:latin typeface="Meiryo UI"/>
              <a:ea typeface="Meiryo UI"/>
              <a:cs typeface="Meiryo UI"/>
            </a:rPr>
            <a:t>新規</a:t>
          </a:r>
          <a:endParaRPr lang="ja-JP" altLang="en-US" sz="700" dirty="0">
            <a:latin typeface="Meiryo UI"/>
            <a:ea typeface="Meiryo UI"/>
          </a:endParaRPr>
        </a:p>
      </xdr:txBody>
    </xdr:sp>
    <xdr:clientData/>
  </xdr:twoCellAnchor>
  <xdr:twoCellAnchor editAs="oneCell">
    <xdr:from>
      <xdr:col>12</xdr:col>
      <xdr:colOff>0</xdr:colOff>
      <xdr:row>78</xdr:row>
      <xdr:rowOff>0</xdr:rowOff>
    </xdr:from>
    <xdr:to>
      <xdr:col>16</xdr:col>
      <xdr:colOff>0</xdr:colOff>
      <xdr:row>82</xdr:row>
      <xdr:rowOff>0</xdr:rowOff>
    </xdr:to>
    <xdr:sp macro="" textlink="">
      <xdr:nvSpPr>
        <xdr:cNvPr id="407" name="アイコン接続フレーム（透明・16点）">
          <a:extLst>
            <a:ext uri="{FF2B5EF4-FFF2-40B4-BE49-F238E27FC236}">
              <a16:creationId xmlns:a16="http://schemas.microsoft.com/office/drawing/2014/main" id="{BC58F23E-2CBA-40EA-BCEA-96CB6B53C194}"/>
            </a:ext>
          </a:extLst>
        </xdr:cNvPr>
        <xdr:cNvSpPr/>
      </xdr:nvSpPr>
      <xdr:spPr>
        <a:xfrm>
          <a:off x="2286000" y="14859000"/>
          <a:ext cx="762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FFFFF">
            <a:alpha val="0"/>
          </a:srgbClr>
        </a:solidFill>
        <a:ln w="6350" cap="flat">
          <a:solidFill>
            <a:srgbClr val="A6A6A6"/>
          </a:solidFill>
          <a:prstDash val="sysDash"/>
          <a:round/>
        </a:ln>
      </xdr:spPr>
      <xdr:txBody>
        <a:bodyPr vertOverflow="overflow" horzOverflow="overflow" wrap="square" lIns="38100" tIns="19050" rIns="38100" bIns="19050" rtlCol="0" anchor="ctr">
          <a:noAutofit/>
        </a:bodyPr>
        <a:lstStyle/>
        <a:p>
          <a:pPr algn="ctr"/>
          <a:endParaRPr lang="ja-JP" altLang="en-US" sz="800" dirty="0">
            <a:latin typeface="Meiryo UI"/>
            <a:ea typeface="Meiryo UI"/>
          </a:endParaRPr>
        </a:p>
      </xdr:txBody>
    </xdr:sp>
    <xdr:clientData/>
  </xdr:twoCellAnchor>
  <xdr:twoCellAnchor editAs="oneCell">
    <xdr:from>
      <xdr:col>17</xdr:col>
      <xdr:colOff>0</xdr:colOff>
      <xdr:row>78</xdr:row>
      <xdr:rowOff>0</xdr:rowOff>
    </xdr:from>
    <xdr:to>
      <xdr:col>26</xdr:col>
      <xdr:colOff>0</xdr:colOff>
      <xdr:row>82</xdr:row>
      <xdr:rowOff>0</xdr:rowOff>
    </xdr:to>
    <xdr:sp macro="" textlink="">
      <xdr:nvSpPr>
        <xdr:cNvPr id="408" name="テキスト">
          <a:extLst>
            <a:ext uri="{FF2B5EF4-FFF2-40B4-BE49-F238E27FC236}">
              <a16:creationId xmlns:a16="http://schemas.microsoft.com/office/drawing/2014/main" id="{CA3B7A85-1586-4E28-B26C-80615AA85994}"/>
            </a:ext>
          </a:extLst>
        </xdr:cNvPr>
        <xdr:cNvSpPr/>
      </xdr:nvSpPr>
      <xdr:spPr>
        <a:xfrm>
          <a:off x="3238500" y="14859000"/>
          <a:ext cx="1714500" cy="7620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595959"/>
              </a:solidFill>
              <a:latin typeface="Meiryo UI"/>
              <a:ea typeface="Meiryo UI"/>
              <a:cs typeface="Meiryo UI"/>
            </a:rPr>
            <a:t>透明な16点の枠。</a:t>
          </a:r>
          <a:endParaRPr lang="ja-JP" altLang="en-US" sz="750" dirty="0">
            <a:latin typeface="Meiryo UI"/>
            <a:ea typeface="Meiryo UI"/>
          </a:endParaRPr>
        </a:p>
        <a:p>
          <a:pPr algn="l"/>
          <a:r>
            <a:rPr lang="ja-JP" altLang="en-US" sz="750" b="0" dirty="0">
              <a:solidFill>
                <a:srgbClr val="595959"/>
              </a:solidFill>
              <a:latin typeface="Meiryo UI"/>
              <a:ea typeface="Meiryo UI"/>
              <a:cs typeface="Meiryo UI"/>
            </a:rPr>
            <a:t>アイコン（AWS等）に重ねて</a:t>
          </a:r>
          <a:endParaRPr lang="ja-JP" altLang="en-US" sz="750" dirty="0">
            <a:latin typeface="Meiryo UI"/>
            <a:ea typeface="Meiryo UI"/>
          </a:endParaRPr>
        </a:p>
        <a:p>
          <a:pPr algn="l"/>
          <a:r>
            <a:rPr lang="ja-JP" altLang="en-US" sz="750" b="0" dirty="0">
              <a:solidFill>
                <a:srgbClr val="595959"/>
              </a:solidFill>
              <a:latin typeface="Meiryo UI"/>
              <a:ea typeface="Meiryo UI"/>
              <a:cs typeface="Meiryo UI"/>
            </a:rPr>
            <a:t>グループ化（Ctrl＋G）すると</a:t>
          </a:r>
          <a:endParaRPr lang="ja-JP" altLang="en-US" sz="750" dirty="0">
            <a:latin typeface="Meiryo UI"/>
            <a:ea typeface="Meiryo UI"/>
          </a:endParaRPr>
        </a:p>
        <a:p>
          <a:pPr algn="l"/>
          <a:r>
            <a:rPr lang="ja-JP" altLang="en-US" sz="750" b="0" dirty="0">
              <a:solidFill>
                <a:srgbClr val="595959"/>
              </a:solidFill>
              <a:latin typeface="Meiryo UI"/>
              <a:ea typeface="Meiryo UI"/>
              <a:cs typeface="Meiryo UI"/>
            </a:rPr>
            <a:t>16か所で接続できます</a:t>
          </a:r>
          <a:endParaRPr lang="ja-JP" altLang="en-US" sz="750" dirty="0">
            <a:latin typeface="Meiryo UI"/>
            <a:ea typeface="Meiryo UI"/>
          </a:endParaRPr>
        </a:p>
      </xdr:txBody>
    </xdr:sp>
    <xdr:clientData/>
  </xdr:twoCellAnchor>
  <xdr:twoCellAnchor editAs="oneCell">
    <xdr:from>
      <xdr:col>34</xdr:col>
      <xdr:colOff>0</xdr:colOff>
      <xdr:row>78</xdr:row>
      <xdr:rowOff>0</xdr:rowOff>
    </xdr:from>
    <xdr:to>
      <xdr:col>38</xdr:col>
      <xdr:colOff>0</xdr:colOff>
      <xdr:row>82</xdr:row>
      <xdr:rowOff>0</xdr:rowOff>
    </xdr:to>
    <xdr:grpSp>
      <xdr:nvGrpSpPr>
        <xdr:cNvPr id="409" name="アイコン＋接続フレーム（AWS Lambda）">
          <a:extLst>
            <a:ext uri="{FF2B5EF4-FFF2-40B4-BE49-F238E27FC236}">
              <a16:creationId xmlns:a16="http://schemas.microsoft.com/office/drawing/2014/main" id="{96D651F2-34CD-4949-8028-CC5111357968}"/>
            </a:ext>
          </a:extLst>
        </xdr:cNvPr>
        <xdr:cNvGrpSpPr/>
      </xdr:nvGrpSpPr>
      <xdr:grpSpPr>
        <a:xfrm>
          <a:off x="6477000" y="14859000"/>
          <a:ext cx="762000" cy="762000"/>
          <a:chOff x="6477000" y="14859000"/>
          <a:chExt cx="762000" cy="762000"/>
        </a:xfrm>
      </xdr:grpSpPr>
      <xdr:pic>
        <xdr:nvPicPr>
          <xdr:cNvPr id="410" name="アイコン: AWS Lambda" descr="AWS Lambda">
            <a:extLst>
              <a:ext uri="{FF2B5EF4-FFF2-40B4-BE49-F238E27FC236}">
                <a16:creationId xmlns:a16="http://schemas.microsoft.com/office/drawing/2014/main" id="{422A8E8C-8264-4501-AB0C-D9E6038594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72250" y="14954250"/>
            <a:ext cx="571500" cy="571500"/>
          </a:xfrm>
          <a:prstGeom prst="rect">
            <a:avLst/>
          </a:prstGeom>
        </xdr:spPr>
      </xdr:pic>
      <xdr:sp macro="" textlink="">
        <xdr:nvSpPr>
          <xdr:cNvPr id="411" name="アイコン接続フレーム">
            <a:extLst>
              <a:ext uri="{FF2B5EF4-FFF2-40B4-BE49-F238E27FC236}">
                <a16:creationId xmlns:a16="http://schemas.microsoft.com/office/drawing/2014/main" id="{E3C85A84-90F0-4E43-ADAD-91C1F3CDBEBD}"/>
              </a:ext>
            </a:extLst>
          </xdr:cNvPr>
          <xdr:cNvSpPr/>
        </xdr:nvSpPr>
        <xdr:spPr>
          <a:xfrm>
            <a:off x="6477000" y="14859000"/>
            <a:ext cx="762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FFFFF">
              <a:alpha val="0"/>
            </a:srgbClr>
          </a:solidFill>
          <a:ln>
            <a:noFill/>
          </a:ln>
        </xdr:spPr>
        <xdr:txBody>
          <a:bodyPr vertOverflow="overflow" horzOverflow="overflow" wrap="square" lIns="38100" tIns="19050" rIns="38100" bIns="19050" rtlCol="0" anchor="ctr">
            <a:noAutofit/>
          </a:bodyPr>
          <a:lstStyle/>
          <a:p>
            <a:pPr algn="ctr"/>
            <a:endParaRPr lang="ja-JP" altLang="en-US" sz="600" dirty="0">
              <a:latin typeface="Meiryo UI"/>
              <a:ea typeface="Meiryo UI"/>
            </a:endParaRPr>
          </a:p>
        </xdr:txBody>
      </xdr:sp>
    </xdr:grpSp>
    <xdr:clientData/>
  </xdr:twoCellAnchor>
  <xdr:twoCellAnchor editAs="oneCell">
    <xdr:from>
      <xdr:col>33</xdr:col>
      <xdr:colOff>0</xdr:colOff>
      <xdr:row>82</xdr:row>
      <xdr:rowOff>0</xdr:rowOff>
    </xdr:from>
    <xdr:to>
      <xdr:col>39</xdr:col>
      <xdr:colOff>0</xdr:colOff>
      <xdr:row>83</xdr:row>
      <xdr:rowOff>0</xdr:rowOff>
    </xdr:to>
    <xdr:sp macro="" textlink="">
      <xdr:nvSpPr>
        <xdr:cNvPr id="412" name="アイコン名: AWS Lambda">
          <a:extLst>
            <a:ext uri="{FF2B5EF4-FFF2-40B4-BE49-F238E27FC236}">
              <a16:creationId xmlns:a16="http://schemas.microsoft.com/office/drawing/2014/main" id="{A160A820-1426-4EF0-8898-1E977A50341C}"/>
            </a:ext>
          </a:extLst>
        </xdr:cNvPr>
        <xdr:cNvSpPr/>
      </xdr:nvSpPr>
      <xdr:spPr>
        <a:xfrm>
          <a:off x="6286500" y="15621000"/>
          <a:ext cx="1143000" cy="190500"/>
        </a:xfrm>
        <a:prstGeom prst="rect">
          <a:avLst/>
        </a:prstGeom>
        <a:noFill/>
        <a:ln>
          <a:noFill/>
        </a:ln>
      </xdr:spPr>
      <xdr:txBody>
        <a:bodyPr vertOverflow="overflow" horzOverflow="overflow" wrap="square" lIns="12700" tIns="0" rIns="12700" bIns="0" rtlCol="0" anchor="ctr">
          <a:noAutofit/>
        </a:bodyPr>
        <a:lstStyle/>
        <a:p>
          <a:pPr algn="ctr"/>
          <a:r>
            <a:rPr lang="ja-JP" altLang="en-US" sz="750" b="0" dirty="0">
              <a:solidFill>
                <a:srgbClr val="404040"/>
              </a:solidFill>
              <a:latin typeface="Meiryo UI"/>
              <a:ea typeface="Meiryo UI"/>
              <a:cs typeface="Meiryo UI"/>
            </a:rPr>
            <a:t>AWS Lambda</a:t>
          </a:r>
          <a:endParaRPr lang="ja-JP" altLang="en-US" sz="750" dirty="0">
            <a:latin typeface="Meiryo UI"/>
            <a:ea typeface="Meiryo UI"/>
          </a:endParaRPr>
        </a:p>
      </xdr:txBody>
    </xdr:sp>
    <xdr:clientData/>
  </xdr:twoCellAnchor>
  <xdr:twoCellAnchor editAs="oneCell">
    <xdr:from>
      <xdr:col>39</xdr:col>
      <xdr:colOff>0</xdr:colOff>
      <xdr:row>78</xdr:row>
      <xdr:rowOff>0</xdr:rowOff>
    </xdr:from>
    <xdr:to>
      <xdr:col>48</xdr:col>
      <xdr:colOff>0</xdr:colOff>
      <xdr:row>82</xdr:row>
      <xdr:rowOff>0</xdr:rowOff>
    </xdr:to>
    <xdr:sp macro="" textlink="">
      <xdr:nvSpPr>
        <xdr:cNvPr id="413" name="テキスト">
          <a:extLst>
            <a:ext uri="{FF2B5EF4-FFF2-40B4-BE49-F238E27FC236}">
              <a16:creationId xmlns:a16="http://schemas.microsoft.com/office/drawing/2014/main" id="{4529A69D-AB54-46B8-8D49-EF2146AB5525}"/>
            </a:ext>
          </a:extLst>
        </xdr:cNvPr>
        <xdr:cNvSpPr/>
      </xdr:nvSpPr>
      <xdr:spPr>
        <a:xfrm>
          <a:off x="7429500" y="14859000"/>
          <a:ext cx="1714500" cy="7620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595959"/>
              </a:solidFill>
              <a:latin typeface="Meiryo UI"/>
              <a:ea typeface="Meiryo UI"/>
              <a:cs typeface="Meiryo UI"/>
            </a:rPr>
            <a:t>見本：AWS Lambda アイコン＋</a:t>
          </a:r>
          <a:endParaRPr lang="ja-JP" altLang="en-US" sz="750" dirty="0">
            <a:latin typeface="Meiryo UI"/>
            <a:ea typeface="Meiryo UI"/>
          </a:endParaRPr>
        </a:p>
        <a:p>
          <a:pPr algn="l"/>
          <a:r>
            <a:rPr lang="ja-JP" altLang="en-US" sz="750" b="0" dirty="0">
              <a:solidFill>
                <a:srgbClr val="595959"/>
              </a:solidFill>
              <a:latin typeface="Meiryo UI"/>
              <a:ea typeface="Meiryo UI"/>
              <a:cs typeface="Meiryo UI"/>
            </a:rPr>
            <a:t>接続フレームをグループ化済み。</a:t>
          </a:r>
          <a:endParaRPr lang="ja-JP" altLang="en-US" sz="750" dirty="0">
            <a:latin typeface="Meiryo UI"/>
            <a:ea typeface="Meiryo UI"/>
          </a:endParaRPr>
        </a:p>
        <a:p>
          <a:pPr algn="l"/>
          <a:r>
            <a:rPr lang="ja-JP" altLang="en-US" sz="750" b="0" dirty="0">
              <a:solidFill>
                <a:srgbClr val="595959"/>
              </a:solidFill>
              <a:latin typeface="Meiryo UI"/>
              <a:ea typeface="Meiryo UI"/>
              <a:cs typeface="Meiryo UI"/>
            </a:rPr>
            <a:t>AWSアイコンは既存テンプレートの</a:t>
          </a:r>
          <a:endParaRPr lang="ja-JP" altLang="en-US" sz="750" dirty="0">
            <a:latin typeface="Meiryo UI"/>
            <a:ea typeface="Meiryo UI"/>
          </a:endParaRPr>
        </a:p>
        <a:p>
          <a:pPr algn="l"/>
          <a:r>
            <a:rPr lang="ja-JP" altLang="en-US" sz="750" b="0" dirty="0">
              <a:solidFill>
                <a:srgbClr val="595959"/>
              </a:solidFill>
              <a:latin typeface="Meiryo UI"/>
              <a:ea typeface="Meiryo UI"/>
              <a:cs typeface="Meiryo UI"/>
            </a:rPr>
            <a:t>「AWSアイコン一覧」から</a:t>
          </a:r>
          <a:endParaRPr lang="ja-JP" altLang="en-US" sz="750" dirty="0">
            <a:latin typeface="Meiryo UI"/>
            <a:ea typeface="Meiryo UI"/>
          </a:endParaRPr>
        </a:p>
      </xdr:txBody>
    </xdr:sp>
    <xdr:clientData/>
  </xdr:twoCellAnchor>
  <xdr:twoCellAnchor editAs="oneCell">
    <xdr:from>
      <xdr:col>11</xdr:col>
      <xdr:colOff>0</xdr:colOff>
      <xdr:row>91</xdr:row>
      <xdr:rowOff>0</xdr:rowOff>
    </xdr:from>
    <xdr:to>
      <xdr:col>17</xdr:col>
      <xdr:colOff>0</xdr:colOff>
      <xdr:row>91</xdr:row>
      <xdr:rowOff>0</xdr:rowOff>
    </xdr:to>
    <xdr:cxnSp macro="">
      <xdr:nvCxnSpPr>
        <xdr:cNvPr id="414" name="線: オンライン連携・直線（共通）">
          <a:extLst>
            <a:ext uri="{FF2B5EF4-FFF2-40B4-BE49-F238E27FC236}">
              <a16:creationId xmlns:a16="http://schemas.microsoft.com/office/drawing/2014/main" id="{30844DA0-7127-4C68-9A54-24B7C5E0919C}"/>
            </a:ext>
          </a:extLst>
        </xdr:cNvPr>
        <xdr:cNvCxnSpPr/>
      </xdr:nvCxnSpPr>
      <xdr:spPr>
        <a:xfrm>
          <a:off x="2095500" y="17335500"/>
          <a:ext cx="1143000" cy="0"/>
        </a:xfrm>
        <a:prstGeom prst="straightConnector1">
          <a:avLst/>
        </a:prstGeom>
        <a:ln w="19050" cap="flat">
          <a:solidFill>
            <a:srgbClr val="404040"/>
          </a:solidFill>
          <a:round/>
          <a:tailEnd type="triangle" w="med" len="med"/>
        </a:ln>
      </xdr:spPr>
    </xdr:cxnSp>
    <xdr:clientData/>
  </xdr:twoCellAnchor>
  <xdr:twoCellAnchor editAs="oneCell">
    <xdr:from>
      <xdr:col>22</xdr:col>
      <xdr:colOff>0</xdr:colOff>
      <xdr:row>91</xdr:row>
      <xdr:rowOff>0</xdr:rowOff>
    </xdr:from>
    <xdr:to>
      <xdr:col>28</xdr:col>
      <xdr:colOff>0</xdr:colOff>
      <xdr:row>91</xdr:row>
      <xdr:rowOff>0</xdr:rowOff>
    </xdr:to>
    <xdr:cxnSp macro="">
      <xdr:nvCxnSpPr>
        <xdr:cNvPr id="415" name="線: オンライン連携・直線（ルートA）">
          <a:extLst>
            <a:ext uri="{FF2B5EF4-FFF2-40B4-BE49-F238E27FC236}">
              <a16:creationId xmlns:a16="http://schemas.microsoft.com/office/drawing/2014/main" id="{ADF0E51F-D602-4173-ABDC-59A25D9BAAD7}"/>
            </a:ext>
          </a:extLst>
        </xdr:cNvPr>
        <xdr:cNvCxnSpPr/>
      </xdr:nvCxnSpPr>
      <xdr:spPr>
        <a:xfrm>
          <a:off x="4191000" y="17335500"/>
          <a:ext cx="1143000" cy="0"/>
        </a:xfrm>
        <a:prstGeom prst="straightConnector1">
          <a:avLst/>
        </a:prstGeom>
        <a:ln w="19050" cap="flat">
          <a:solidFill>
            <a:srgbClr val="315C92"/>
          </a:solidFill>
          <a:round/>
          <a:tailEnd type="triangle" w="med" len="med"/>
        </a:ln>
      </xdr:spPr>
    </xdr:cxnSp>
    <xdr:clientData/>
  </xdr:twoCellAnchor>
  <xdr:twoCellAnchor editAs="oneCell">
    <xdr:from>
      <xdr:col>33</xdr:col>
      <xdr:colOff>0</xdr:colOff>
      <xdr:row>91</xdr:row>
      <xdr:rowOff>0</xdr:rowOff>
    </xdr:from>
    <xdr:to>
      <xdr:col>39</xdr:col>
      <xdr:colOff>0</xdr:colOff>
      <xdr:row>91</xdr:row>
      <xdr:rowOff>0</xdr:rowOff>
    </xdr:to>
    <xdr:cxnSp macro="">
      <xdr:nvCxnSpPr>
        <xdr:cNvPr id="416" name="線: オンライン連携・直線（ルートB）">
          <a:extLst>
            <a:ext uri="{FF2B5EF4-FFF2-40B4-BE49-F238E27FC236}">
              <a16:creationId xmlns:a16="http://schemas.microsoft.com/office/drawing/2014/main" id="{F271D80C-37D8-472B-B1AD-4CCF125B2D40}"/>
            </a:ext>
          </a:extLst>
        </xdr:cNvPr>
        <xdr:cNvCxnSpPr/>
      </xdr:nvCxnSpPr>
      <xdr:spPr>
        <a:xfrm>
          <a:off x="6286500" y="17335500"/>
          <a:ext cx="1143000" cy="0"/>
        </a:xfrm>
        <a:prstGeom prst="straightConnector1">
          <a:avLst/>
        </a:prstGeom>
        <a:ln w="19050" cap="flat">
          <a:solidFill>
            <a:srgbClr val="247966"/>
          </a:solidFill>
          <a:round/>
          <a:tailEnd type="triangle" w="med" len="med"/>
        </a:ln>
      </xdr:spPr>
    </xdr:cxnSp>
    <xdr:clientData/>
  </xdr:twoCellAnchor>
  <xdr:twoCellAnchor editAs="oneCell">
    <xdr:from>
      <xdr:col>44</xdr:col>
      <xdr:colOff>0</xdr:colOff>
      <xdr:row>91</xdr:row>
      <xdr:rowOff>0</xdr:rowOff>
    </xdr:from>
    <xdr:to>
      <xdr:col>50</xdr:col>
      <xdr:colOff>0</xdr:colOff>
      <xdr:row>91</xdr:row>
      <xdr:rowOff>0</xdr:rowOff>
    </xdr:to>
    <xdr:cxnSp macro="">
      <xdr:nvCxnSpPr>
        <xdr:cNvPr id="417" name="線: オンライン連携・直線（ルートC）">
          <a:extLst>
            <a:ext uri="{FF2B5EF4-FFF2-40B4-BE49-F238E27FC236}">
              <a16:creationId xmlns:a16="http://schemas.microsoft.com/office/drawing/2014/main" id="{B929EBD7-FE37-4C36-BB3D-65F385A636C8}"/>
            </a:ext>
          </a:extLst>
        </xdr:cNvPr>
        <xdr:cNvCxnSpPr/>
      </xdr:nvCxnSpPr>
      <xdr:spPr>
        <a:xfrm>
          <a:off x="8382000" y="17335500"/>
          <a:ext cx="1143000" cy="0"/>
        </a:xfrm>
        <a:prstGeom prst="straightConnector1">
          <a:avLst/>
        </a:prstGeom>
        <a:ln w="19050" cap="flat">
          <a:solidFill>
            <a:srgbClr val="C46B39"/>
          </a:solidFill>
          <a:round/>
          <a:tailEnd type="triangle" w="med" len="med"/>
        </a:ln>
      </xdr:spPr>
    </xdr:cxnSp>
    <xdr:clientData/>
  </xdr:twoCellAnchor>
  <xdr:twoCellAnchor editAs="oneCell">
    <xdr:from>
      <xdr:col>55</xdr:col>
      <xdr:colOff>0</xdr:colOff>
      <xdr:row>91</xdr:row>
      <xdr:rowOff>0</xdr:rowOff>
    </xdr:from>
    <xdr:to>
      <xdr:col>61</xdr:col>
      <xdr:colOff>0</xdr:colOff>
      <xdr:row>91</xdr:row>
      <xdr:rowOff>0</xdr:rowOff>
    </xdr:to>
    <xdr:cxnSp macro="">
      <xdr:nvCxnSpPr>
        <xdr:cNvPr id="418" name="線: オンライン連携・直線（ルートD）">
          <a:extLst>
            <a:ext uri="{FF2B5EF4-FFF2-40B4-BE49-F238E27FC236}">
              <a16:creationId xmlns:a16="http://schemas.microsoft.com/office/drawing/2014/main" id="{CD59795B-A9D7-46CD-825A-A25EF8758554}"/>
            </a:ext>
          </a:extLst>
        </xdr:cNvPr>
        <xdr:cNvCxnSpPr/>
      </xdr:nvCxnSpPr>
      <xdr:spPr>
        <a:xfrm>
          <a:off x="10477500" y="17335500"/>
          <a:ext cx="1143000" cy="0"/>
        </a:xfrm>
        <a:prstGeom prst="straightConnector1">
          <a:avLst/>
        </a:prstGeom>
        <a:ln w="19050" cap="flat">
          <a:solidFill>
            <a:srgbClr val="876BA6"/>
          </a:solidFill>
          <a:round/>
          <a:tailEnd type="triangle" w="med" len="med"/>
        </a:ln>
      </xdr:spPr>
    </xdr:cxnSp>
    <xdr:clientData/>
  </xdr:twoCellAnchor>
  <xdr:twoCellAnchor editAs="oneCell">
    <xdr:from>
      <xdr:col>66</xdr:col>
      <xdr:colOff>0</xdr:colOff>
      <xdr:row>91</xdr:row>
      <xdr:rowOff>0</xdr:rowOff>
    </xdr:from>
    <xdr:to>
      <xdr:col>72</xdr:col>
      <xdr:colOff>0</xdr:colOff>
      <xdr:row>91</xdr:row>
      <xdr:rowOff>0</xdr:rowOff>
    </xdr:to>
    <xdr:cxnSp macro="">
      <xdr:nvCxnSpPr>
        <xdr:cNvPr id="419" name="線: オンライン連携・直線（ルートE）">
          <a:extLst>
            <a:ext uri="{FF2B5EF4-FFF2-40B4-BE49-F238E27FC236}">
              <a16:creationId xmlns:a16="http://schemas.microsoft.com/office/drawing/2014/main" id="{19B2281C-10C4-4293-9994-4A6028F82CB8}"/>
            </a:ext>
          </a:extLst>
        </xdr:cNvPr>
        <xdr:cNvCxnSpPr/>
      </xdr:nvCxnSpPr>
      <xdr:spPr>
        <a:xfrm>
          <a:off x="12573000" y="17335500"/>
          <a:ext cx="1143000" cy="0"/>
        </a:xfrm>
        <a:prstGeom prst="straightConnector1">
          <a:avLst/>
        </a:prstGeom>
        <a:ln w="19050" cap="flat">
          <a:solidFill>
            <a:srgbClr val="B04B68"/>
          </a:solidFill>
          <a:round/>
          <a:tailEnd type="triangle" w="med" len="med"/>
        </a:ln>
      </xdr:spPr>
    </xdr:cxnSp>
    <xdr:clientData/>
  </xdr:twoCellAnchor>
  <xdr:twoCellAnchor editAs="oneCell">
    <xdr:from>
      <xdr:col>77</xdr:col>
      <xdr:colOff>0</xdr:colOff>
      <xdr:row>91</xdr:row>
      <xdr:rowOff>0</xdr:rowOff>
    </xdr:from>
    <xdr:to>
      <xdr:col>83</xdr:col>
      <xdr:colOff>0</xdr:colOff>
      <xdr:row>91</xdr:row>
      <xdr:rowOff>0</xdr:rowOff>
    </xdr:to>
    <xdr:cxnSp macro="">
      <xdr:nvCxnSpPr>
        <xdr:cNvPr id="420" name="線: オンライン連携・直線（ルートF）">
          <a:extLst>
            <a:ext uri="{FF2B5EF4-FFF2-40B4-BE49-F238E27FC236}">
              <a16:creationId xmlns:a16="http://schemas.microsoft.com/office/drawing/2014/main" id="{0554B9D2-385A-4474-B92E-1199F24B724A}"/>
            </a:ext>
          </a:extLst>
        </xdr:cNvPr>
        <xdr:cNvCxnSpPr/>
      </xdr:nvCxnSpPr>
      <xdr:spPr>
        <a:xfrm>
          <a:off x="14668500" y="17335500"/>
          <a:ext cx="1143000" cy="0"/>
        </a:xfrm>
        <a:prstGeom prst="straightConnector1">
          <a:avLst/>
        </a:prstGeom>
        <a:ln w="19050" cap="flat">
          <a:solidFill>
            <a:srgbClr val="6B651D"/>
          </a:solidFill>
          <a:round/>
          <a:tailEnd type="triangle" w="med" len="med"/>
        </a:ln>
      </xdr:spPr>
    </xdr:cxnSp>
    <xdr:clientData/>
  </xdr:twoCellAnchor>
  <xdr:twoCellAnchor editAs="oneCell">
    <xdr:from>
      <xdr:col>18</xdr:col>
      <xdr:colOff>0</xdr:colOff>
      <xdr:row>90</xdr:row>
      <xdr:rowOff>0</xdr:rowOff>
    </xdr:from>
    <xdr:to>
      <xdr:col>21</xdr:col>
      <xdr:colOff>0</xdr:colOff>
      <xdr:row>92</xdr:row>
      <xdr:rowOff>0</xdr:rowOff>
    </xdr:to>
    <xdr:cxnSp macro="">
      <xdr:nvCxnSpPr>
        <xdr:cNvPr id="421" name="線: オンライン連携・カギ線（共通）">
          <a:extLst>
            <a:ext uri="{FF2B5EF4-FFF2-40B4-BE49-F238E27FC236}">
              <a16:creationId xmlns:a16="http://schemas.microsoft.com/office/drawing/2014/main" id="{3DABCF40-0A1F-46DE-AE20-ACFEC963A217}"/>
            </a:ext>
          </a:extLst>
        </xdr:cNvPr>
        <xdr:cNvCxnSpPr/>
      </xdr:nvCxnSpPr>
      <xdr:spPr>
        <a:xfrm>
          <a:off x="3429000" y="17145000"/>
          <a:ext cx="571500" cy="381000"/>
        </a:xfrm>
        <a:prstGeom prst="bentConnector3">
          <a:avLst/>
        </a:prstGeom>
        <a:ln w="19050" cap="flat">
          <a:solidFill>
            <a:srgbClr val="404040"/>
          </a:solidFill>
          <a:round/>
          <a:tailEnd type="triangle" w="med" len="med"/>
        </a:ln>
      </xdr:spPr>
    </xdr:cxnSp>
    <xdr:clientData/>
  </xdr:twoCellAnchor>
  <xdr:twoCellAnchor editAs="oneCell">
    <xdr:from>
      <xdr:col>29</xdr:col>
      <xdr:colOff>0</xdr:colOff>
      <xdr:row>90</xdr:row>
      <xdr:rowOff>0</xdr:rowOff>
    </xdr:from>
    <xdr:to>
      <xdr:col>32</xdr:col>
      <xdr:colOff>0</xdr:colOff>
      <xdr:row>92</xdr:row>
      <xdr:rowOff>0</xdr:rowOff>
    </xdr:to>
    <xdr:cxnSp macro="">
      <xdr:nvCxnSpPr>
        <xdr:cNvPr id="422" name="線: オンライン連携・カギ線（ルートA）">
          <a:extLst>
            <a:ext uri="{FF2B5EF4-FFF2-40B4-BE49-F238E27FC236}">
              <a16:creationId xmlns:a16="http://schemas.microsoft.com/office/drawing/2014/main" id="{AE3FC466-CEDE-4CE2-BA0D-67EC12B8D357}"/>
            </a:ext>
          </a:extLst>
        </xdr:cNvPr>
        <xdr:cNvCxnSpPr/>
      </xdr:nvCxnSpPr>
      <xdr:spPr>
        <a:xfrm>
          <a:off x="5524500" y="17145000"/>
          <a:ext cx="571500" cy="381000"/>
        </a:xfrm>
        <a:prstGeom prst="bentConnector3">
          <a:avLst/>
        </a:prstGeom>
        <a:ln w="19050" cap="flat">
          <a:solidFill>
            <a:srgbClr val="315C92"/>
          </a:solidFill>
          <a:round/>
          <a:tailEnd type="triangle" w="med" len="med"/>
        </a:ln>
      </xdr:spPr>
    </xdr:cxnSp>
    <xdr:clientData/>
  </xdr:twoCellAnchor>
  <xdr:twoCellAnchor editAs="oneCell">
    <xdr:from>
      <xdr:col>40</xdr:col>
      <xdr:colOff>0</xdr:colOff>
      <xdr:row>90</xdr:row>
      <xdr:rowOff>0</xdr:rowOff>
    </xdr:from>
    <xdr:to>
      <xdr:col>43</xdr:col>
      <xdr:colOff>0</xdr:colOff>
      <xdr:row>92</xdr:row>
      <xdr:rowOff>0</xdr:rowOff>
    </xdr:to>
    <xdr:cxnSp macro="">
      <xdr:nvCxnSpPr>
        <xdr:cNvPr id="423" name="線: オンライン連携・カギ線（ルートB）">
          <a:extLst>
            <a:ext uri="{FF2B5EF4-FFF2-40B4-BE49-F238E27FC236}">
              <a16:creationId xmlns:a16="http://schemas.microsoft.com/office/drawing/2014/main" id="{ADA93C5E-3FF0-418D-9B77-84FF4887D892}"/>
            </a:ext>
          </a:extLst>
        </xdr:cNvPr>
        <xdr:cNvCxnSpPr/>
      </xdr:nvCxnSpPr>
      <xdr:spPr>
        <a:xfrm>
          <a:off x="7620000" y="17145000"/>
          <a:ext cx="571500" cy="381000"/>
        </a:xfrm>
        <a:prstGeom prst="bentConnector3">
          <a:avLst/>
        </a:prstGeom>
        <a:ln w="19050" cap="flat">
          <a:solidFill>
            <a:srgbClr val="247966"/>
          </a:solidFill>
          <a:round/>
          <a:tailEnd type="triangle" w="med" len="med"/>
        </a:ln>
      </xdr:spPr>
    </xdr:cxnSp>
    <xdr:clientData/>
  </xdr:twoCellAnchor>
  <xdr:twoCellAnchor editAs="oneCell">
    <xdr:from>
      <xdr:col>51</xdr:col>
      <xdr:colOff>0</xdr:colOff>
      <xdr:row>90</xdr:row>
      <xdr:rowOff>0</xdr:rowOff>
    </xdr:from>
    <xdr:to>
      <xdr:col>54</xdr:col>
      <xdr:colOff>0</xdr:colOff>
      <xdr:row>92</xdr:row>
      <xdr:rowOff>0</xdr:rowOff>
    </xdr:to>
    <xdr:cxnSp macro="">
      <xdr:nvCxnSpPr>
        <xdr:cNvPr id="424" name="線: オンライン連携・カギ線（ルートC）">
          <a:extLst>
            <a:ext uri="{FF2B5EF4-FFF2-40B4-BE49-F238E27FC236}">
              <a16:creationId xmlns:a16="http://schemas.microsoft.com/office/drawing/2014/main" id="{A9D9D5BC-31B6-43B6-8E7E-C78B8163C2A7}"/>
            </a:ext>
          </a:extLst>
        </xdr:cNvPr>
        <xdr:cNvCxnSpPr/>
      </xdr:nvCxnSpPr>
      <xdr:spPr>
        <a:xfrm>
          <a:off x="9715500" y="17145000"/>
          <a:ext cx="571500" cy="381000"/>
        </a:xfrm>
        <a:prstGeom prst="bentConnector3">
          <a:avLst/>
        </a:prstGeom>
        <a:ln w="19050" cap="flat">
          <a:solidFill>
            <a:srgbClr val="C46B39"/>
          </a:solidFill>
          <a:round/>
          <a:tailEnd type="triangle" w="med" len="med"/>
        </a:ln>
      </xdr:spPr>
    </xdr:cxnSp>
    <xdr:clientData/>
  </xdr:twoCellAnchor>
  <xdr:twoCellAnchor editAs="oneCell">
    <xdr:from>
      <xdr:col>62</xdr:col>
      <xdr:colOff>0</xdr:colOff>
      <xdr:row>90</xdr:row>
      <xdr:rowOff>0</xdr:rowOff>
    </xdr:from>
    <xdr:to>
      <xdr:col>65</xdr:col>
      <xdr:colOff>0</xdr:colOff>
      <xdr:row>92</xdr:row>
      <xdr:rowOff>0</xdr:rowOff>
    </xdr:to>
    <xdr:cxnSp macro="">
      <xdr:nvCxnSpPr>
        <xdr:cNvPr id="425" name="線: オンライン連携・カギ線（ルートD）">
          <a:extLst>
            <a:ext uri="{FF2B5EF4-FFF2-40B4-BE49-F238E27FC236}">
              <a16:creationId xmlns:a16="http://schemas.microsoft.com/office/drawing/2014/main" id="{42D5EAD8-E634-49B6-8442-D0EF8DF89F75}"/>
            </a:ext>
          </a:extLst>
        </xdr:cNvPr>
        <xdr:cNvCxnSpPr/>
      </xdr:nvCxnSpPr>
      <xdr:spPr>
        <a:xfrm>
          <a:off x="11811000" y="17145000"/>
          <a:ext cx="571500" cy="381000"/>
        </a:xfrm>
        <a:prstGeom prst="bentConnector3">
          <a:avLst/>
        </a:prstGeom>
        <a:ln w="19050" cap="flat">
          <a:solidFill>
            <a:srgbClr val="876BA6"/>
          </a:solidFill>
          <a:round/>
          <a:tailEnd type="triangle" w="med" len="med"/>
        </a:ln>
      </xdr:spPr>
    </xdr:cxnSp>
    <xdr:clientData/>
  </xdr:twoCellAnchor>
  <xdr:twoCellAnchor editAs="oneCell">
    <xdr:from>
      <xdr:col>73</xdr:col>
      <xdr:colOff>0</xdr:colOff>
      <xdr:row>90</xdr:row>
      <xdr:rowOff>0</xdr:rowOff>
    </xdr:from>
    <xdr:to>
      <xdr:col>76</xdr:col>
      <xdr:colOff>0</xdr:colOff>
      <xdr:row>92</xdr:row>
      <xdr:rowOff>0</xdr:rowOff>
    </xdr:to>
    <xdr:cxnSp macro="">
      <xdr:nvCxnSpPr>
        <xdr:cNvPr id="426" name="線: オンライン連携・カギ線（ルートE）">
          <a:extLst>
            <a:ext uri="{FF2B5EF4-FFF2-40B4-BE49-F238E27FC236}">
              <a16:creationId xmlns:a16="http://schemas.microsoft.com/office/drawing/2014/main" id="{C4FB92DB-55B2-42DA-AA2D-F66FB185B039}"/>
            </a:ext>
          </a:extLst>
        </xdr:cNvPr>
        <xdr:cNvCxnSpPr/>
      </xdr:nvCxnSpPr>
      <xdr:spPr>
        <a:xfrm>
          <a:off x="13906500" y="17145000"/>
          <a:ext cx="571500" cy="381000"/>
        </a:xfrm>
        <a:prstGeom prst="bentConnector3">
          <a:avLst/>
        </a:prstGeom>
        <a:ln w="19050" cap="flat">
          <a:solidFill>
            <a:srgbClr val="B04B68"/>
          </a:solidFill>
          <a:round/>
          <a:tailEnd type="triangle" w="med" len="med"/>
        </a:ln>
      </xdr:spPr>
    </xdr:cxnSp>
    <xdr:clientData/>
  </xdr:twoCellAnchor>
  <xdr:twoCellAnchor editAs="oneCell">
    <xdr:from>
      <xdr:col>84</xdr:col>
      <xdr:colOff>0</xdr:colOff>
      <xdr:row>90</xdr:row>
      <xdr:rowOff>0</xdr:rowOff>
    </xdr:from>
    <xdr:to>
      <xdr:col>87</xdr:col>
      <xdr:colOff>0</xdr:colOff>
      <xdr:row>92</xdr:row>
      <xdr:rowOff>0</xdr:rowOff>
    </xdr:to>
    <xdr:cxnSp macro="">
      <xdr:nvCxnSpPr>
        <xdr:cNvPr id="427" name="線: オンライン連携・カギ線（ルートF）">
          <a:extLst>
            <a:ext uri="{FF2B5EF4-FFF2-40B4-BE49-F238E27FC236}">
              <a16:creationId xmlns:a16="http://schemas.microsoft.com/office/drawing/2014/main" id="{CF5886DB-BCC1-4BB3-A8FF-C6D06D3A9861}"/>
            </a:ext>
          </a:extLst>
        </xdr:cNvPr>
        <xdr:cNvCxnSpPr/>
      </xdr:nvCxnSpPr>
      <xdr:spPr>
        <a:xfrm>
          <a:off x="16002000" y="17145000"/>
          <a:ext cx="571500" cy="381000"/>
        </a:xfrm>
        <a:prstGeom prst="bentConnector3">
          <a:avLst/>
        </a:prstGeom>
        <a:ln w="19050" cap="flat">
          <a:solidFill>
            <a:srgbClr val="6B651D"/>
          </a:solidFill>
          <a:round/>
          <a:tailEnd type="triangle" w="med" len="med"/>
        </a:ln>
      </xdr:spPr>
    </xdr:cxnSp>
    <xdr:clientData/>
  </xdr:twoCellAnchor>
  <xdr:twoCellAnchor editAs="oneCell">
    <xdr:from>
      <xdr:col>11</xdr:col>
      <xdr:colOff>0</xdr:colOff>
      <xdr:row>94</xdr:row>
      <xdr:rowOff>0</xdr:rowOff>
    </xdr:from>
    <xdr:to>
      <xdr:col>17</xdr:col>
      <xdr:colOff>0</xdr:colOff>
      <xdr:row>94</xdr:row>
      <xdr:rowOff>0</xdr:rowOff>
    </xdr:to>
    <xdr:cxnSp macro="">
      <xdr:nvCxnSpPr>
        <xdr:cNvPr id="428" name="線: 双方向・直線（共通）">
          <a:extLst>
            <a:ext uri="{FF2B5EF4-FFF2-40B4-BE49-F238E27FC236}">
              <a16:creationId xmlns:a16="http://schemas.microsoft.com/office/drawing/2014/main" id="{EF4E700A-50E6-4915-A417-F65D3C64A96A}"/>
            </a:ext>
          </a:extLst>
        </xdr:cNvPr>
        <xdr:cNvCxnSpPr/>
      </xdr:nvCxnSpPr>
      <xdr:spPr>
        <a:xfrm>
          <a:off x="2095500" y="17907000"/>
          <a:ext cx="1143000" cy="0"/>
        </a:xfrm>
        <a:prstGeom prst="straightConnector1">
          <a:avLst/>
        </a:prstGeom>
        <a:ln w="19050" cap="flat">
          <a:solidFill>
            <a:srgbClr val="404040"/>
          </a:solidFill>
          <a:round/>
          <a:headEnd type="triangle" w="med" len="med"/>
          <a:tailEnd type="triangle" w="med" len="med"/>
        </a:ln>
      </xdr:spPr>
    </xdr:cxnSp>
    <xdr:clientData/>
  </xdr:twoCellAnchor>
  <xdr:twoCellAnchor editAs="oneCell">
    <xdr:from>
      <xdr:col>22</xdr:col>
      <xdr:colOff>0</xdr:colOff>
      <xdr:row>94</xdr:row>
      <xdr:rowOff>0</xdr:rowOff>
    </xdr:from>
    <xdr:to>
      <xdr:col>28</xdr:col>
      <xdr:colOff>0</xdr:colOff>
      <xdr:row>94</xdr:row>
      <xdr:rowOff>0</xdr:rowOff>
    </xdr:to>
    <xdr:cxnSp macro="">
      <xdr:nvCxnSpPr>
        <xdr:cNvPr id="429" name="線: 双方向・直線（ルートA）">
          <a:extLst>
            <a:ext uri="{FF2B5EF4-FFF2-40B4-BE49-F238E27FC236}">
              <a16:creationId xmlns:a16="http://schemas.microsoft.com/office/drawing/2014/main" id="{C45B9D91-26EF-4052-933E-CFD016A852EF}"/>
            </a:ext>
          </a:extLst>
        </xdr:cNvPr>
        <xdr:cNvCxnSpPr/>
      </xdr:nvCxnSpPr>
      <xdr:spPr>
        <a:xfrm>
          <a:off x="4191000" y="17907000"/>
          <a:ext cx="1143000" cy="0"/>
        </a:xfrm>
        <a:prstGeom prst="straightConnector1">
          <a:avLst/>
        </a:prstGeom>
        <a:ln w="19050" cap="flat">
          <a:solidFill>
            <a:srgbClr val="315C92"/>
          </a:solidFill>
          <a:round/>
          <a:headEnd type="triangle" w="med" len="med"/>
          <a:tailEnd type="triangle" w="med" len="med"/>
        </a:ln>
      </xdr:spPr>
    </xdr:cxnSp>
    <xdr:clientData/>
  </xdr:twoCellAnchor>
  <xdr:twoCellAnchor editAs="oneCell">
    <xdr:from>
      <xdr:col>33</xdr:col>
      <xdr:colOff>0</xdr:colOff>
      <xdr:row>94</xdr:row>
      <xdr:rowOff>0</xdr:rowOff>
    </xdr:from>
    <xdr:to>
      <xdr:col>39</xdr:col>
      <xdr:colOff>0</xdr:colOff>
      <xdr:row>94</xdr:row>
      <xdr:rowOff>0</xdr:rowOff>
    </xdr:to>
    <xdr:cxnSp macro="">
      <xdr:nvCxnSpPr>
        <xdr:cNvPr id="430" name="線: 双方向・直線（ルートB）">
          <a:extLst>
            <a:ext uri="{FF2B5EF4-FFF2-40B4-BE49-F238E27FC236}">
              <a16:creationId xmlns:a16="http://schemas.microsoft.com/office/drawing/2014/main" id="{C56AE026-3CEF-4BD4-A232-72AFB2B5F1FF}"/>
            </a:ext>
          </a:extLst>
        </xdr:cNvPr>
        <xdr:cNvCxnSpPr/>
      </xdr:nvCxnSpPr>
      <xdr:spPr>
        <a:xfrm>
          <a:off x="6286500" y="17907000"/>
          <a:ext cx="1143000" cy="0"/>
        </a:xfrm>
        <a:prstGeom prst="straightConnector1">
          <a:avLst/>
        </a:prstGeom>
        <a:ln w="19050" cap="flat">
          <a:solidFill>
            <a:srgbClr val="247966"/>
          </a:solidFill>
          <a:round/>
          <a:headEnd type="triangle" w="med" len="med"/>
          <a:tailEnd type="triangle" w="med" len="med"/>
        </a:ln>
      </xdr:spPr>
    </xdr:cxnSp>
    <xdr:clientData/>
  </xdr:twoCellAnchor>
  <xdr:twoCellAnchor editAs="oneCell">
    <xdr:from>
      <xdr:col>44</xdr:col>
      <xdr:colOff>0</xdr:colOff>
      <xdr:row>94</xdr:row>
      <xdr:rowOff>0</xdr:rowOff>
    </xdr:from>
    <xdr:to>
      <xdr:col>50</xdr:col>
      <xdr:colOff>0</xdr:colOff>
      <xdr:row>94</xdr:row>
      <xdr:rowOff>0</xdr:rowOff>
    </xdr:to>
    <xdr:cxnSp macro="">
      <xdr:nvCxnSpPr>
        <xdr:cNvPr id="431" name="線: 双方向・直線（ルートC）">
          <a:extLst>
            <a:ext uri="{FF2B5EF4-FFF2-40B4-BE49-F238E27FC236}">
              <a16:creationId xmlns:a16="http://schemas.microsoft.com/office/drawing/2014/main" id="{68CE734A-19EB-4800-82A7-5FF6C097F61D}"/>
            </a:ext>
          </a:extLst>
        </xdr:cNvPr>
        <xdr:cNvCxnSpPr/>
      </xdr:nvCxnSpPr>
      <xdr:spPr>
        <a:xfrm>
          <a:off x="8382000" y="17907000"/>
          <a:ext cx="1143000" cy="0"/>
        </a:xfrm>
        <a:prstGeom prst="straightConnector1">
          <a:avLst/>
        </a:prstGeom>
        <a:ln w="19050" cap="flat">
          <a:solidFill>
            <a:srgbClr val="C46B39"/>
          </a:solidFill>
          <a:round/>
          <a:headEnd type="triangle" w="med" len="med"/>
          <a:tailEnd type="triangle" w="med" len="med"/>
        </a:ln>
      </xdr:spPr>
    </xdr:cxnSp>
    <xdr:clientData/>
  </xdr:twoCellAnchor>
  <xdr:twoCellAnchor editAs="oneCell">
    <xdr:from>
      <xdr:col>55</xdr:col>
      <xdr:colOff>0</xdr:colOff>
      <xdr:row>94</xdr:row>
      <xdr:rowOff>0</xdr:rowOff>
    </xdr:from>
    <xdr:to>
      <xdr:col>61</xdr:col>
      <xdr:colOff>0</xdr:colOff>
      <xdr:row>94</xdr:row>
      <xdr:rowOff>0</xdr:rowOff>
    </xdr:to>
    <xdr:cxnSp macro="">
      <xdr:nvCxnSpPr>
        <xdr:cNvPr id="432" name="線: 双方向・直線（ルートD）">
          <a:extLst>
            <a:ext uri="{FF2B5EF4-FFF2-40B4-BE49-F238E27FC236}">
              <a16:creationId xmlns:a16="http://schemas.microsoft.com/office/drawing/2014/main" id="{769F52F4-4E3E-43D6-B7D3-436E8AAA1BBB}"/>
            </a:ext>
          </a:extLst>
        </xdr:cNvPr>
        <xdr:cNvCxnSpPr/>
      </xdr:nvCxnSpPr>
      <xdr:spPr>
        <a:xfrm>
          <a:off x="10477500" y="17907000"/>
          <a:ext cx="1143000" cy="0"/>
        </a:xfrm>
        <a:prstGeom prst="straightConnector1">
          <a:avLst/>
        </a:prstGeom>
        <a:ln w="19050" cap="flat">
          <a:solidFill>
            <a:srgbClr val="876BA6"/>
          </a:solidFill>
          <a:round/>
          <a:headEnd type="triangle" w="med" len="med"/>
          <a:tailEnd type="triangle" w="med" len="med"/>
        </a:ln>
      </xdr:spPr>
    </xdr:cxnSp>
    <xdr:clientData/>
  </xdr:twoCellAnchor>
  <xdr:twoCellAnchor editAs="oneCell">
    <xdr:from>
      <xdr:col>66</xdr:col>
      <xdr:colOff>0</xdr:colOff>
      <xdr:row>94</xdr:row>
      <xdr:rowOff>0</xdr:rowOff>
    </xdr:from>
    <xdr:to>
      <xdr:col>72</xdr:col>
      <xdr:colOff>0</xdr:colOff>
      <xdr:row>94</xdr:row>
      <xdr:rowOff>0</xdr:rowOff>
    </xdr:to>
    <xdr:cxnSp macro="">
      <xdr:nvCxnSpPr>
        <xdr:cNvPr id="433" name="線: 双方向・直線（ルートE）">
          <a:extLst>
            <a:ext uri="{FF2B5EF4-FFF2-40B4-BE49-F238E27FC236}">
              <a16:creationId xmlns:a16="http://schemas.microsoft.com/office/drawing/2014/main" id="{A2380EB2-AE2E-4372-A9C3-5C2B15325061}"/>
            </a:ext>
          </a:extLst>
        </xdr:cNvPr>
        <xdr:cNvCxnSpPr/>
      </xdr:nvCxnSpPr>
      <xdr:spPr>
        <a:xfrm>
          <a:off x="12573000" y="17907000"/>
          <a:ext cx="1143000" cy="0"/>
        </a:xfrm>
        <a:prstGeom prst="straightConnector1">
          <a:avLst/>
        </a:prstGeom>
        <a:ln w="19050" cap="flat">
          <a:solidFill>
            <a:srgbClr val="B04B68"/>
          </a:solidFill>
          <a:round/>
          <a:headEnd type="triangle" w="med" len="med"/>
          <a:tailEnd type="triangle" w="med" len="med"/>
        </a:ln>
      </xdr:spPr>
    </xdr:cxnSp>
    <xdr:clientData/>
  </xdr:twoCellAnchor>
  <xdr:twoCellAnchor editAs="oneCell">
    <xdr:from>
      <xdr:col>77</xdr:col>
      <xdr:colOff>0</xdr:colOff>
      <xdr:row>94</xdr:row>
      <xdr:rowOff>0</xdr:rowOff>
    </xdr:from>
    <xdr:to>
      <xdr:col>83</xdr:col>
      <xdr:colOff>0</xdr:colOff>
      <xdr:row>94</xdr:row>
      <xdr:rowOff>0</xdr:rowOff>
    </xdr:to>
    <xdr:cxnSp macro="">
      <xdr:nvCxnSpPr>
        <xdr:cNvPr id="434" name="線: 双方向・直線（ルートF）">
          <a:extLst>
            <a:ext uri="{FF2B5EF4-FFF2-40B4-BE49-F238E27FC236}">
              <a16:creationId xmlns:a16="http://schemas.microsoft.com/office/drawing/2014/main" id="{7F1D6E05-B181-4903-9772-762E24F6C5A9}"/>
            </a:ext>
          </a:extLst>
        </xdr:cNvPr>
        <xdr:cNvCxnSpPr/>
      </xdr:nvCxnSpPr>
      <xdr:spPr>
        <a:xfrm>
          <a:off x="14668500" y="17907000"/>
          <a:ext cx="1143000" cy="0"/>
        </a:xfrm>
        <a:prstGeom prst="straightConnector1">
          <a:avLst/>
        </a:prstGeom>
        <a:ln w="19050" cap="flat">
          <a:solidFill>
            <a:srgbClr val="6B651D"/>
          </a:solidFill>
          <a:round/>
          <a:headEnd type="triangle" w="med" len="med"/>
          <a:tailEnd type="triangle" w="med" len="med"/>
        </a:ln>
      </xdr:spPr>
    </xdr:cxnSp>
    <xdr:clientData/>
  </xdr:twoCellAnchor>
  <xdr:twoCellAnchor editAs="oneCell">
    <xdr:from>
      <xdr:col>18</xdr:col>
      <xdr:colOff>0</xdr:colOff>
      <xdr:row>93</xdr:row>
      <xdr:rowOff>0</xdr:rowOff>
    </xdr:from>
    <xdr:to>
      <xdr:col>21</xdr:col>
      <xdr:colOff>0</xdr:colOff>
      <xdr:row>95</xdr:row>
      <xdr:rowOff>0</xdr:rowOff>
    </xdr:to>
    <xdr:cxnSp macro="">
      <xdr:nvCxnSpPr>
        <xdr:cNvPr id="435" name="線: 双方向・カギ線（共通）">
          <a:extLst>
            <a:ext uri="{FF2B5EF4-FFF2-40B4-BE49-F238E27FC236}">
              <a16:creationId xmlns:a16="http://schemas.microsoft.com/office/drawing/2014/main" id="{7D5DD116-0221-4644-9623-335181E04A69}"/>
            </a:ext>
          </a:extLst>
        </xdr:cNvPr>
        <xdr:cNvCxnSpPr/>
      </xdr:nvCxnSpPr>
      <xdr:spPr>
        <a:xfrm>
          <a:off x="3429000" y="17716500"/>
          <a:ext cx="571500" cy="381000"/>
        </a:xfrm>
        <a:prstGeom prst="bentConnector3">
          <a:avLst/>
        </a:prstGeom>
        <a:ln w="19050" cap="flat">
          <a:solidFill>
            <a:srgbClr val="404040"/>
          </a:solidFill>
          <a:round/>
          <a:headEnd type="triangle" w="med" len="med"/>
          <a:tailEnd type="triangle" w="med" len="med"/>
        </a:ln>
      </xdr:spPr>
    </xdr:cxnSp>
    <xdr:clientData/>
  </xdr:twoCellAnchor>
  <xdr:twoCellAnchor editAs="oneCell">
    <xdr:from>
      <xdr:col>29</xdr:col>
      <xdr:colOff>0</xdr:colOff>
      <xdr:row>93</xdr:row>
      <xdr:rowOff>0</xdr:rowOff>
    </xdr:from>
    <xdr:to>
      <xdr:col>32</xdr:col>
      <xdr:colOff>0</xdr:colOff>
      <xdr:row>95</xdr:row>
      <xdr:rowOff>0</xdr:rowOff>
    </xdr:to>
    <xdr:cxnSp macro="">
      <xdr:nvCxnSpPr>
        <xdr:cNvPr id="436" name="線: 双方向・カギ線（ルートA）">
          <a:extLst>
            <a:ext uri="{FF2B5EF4-FFF2-40B4-BE49-F238E27FC236}">
              <a16:creationId xmlns:a16="http://schemas.microsoft.com/office/drawing/2014/main" id="{32573F06-C9BD-41E6-B42B-CF384D865C6B}"/>
            </a:ext>
          </a:extLst>
        </xdr:cNvPr>
        <xdr:cNvCxnSpPr/>
      </xdr:nvCxnSpPr>
      <xdr:spPr>
        <a:xfrm>
          <a:off x="5524500" y="17716500"/>
          <a:ext cx="571500" cy="381000"/>
        </a:xfrm>
        <a:prstGeom prst="bentConnector3">
          <a:avLst/>
        </a:prstGeom>
        <a:ln w="19050" cap="flat">
          <a:solidFill>
            <a:srgbClr val="315C92"/>
          </a:solidFill>
          <a:round/>
          <a:headEnd type="triangle" w="med" len="med"/>
          <a:tailEnd type="triangle" w="med" len="med"/>
        </a:ln>
      </xdr:spPr>
    </xdr:cxnSp>
    <xdr:clientData/>
  </xdr:twoCellAnchor>
  <xdr:twoCellAnchor editAs="oneCell">
    <xdr:from>
      <xdr:col>40</xdr:col>
      <xdr:colOff>0</xdr:colOff>
      <xdr:row>93</xdr:row>
      <xdr:rowOff>0</xdr:rowOff>
    </xdr:from>
    <xdr:to>
      <xdr:col>43</xdr:col>
      <xdr:colOff>0</xdr:colOff>
      <xdr:row>95</xdr:row>
      <xdr:rowOff>0</xdr:rowOff>
    </xdr:to>
    <xdr:cxnSp macro="">
      <xdr:nvCxnSpPr>
        <xdr:cNvPr id="437" name="線: 双方向・カギ線（ルートB）">
          <a:extLst>
            <a:ext uri="{FF2B5EF4-FFF2-40B4-BE49-F238E27FC236}">
              <a16:creationId xmlns:a16="http://schemas.microsoft.com/office/drawing/2014/main" id="{36A56004-2B9B-4CF8-869A-576F3F657D0F}"/>
            </a:ext>
          </a:extLst>
        </xdr:cNvPr>
        <xdr:cNvCxnSpPr/>
      </xdr:nvCxnSpPr>
      <xdr:spPr>
        <a:xfrm>
          <a:off x="7620000" y="17716500"/>
          <a:ext cx="571500" cy="381000"/>
        </a:xfrm>
        <a:prstGeom prst="bentConnector3">
          <a:avLst/>
        </a:prstGeom>
        <a:ln w="19050" cap="flat">
          <a:solidFill>
            <a:srgbClr val="247966"/>
          </a:solidFill>
          <a:round/>
          <a:headEnd type="triangle" w="med" len="med"/>
          <a:tailEnd type="triangle" w="med" len="med"/>
        </a:ln>
      </xdr:spPr>
    </xdr:cxnSp>
    <xdr:clientData/>
  </xdr:twoCellAnchor>
  <xdr:twoCellAnchor editAs="oneCell">
    <xdr:from>
      <xdr:col>51</xdr:col>
      <xdr:colOff>0</xdr:colOff>
      <xdr:row>93</xdr:row>
      <xdr:rowOff>0</xdr:rowOff>
    </xdr:from>
    <xdr:to>
      <xdr:col>54</xdr:col>
      <xdr:colOff>0</xdr:colOff>
      <xdr:row>95</xdr:row>
      <xdr:rowOff>0</xdr:rowOff>
    </xdr:to>
    <xdr:cxnSp macro="">
      <xdr:nvCxnSpPr>
        <xdr:cNvPr id="438" name="線: 双方向・カギ線（ルートC）">
          <a:extLst>
            <a:ext uri="{FF2B5EF4-FFF2-40B4-BE49-F238E27FC236}">
              <a16:creationId xmlns:a16="http://schemas.microsoft.com/office/drawing/2014/main" id="{32431478-44FA-4D9F-B8FA-A9786367328E}"/>
            </a:ext>
          </a:extLst>
        </xdr:cNvPr>
        <xdr:cNvCxnSpPr/>
      </xdr:nvCxnSpPr>
      <xdr:spPr>
        <a:xfrm>
          <a:off x="9715500" y="17716500"/>
          <a:ext cx="571500" cy="381000"/>
        </a:xfrm>
        <a:prstGeom prst="bentConnector3">
          <a:avLst/>
        </a:prstGeom>
        <a:ln w="19050" cap="flat">
          <a:solidFill>
            <a:srgbClr val="C46B39"/>
          </a:solidFill>
          <a:round/>
          <a:headEnd type="triangle" w="med" len="med"/>
          <a:tailEnd type="triangle" w="med" len="med"/>
        </a:ln>
      </xdr:spPr>
    </xdr:cxnSp>
    <xdr:clientData/>
  </xdr:twoCellAnchor>
  <xdr:twoCellAnchor editAs="oneCell">
    <xdr:from>
      <xdr:col>62</xdr:col>
      <xdr:colOff>0</xdr:colOff>
      <xdr:row>93</xdr:row>
      <xdr:rowOff>0</xdr:rowOff>
    </xdr:from>
    <xdr:to>
      <xdr:col>65</xdr:col>
      <xdr:colOff>0</xdr:colOff>
      <xdr:row>95</xdr:row>
      <xdr:rowOff>0</xdr:rowOff>
    </xdr:to>
    <xdr:cxnSp macro="">
      <xdr:nvCxnSpPr>
        <xdr:cNvPr id="439" name="線: 双方向・カギ線（ルートD）">
          <a:extLst>
            <a:ext uri="{FF2B5EF4-FFF2-40B4-BE49-F238E27FC236}">
              <a16:creationId xmlns:a16="http://schemas.microsoft.com/office/drawing/2014/main" id="{949BF497-979D-4D39-B8ED-ABBF37FA62D6}"/>
            </a:ext>
          </a:extLst>
        </xdr:cNvPr>
        <xdr:cNvCxnSpPr/>
      </xdr:nvCxnSpPr>
      <xdr:spPr>
        <a:xfrm>
          <a:off x="11811000" y="17716500"/>
          <a:ext cx="571500" cy="381000"/>
        </a:xfrm>
        <a:prstGeom prst="bentConnector3">
          <a:avLst/>
        </a:prstGeom>
        <a:ln w="19050" cap="flat">
          <a:solidFill>
            <a:srgbClr val="876BA6"/>
          </a:solidFill>
          <a:round/>
          <a:headEnd type="triangle" w="med" len="med"/>
          <a:tailEnd type="triangle" w="med" len="med"/>
        </a:ln>
      </xdr:spPr>
    </xdr:cxnSp>
    <xdr:clientData/>
  </xdr:twoCellAnchor>
  <xdr:twoCellAnchor editAs="oneCell">
    <xdr:from>
      <xdr:col>73</xdr:col>
      <xdr:colOff>0</xdr:colOff>
      <xdr:row>93</xdr:row>
      <xdr:rowOff>0</xdr:rowOff>
    </xdr:from>
    <xdr:to>
      <xdr:col>76</xdr:col>
      <xdr:colOff>0</xdr:colOff>
      <xdr:row>95</xdr:row>
      <xdr:rowOff>0</xdr:rowOff>
    </xdr:to>
    <xdr:cxnSp macro="">
      <xdr:nvCxnSpPr>
        <xdr:cNvPr id="440" name="線: 双方向・カギ線（ルートE）">
          <a:extLst>
            <a:ext uri="{FF2B5EF4-FFF2-40B4-BE49-F238E27FC236}">
              <a16:creationId xmlns:a16="http://schemas.microsoft.com/office/drawing/2014/main" id="{D3987FA7-3BAA-4207-A276-4611FFB363AF}"/>
            </a:ext>
          </a:extLst>
        </xdr:cNvPr>
        <xdr:cNvCxnSpPr/>
      </xdr:nvCxnSpPr>
      <xdr:spPr>
        <a:xfrm>
          <a:off x="13906500" y="17716500"/>
          <a:ext cx="571500" cy="381000"/>
        </a:xfrm>
        <a:prstGeom prst="bentConnector3">
          <a:avLst/>
        </a:prstGeom>
        <a:ln w="19050" cap="flat">
          <a:solidFill>
            <a:srgbClr val="B04B68"/>
          </a:solidFill>
          <a:round/>
          <a:headEnd type="triangle" w="med" len="med"/>
          <a:tailEnd type="triangle" w="med" len="med"/>
        </a:ln>
      </xdr:spPr>
    </xdr:cxnSp>
    <xdr:clientData/>
  </xdr:twoCellAnchor>
  <xdr:twoCellAnchor editAs="oneCell">
    <xdr:from>
      <xdr:col>84</xdr:col>
      <xdr:colOff>0</xdr:colOff>
      <xdr:row>93</xdr:row>
      <xdr:rowOff>0</xdr:rowOff>
    </xdr:from>
    <xdr:to>
      <xdr:col>87</xdr:col>
      <xdr:colOff>0</xdr:colOff>
      <xdr:row>95</xdr:row>
      <xdr:rowOff>0</xdr:rowOff>
    </xdr:to>
    <xdr:cxnSp macro="">
      <xdr:nvCxnSpPr>
        <xdr:cNvPr id="441" name="線: 双方向・カギ線（ルートF）">
          <a:extLst>
            <a:ext uri="{FF2B5EF4-FFF2-40B4-BE49-F238E27FC236}">
              <a16:creationId xmlns:a16="http://schemas.microsoft.com/office/drawing/2014/main" id="{284294FC-039B-4994-9DE8-28E501C96674}"/>
            </a:ext>
          </a:extLst>
        </xdr:cNvPr>
        <xdr:cNvCxnSpPr/>
      </xdr:nvCxnSpPr>
      <xdr:spPr>
        <a:xfrm>
          <a:off x="16002000" y="17716500"/>
          <a:ext cx="571500" cy="381000"/>
        </a:xfrm>
        <a:prstGeom prst="bentConnector3">
          <a:avLst/>
        </a:prstGeom>
        <a:ln w="19050" cap="flat">
          <a:solidFill>
            <a:srgbClr val="6B651D"/>
          </a:solidFill>
          <a:round/>
          <a:headEnd type="triangle" w="med" len="med"/>
          <a:tailEnd type="triangle" w="med" len="med"/>
        </a:ln>
      </xdr:spPr>
    </xdr:cxnSp>
    <xdr:clientData/>
  </xdr:twoCellAnchor>
  <xdr:twoCellAnchor editAs="oneCell">
    <xdr:from>
      <xdr:col>11</xdr:col>
      <xdr:colOff>0</xdr:colOff>
      <xdr:row>97</xdr:row>
      <xdr:rowOff>0</xdr:rowOff>
    </xdr:from>
    <xdr:to>
      <xdr:col>17</xdr:col>
      <xdr:colOff>0</xdr:colOff>
      <xdr:row>97</xdr:row>
      <xdr:rowOff>0</xdr:rowOff>
    </xdr:to>
    <xdr:cxnSp macro="">
      <xdr:nvCxnSpPr>
        <xdr:cNvPr id="442" name="線: バッチ・ファイル・直線（共通）">
          <a:extLst>
            <a:ext uri="{FF2B5EF4-FFF2-40B4-BE49-F238E27FC236}">
              <a16:creationId xmlns:a16="http://schemas.microsoft.com/office/drawing/2014/main" id="{2BF472F3-6C3C-41ED-B1FE-18EC00084D18}"/>
            </a:ext>
          </a:extLst>
        </xdr:cNvPr>
        <xdr:cNvCxnSpPr/>
      </xdr:nvCxnSpPr>
      <xdr:spPr>
        <a:xfrm>
          <a:off x="2095500" y="18478500"/>
          <a:ext cx="1143000" cy="0"/>
        </a:xfrm>
        <a:prstGeom prst="straightConnector1">
          <a:avLst/>
        </a:prstGeom>
        <a:ln w="19050" cap="flat">
          <a:solidFill>
            <a:srgbClr val="404040"/>
          </a:solidFill>
          <a:prstDash val="dash"/>
          <a:round/>
          <a:tailEnd type="triangle" w="med" len="med"/>
        </a:ln>
      </xdr:spPr>
    </xdr:cxnSp>
    <xdr:clientData/>
  </xdr:twoCellAnchor>
  <xdr:twoCellAnchor editAs="oneCell">
    <xdr:from>
      <xdr:col>22</xdr:col>
      <xdr:colOff>0</xdr:colOff>
      <xdr:row>97</xdr:row>
      <xdr:rowOff>0</xdr:rowOff>
    </xdr:from>
    <xdr:to>
      <xdr:col>28</xdr:col>
      <xdr:colOff>0</xdr:colOff>
      <xdr:row>97</xdr:row>
      <xdr:rowOff>0</xdr:rowOff>
    </xdr:to>
    <xdr:cxnSp macro="">
      <xdr:nvCxnSpPr>
        <xdr:cNvPr id="443" name="線: バッチ・ファイル・直線（ルートA）">
          <a:extLst>
            <a:ext uri="{FF2B5EF4-FFF2-40B4-BE49-F238E27FC236}">
              <a16:creationId xmlns:a16="http://schemas.microsoft.com/office/drawing/2014/main" id="{F8F5B6DF-B104-4CDD-8C2F-1F8F5EB3E0A2}"/>
            </a:ext>
          </a:extLst>
        </xdr:cNvPr>
        <xdr:cNvCxnSpPr/>
      </xdr:nvCxnSpPr>
      <xdr:spPr>
        <a:xfrm>
          <a:off x="4191000" y="18478500"/>
          <a:ext cx="1143000" cy="0"/>
        </a:xfrm>
        <a:prstGeom prst="straightConnector1">
          <a:avLst/>
        </a:prstGeom>
        <a:ln w="19050" cap="flat">
          <a:solidFill>
            <a:srgbClr val="315C92"/>
          </a:solidFill>
          <a:prstDash val="dash"/>
          <a:round/>
          <a:tailEnd type="triangle" w="med" len="med"/>
        </a:ln>
      </xdr:spPr>
    </xdr:cxnSp>
    <xdr:clientData/>
  </xdr:twoCellAnchor>
  <xdr:twoCellAnchor editAs="oneCell">
    <xdr:from>
      <xdr:col>33</xdr:col>
      <xdr:colOff>0</xdr:colOff>
      <xdr:row>97</xdr:row>
      <xdr:rowOff>0</xdr:rowOff>
    </xdr:from>
    <xdr:to>
      <xdr:col>39</xdr:col>
      <xdr:colOff>0</xdr:colOff>
      <xdr:row>97</xdr:row>
      <xdr:rowOff>0</xdr:rowOff>
    </xdr:to>
    <xdr:cxnSp macro="">
      <xdr:nvCxnSpPr>
        <xdr:cNvPr id="444" name="線: バッチ・ファイル・直線（ルートB）">
          <a:extLst>
            <a:ext uri="{FF2B5EF4-FFF2-40B4-BE49-F238E27FC236}">
              <a16:creationId xmlns:a16="http://schemas.microsoft.com/office/drawing/2014/main" id="{849E6066-6742-437B-B9AC-F9F73D0A11DD}"/>
            </a:ext>
          </a:extLst>
        </xdr:cNvPr>
        <xdr:cNvCxnSpPr/>
      </xdr:nvCxnSpPr>
      <xdr:spPr>
        <a:xfrm>
          <a:off x="6286500" y="18478500"/>
          <a:ext cx="1143000" cy="0"/>
        </a:xfrm>
        <a:prstGeom prst="straightConnector1">
          <a:avLst/>
        </a:prstGeom>
        <a:ln w="19050" cap="flat">
          <a:solidFill>
            <a:srgbClr val="247966"/>
          </a:solidFill>
          <a:prstDash val="dash"/>
          <a:round/>
          <a:tailEnd type="triangle" w="med" len="med"/>
        </a:ln>
      </xdr:spPr>
    </xdr:cxnSp>
    <xdr:clientData/>
  </xdr:twoCellAnchor>
  <xdr:twoCellAnchor editAs="oneCell">
    <xdr:from>
      <xdr:col>44</xdr:col>
      <xdr:colOff>0</xdr:colOff>
      <xdr:row>97</xdr:row>
      <xdr:rowOff>0</xdr:rowOff>
    </xdr:from>
    <xdr:to>
      <xdr:col>50</xdr:col>
      <xdr:colOff>0</xdr:colOff>
      <xdr:row>97</xdr:row>
      <xdr:rowOff>0</xdr:rowOff>
    </xdr:to>
    <xdr:cxnSp macro="">
      <xdr:nvCxnSpPr>
        <xdr:cNvPr id="445" name="線: バッチ・ファイル・直線（ルートC）">
          <a:extLst>
            <a:ext uri="{FF2B5EF4-FFF2-40B4-BE49-F238E27FC236}">
              <a16:creationId xmlns:a16="http://schemas.microsoft.com/office/drawing/2014/main" id="{DFF8CF64-782E-4708-AFA6-A0FA9E1B48CF}"/>
            </a:ext>
          </a:extLst>
        </xdr:cNvPr>
        <xdr:cNvCxnSpPr/>
      </xdr:nvCxnSpPr>
      <xdr:spPr>
        <a:xfrm>
          <a:off x="8382000" y="18478500"/>
          <a:ext cx="1143000" cy="0"/>
        </a:xfrm>
        <a:prstGeom prst="straightConnector1">
          <a:avLst/>
        </a:prstGeom>
        <a:ln w="19050" cap="flat">
          <a:solidFill>
            <a:srgbClr val="C46B39"/>
          </a:solidFill>
          <a:prstDash val="dash"/>
          <a:round/>
          <a:tailEnd type="triangle" w="med" len="med"/>
        </a:ln>
      </xdr:spPr>
    </xdr:cxnSp>
    <xdr:clientData/>
  </xdr:twoCellAnchor>
  <xdr:twoCellAnchor editAs="oneCell">
    <xdr:from>
      <xdr:col>55</xdr:col>
      <xdr:colOff>0</xdr:colOff>
      <xdr:row>97</xdr:row>
      <xdr:rowOff>0</xdr:rowOff>
    </xdr:from>
    <xdr:to>
      <xdr:col>61</xdr:col>
      <xdr:colOff>0</xdr:colOff>
      <xdr:row>97</xdr:row>
      <xdr:rowOff>0</xdr:rowOff>
    </xdr:to>
    <xdr:cxnSp macro="">
      <xdr:nvCxnSpPr>
        <xdr:cNvPr id="446" name="線: バッチ・ファイル・直線（ルートD）">
          <a:extLst>
            <a:ext uri="{FF2B5EF4-FFF2-40B4-BE49-F238E27FC236}">
              <a16:creationId xmlns:a16="http://schemas.microsoft.com/office/drawing/2014/main" id="{B0E00A27-4839-4AD8-8D99-07BFBD408E5E}"/>
            </a:ext>
          </a:extLst>
        </xdr:cNvPr>
        <xdr:cNvCxnSpPr/>
      </xdr:nvCxnSpPr>
      <xdr:spPr>
        <a:xfrm>
          <a:off x="10477500" y="18478500"/>
          <a:ext cx="1143000" cy="0"/>
        </a:xfrm>
        <a:prstGeom prst="straightConnector1">
          <a:avLst/>
        </a:prstGeom>
        <a:ln w="19050" cap="flat">
          <a:solidFill>
            <a:srgbClr val="876BA6"/>
          </a:solidFill>
          <a:prstDash val="dash"/>
          <a:round/>
          <a:tailEnd type="triangle" w="med" len="med"/>
        </a:ln>
      </xdr:spPr>
    </xdr:cxnSp>
    <xdr:clientData/>
  </xdr:twoCellAnchor>
  <xdr:twoCellAnchor editAs="oneCell">
    <xdr:from>
      <xdr:col>66</xdr:col>
      <xdr:colOff>0</xdr:colOff>
      <xdr:row>97</xdr:row>
      <xdr:rowOff>0</xdr:rowOff>
    </xdr:from>
    <xdr:to>
      <xdr:col>72</xdr:col>
      <xdr:colOff>0</xdr:colOff>
      <xdr:row>97</xdr:row>
      <xdr:rowOff>0</xdr:rowOff>
    </xdr:to>
    <xdr:cxnSp macro="">
      <xdr:nvCxnSpPr>
        <xdr:cNvPr id="447" name="線: バッチ・ファイル・直線（ルートE）">
          <a:extLst>
            <a:ext uri="{FF2B5EF4-FFF2-40B4-BE49-F238E27FC236}">
              <a16:creationId xmlns:a16="http://schemas.microsoft.com/office/drawing/2014/main" id="{EC0FD3AB-7B3A-424E-848C-BEAB2717E130}"/>
            </a:ext>
          </a:extLst>
        </xdr:cNvPr>
        <xdr:cNvCxnSpPr/>
      </xdr:nvCxnSpPr>
      <xdr:spPr>
        <a:xfrm>
          <a:off x="12573000" y="18478500"/>
          <a:ext cx="1143000" cy="0"/>
        </a:xfrm>
        <a:prstGeom prst="straightConnector1">
          <a:avLst/>
        </a:prstGeom>
        <a:ln w="19050" cap="flat">
          <a:solidFill>
            <a:srgbClr val="B04B68"/>
          </a:solidFill>
          <a:prstDash val="dash"/>
          <a:round/>
          <a:tailEnd type="triangle" w="med" len="med"/>
        </a:ln>
      </xdr:spPr>
    </xdr:cxnSp>
    <xdr:clientData/>
  </xdr:twoCellAnchor>
  <xdr:twoCellAnchor editAs="oneCell">
    <xdr:from>
      <xdr:col>77</xdr:col>
      <xdr:colOff>0</xdr:colOff>
      <xdr:row>97</xdr:row>
      <xdr:rowOff>0</xdr:rowOff>
    </xdr:from>
    <xdr:to>
      <xdr:col>83</xdr:col>
      <xdr:colOff>0</xdr:colOff>
      <xdr:row>97</xdr:row>
      <xdr:rowOff>0</xdr:rowOff>
    </xdr:to>
    <xdr:cxnSp macro="">
      <xdr:nvCxnSpPr>
        <xdr:cNvPr id="448" name="線: バッチ・ファイル・直線（ルートF）">
          <a:extLst>
            <a:ext uri="{FF2B5EF4-FFF2-40B4-BE49-F238E27FC236}">
              <a16:creationId xmlns:a16="http://schemas.microsoft.com/office/drawing/2014/main" id="{972A619D-E56C-4873-883D-D739B3FC9667}"/>
            </a:ext>
          </a:extLst>
        </xdr:cNvPr>
        <xdr:cNvCxnSpPr/>
      </xdr:nvCxnSpPr>
      <xdr:spPr>
        <a:xfrm>
          <a:off x="14668500" y="18478500"/>
          <a:ext cx="1143000" cy="0"/>
        </a:xfrm>
        <a:prstGeom prst="straightConnector1">
          <a:avLst/>
        </a:prstGeom>
        <a:ln w="19050" cap="flat">
          <a:solidFill>
            <a:srgbClr val="6B651D"/>
          </a:solidFill>
          <a:prstDash val="dash"/>
          <a:round/>
          <a:tailEnd type="triangle" w="med" len="med"/>
        </a:ln>
      </xdr:spPr>
    </xdr:cxnSp>
    <xdr:clientData/>
  </xdr:twoCellAnchor>
  <xdr:twoCellAnchor editAs="oneCell">
    <xdr:from>
      <xdr:col>18</xdr:col>
      <xdr:colOff>0</xdr:colOff>
      <xdr:row>96</xdr:row>
      <xdr:rowOff>0</xdr:rowOff>
    </xdr:from>
    <xdr:to>
      <xdr:col>21</xdr:col>
      <xdr:colOff>0</xdr:colOff>
      <xdr:row>98</xdr:row>
      <xdr:rowOff>0</xdr:rowOff>
    </xdr:to>
    <xdr:cxnSp macro="">
      <xdr:nvCxnSpPr>
        <xdr:cNvPr id="449" name="線: バッチ・ファイル・カギ線（共通）">
          <a:extLst>
            <a:ext uri="{FF2B5EF4-FFF2-40B4-BE49-F238E27FC236}">
              <a16:creationId xmlns:a16="http://schemas.microsoft.com/office/drawing/2014/main" id="{1CA8659F-262D-48DE-A8AF-BF0C57E9BB1E}"/>
            </a:ext>
          </a:extLst>
        </xdr:cNvPr>
        <xdr:cNvCxnSpPr/>
      </xdr:nvCxnSpPr>
      <xdr:spPr>
        <a:xfrm>
          <a:off x="3429000" y="18288000"/>
          <a:ext cx="571500" cy="381000"/>
        </a:xfrm>
        <a:prstGeom prst="bentConnector3">
          <a:avLst/>
        </a:prstGeom>
        <a:ln w="19050" cap="flat">
          <a:solidFill>
            <a:srgbClr val="404040"/>
          </a:solidFill>
          <a:prstDash val="dash"/>
          <a:round/>
          <a:tailEnd type="triangle" w="med" len="med"/>
        </a:ln>
      </xdr:spPr>
    </xdr:cxnSp>
    <xdr:clientData/>
  </xdr:twoCellAnchor>
  <xdr:twoCellAnchor editAs="oneCell">
    <xdr:from>
      <xdr:col>29</xdr:col>
      <xdr:colOff>0</xdr:colOff>
      <xdr:row>96</xdr:row>
      <xdr:rowOff>0</xdr:rowOff>
    </xdr:from>
    <xdr:to>
      <xdr:col>32</xdr:col>
      <xdr:colOff>0</xdr:colOff>
      <xdr:row>98</xdr:row>
      <xdr:rowOff>0</xdr:rowOff>
    </xdr:to>
    <xdr:cxnSp macro="">
      <xdr:nvCxnSpPr>
        <xdr:cNvPr id="450" name="線: バッチ・ファイル・カギ線（ルートA）">
          <a:extLst>
            <a:ext uri="{FF2B5EF4-FFF2-40B4-BE49-F238E27FC236}">
              <a16:creationId xmlns:a16="http://schemas.microsoft.com/office/drawing/2014/main" id="{BB0517DA-0439-4789-A35A-D22BFB74C817}"/>
            </a:ext>
          </a:extLst>
        </xdr:cNvPr>
        <xdr:cNvCxnSpPr/>
      </xdr:nvCxnSpPr>
      <xdr:spPr>
        <a:xfrm>
          <a:off x="5524500" y="18288000"/>
          <a:ext cx="571500" cy="381000"/>
        </a:xfrm>
        <a:prstGeom prst="bentConnector3">
          <a:avLst/>
        </a:prstGeom>
        <a:ln w="19050" cap="flat">
          <a:solidFill>
            <a:srgbClr val="315C92"/>
          </a:solidFill>
          <a:prstDash val="dash"/>
          <a:round/>
          <a:tailEnd type="triangle" w="med" len="med"/>
        </a:ln>
      </xdr:spPr>
    </xdr:cxnSp>
    <xdr:clientData/>
  </xdr:twoCellAnchor>
  <xdr:twoCellAnchor editAs="oneCell">
    <xdr:from>
      <xdr:col>40</xdr:col>
      <xdr:colOff>0</xdr:colOff>
      <xdr:row>96</xdr:row>
      <xdr:rowOff>0</xdr:rowOff>
    </xdr:from>
    <xdr:to>
      <xdr:col>43</xdr:col>
      <xdr:colOff>0</xdr:colOff>
      <xdr:row>98</xdr:row>
      <xdr:rowOff>0</xdr:rowOff>
    </xdr:to>
    <xdr:cxnSp macro="">
      <xdr:nvCxnSpPr>
        <xdr:cNvPr id="451" name="線: バッチ・ファイル・カギ線（ルートB）">
          <a:extLst>
            <a:ext uri="{FF2B5EF4-FFF2-40B4-BE49-F238E27FC236}">
              <a16:creationId xmlns:a16="http://schemas.microsoft.com/office/drawing/2014/main" id="{2D7594D3-526C-4E9C-AF63-B5B728344462}"/>
            </a:ext>
          </a:extLst>
        </xdr:cNvPr>
        <xdr:cNvCxnSpPr/>
      </xdr:nvCxnSpPr>
      <xdr:spPr>
        <a:xfrm>
          <a:off x="7620000" y="18288000"/>
          <a:ext cx="571500" cy="381000"/>
        </a:xfrm>
        <a:prstGeom prst="bentConnector3">
          <a:avLst/>
        </a:prstGeom>
        <a:ln w="19050" cap="flat">
          <a:solidFill>
            <a:srgbClr val="247966"/>
          </a:solidFill>
          <a:prstDash val="dash"/>
          <a:round/>
          <a:tailEnd type="triangle" w="med" len="med"/>
        </a:ln>
      </xdr:spPr>
    </xdr:cxnSp>
    <xdr:clientData/>
  </xdr:twoCellAnchor>
  <xdr:twoCellAnchor editAs="oneCell">
    <xdr:from>
      <xdr:col>51</xdr:col>
      <xdr:colOff>0</xdr:colOff>
      <xdr:row>96</xdr:row>
      <xdr:rowOff>0</xdr:rowOff>
    </xdr:from>
    <xdr:to>
      <xdr:col>54</xdr:col>
      <xdr:colOff>0</xdr:colOff>
      <xdr:row>98</xdr:row>
      <xdr:rowOff>0</xdr:rowOff>
    </xdr:to>
    <xdr:cxnSp macro="">
      <xdr:nvCxnSpPr>
        <xdr:cNvPr id="452" name="線: バッチ・ファイル・カギ線（ルートC）">
          <a:extLst>
            <a:ext uri="{FF2B5EF4-FFF2-40B4-BE49-F238E27FC236}">
              <a16:creationId xmlns:a16="http://schemas.microsoft.com/office/drawing/2014/main" id="{7B81E024-0E3D-42CF-B590-BC2D57DD39A7}"/>
            </a:ext>
          </a:extLst>
        </xdr:cNvPr>
        <xdr:cNvCxnSpPr/>
      </xdr:nvCxnSpPr>
      <xdr:spPr>
        <a:xfrm>
          <a:off x="9715500" y="18288000"/>
          <a:ext cx="571500" cy="381000"/>
        </a:xfrm>
        <a:prstGeom prst="bentConnector3">
          <a:avLst/>
        </a:prstGeom>
        <a:ln w="19050" cap="flat">
          <a:solidFill>
            <a:srgbClr val="C46B39"/>
          </a:solidFill>
          <a:prstDash val="dash"/>
          <a:round/>
          <a:tailEnd type="triangle" w="med" len="med"/>
        </a:ln>
      </xdr:spPr>
    </xdr:cxnSp>
    <xdr:clientData/>
  </xdr:twoCellAnchor>
  <xdr:twoCellAnchor editAs="oneCell">
    <xdr:from>
      <xdr:col>62</xdr:col>
      <xdr:colOff>0</xdr:colOff>
      <xdr:row>96</xdr:row>
      <xdr:rowOff>0</xdr:rowOff>
    </xdr:from>
    <xdr:to>
      <xdr:col>65</xdr:col>
      <xdr:colOff>0</xdr:colOff>
      <xdr:row>98</xdr:row>
      <xdr:rowOff>0</xdr:rowOff>
    </xdr:to>
    <xdr:cxnSp macro="">
      <xdr:nvCxnSpPr>
        <xdr:cNvPr id="453" name="線: バッチ・ファイル・カギ線（ルートD）">
          <a:extLst>
            <a:ext uri="{FF2B5EF4-FFF2-40B4-BE49-F238E27FC236}">
              <a16:creationId xmlns:a16="http://schemas.microsoft.com/office/drawing/2014/main" id="{88C7861D-4712-4621-B390-E25D060D5955}"/>
            </a:ext>
          </a:extLst>
        </xdr:cNvPr>
        <xdr:cNvCxnSpPr/>
      </xdr:nvCxnSpPr>
      <xdr:spPr>
        <a:xfrm>
          <a:off x="11811000" y="18288000"/>
          <a:ext cx="571500" cy="381000"/>
        </a:xfrm>
        <a:prstGeom prst="bentConnector3">
          <a:avLst/>
        </a:prstGeom>
        <a:ln w="19050" cap="flat">
          <a:solidFill>
            <a:srgbClr val="876BA6"/>
          </a:solidFill>
          <a:prstDash val="dash"/>
          <a:round/>
          <a:tailEnd type="triangle" w="med" len="med"/>
        </a:ln>
      </xdr:spPr>
    </xdr:cxnSp>
    <xdr:clientData/>
  </xdr:twoCellAnchor>
  <xdr:twoCellAnchor editAs="oneCell">
    <xdr:from>
      <xdr:col>73</xdr:col>
      <xdr:colOff>0</xdr:colOff>
      <xdr:row>96</xdr:row>
      <xdr:rowOff>0</xdr:rowOff>
    </xdr:from>
    <xdr:to>
      <xdr:col>76</xdr:col>
      <xdr:colOff>0</xdr:colOff>
      <xdr:row>98</xdr:row>
      <xdr:rowOff>0</xdr:rowOff>
    </xdr:to>
    <xdr:cxnSp macro="">
      <xdr:nvCxnSpPr>
        <xdr:cNvPr id="454" name="線: バッチ・ファイル・カギ線（ルートE）">
          <a:extLst>
            <a:ext uri="{FF2B5EF4-FFF2-40B4-BE49-F238E27FC236}">
              <a16:creationId xmlns:a16="http://schemas.microsoft.com/office/drawing/2014/main" id="{A549CF9F-A0F9-4325-8661-05378C0674AE}"/>
            </a:ext>
          </a:extLst>
        </xdr:cNvPr>
        <xdr:cNvCxnSpPr/>
      </xdr:nvCxnSpPr>
      <xdr:spPr>
        <a:xfrm>
          <a:off x="13906500" y="18288000"/>
          <a:ext cx="571500" cy="381000"/>
        </a:xfrm>
        <a:prstGeom prst="bentConnector3">
          <a:avLst/>
        </a:prstGeom>
        <a:ln w="19050" cap="flat">
          <a:solidFill>
            <a:srgbClr val="B04B68"/>
          </a:solidFill>
          <a:prstDash val="dash"/>
          <a:round/>
          <a:tailEnd type="triangle" w="med" len="med"/>
        </a:ln>
      </xdr:spPr>
    </xdr:cxnSp>
    <xdr:clientData/>
  </xdr:twoCellAnchor>
  <xdr:twoCellAnchor editAs="oneCell">
    <xdr:from>
      <xdr:col>84</xdr:col>
      <xdr:colOff>0</xdr:colOff>
      <xdr:row>96</xdr:row>
      <xdr:rowOff>0</xdr:rowOff>
    </xdr:from>
    <xdr:to>
      <xdr:col>87</xdr:col>
      <xdr:colOff>0</xdr:colOff>
      <xdr:row>98</xdr:row>
      <xdr:rowOff>0</xdr:rowOff>
    </xdr:to>
    <xdr:cxnSp macro="">
      <xdr:nvCxnSpPr>
        <xdr:cNvPr id="455" name="線: バッチ・ファイル・カギ線（ルートF）">
          <a:extLst>
            <a:ext uri="{FF2B5EF4-FFF2-40B4-BE49-F238E27FC236}">
              <a16:creationId xmlns:a16="http://schemas.microsoft.com/office/drawing/2014/main" id="{9D262A50-F9A2-4A8E-86E0-E6587139CAC6}"/>
            </a:ext>
          </a:extLst>
        </xdr:cNvPr>
        <xdr:cNvCxnSpPr/>
      </xdr:nvCxnSpPr>
      <xdr:spPr>
        <a:xfrm>
          <a:off x="16002000" y="18288000"/>
          <a:ext cx="571500" cy="381000"/>
        </a:xfrm>
        <a:prstGeom prst="bentConnector3">
          <a:avLst/>
        </a:prstGeom>
        <a:ln w="19050" cap="flat">
          <a:solidFill>
            <a:srgbClr val="6B651D"/>
          </a:solidFill>
          <a:prstDash val="dash"/>
          <a:round/>
          <a:tailEnd type="triangle" w="med" len="med"/>
        </a:ln>
      </xdr:spPr>
    </xdr:cxnSp>
    <xdr:clientData/>
  </xdr:twoCellAnchor>
  <xdr:twoCellAnchor editAs="oneCell">
    <xdr:from>
      <xdr:col>11</xdr:col>
      <xdr:colOff>0</xdr:colOff>
      <xdr:row>100</xdr:row>
      <xdr:rowOff>0</xdr:rowOff>
    </xdr:from>
    <xdr:to>
      <xdr:col>17</xdr:col>
      <xdr:colOff>0</xdr:colOff>
      <xdr:row>100</xdr:row>
      <xdr:rowOff>0</xdr:rowOff>
    </xdr:to>
    <xdr:cxnSp macro="">
      <xdr:nvCxnSpPr>
        <xdr:cNvPr id="456" name="線: 監視・運用・直線（共通）">
          <a:extLst>
            <a:ext uri="{FF2B5EF4-FFF2-40B4-BE49-F238E27FC236}">
              <a16:creationId xmlns:a16="http://schemas.microsoft.com/office/drawing/2014/main" id="{24E2D2F5-960B-4A18-904C-2F37E0BA16A9}"/>
            </a:ext>
          </a:extLst>
        </xdr:cNvPr>
        <xdr:cNvCxnSpPr/>
      </xdr:nvCxnSpPr>
      <xdr:spPr>
        <a:xfrm>
          <a:off x="2095500" y="19050000"/>
          <a:ext cx="1143000" cy="0"/>
        </a:xfrm>
        <a:prstGeom prst="straightConnector1">
          <a:avLst/>
        </a:prstGeom>
        <a:ln w="12700" cap="flat">
          <a:solidFill>
            <a:srgbClr val="404040"/>
          </a:solidFill>
          <a:prstDash val="sysDot"/>
          <a:round/>
          <a:tailEnd type="triangle" w="med" len="med"/>
        </a:ln>
      </xdr:spPr>
    </xdr:cxnSp>
    <xdr:clientData/>
  </xdr:twoCellAnchor>
  <xdr:twoCellAnchor editAs="oneCell">
    <xdr:from>
      <xdr:col>22</xdr:col>
      <xdr:colOff>0</xdr:colOff>
      <xdr:row>100</xdr:row>
      <xdr:rowOff>0</xdr:rowOff>
    </xdr:from>
    <xdr:to>
      <xdr:col>28</xdr:col>
      <xdr:colOff>0</xdr:colOff>
      <xdr:row>100</xdr:row>
      <xdr:rowOff>0</xdr:rowOff>
    </xdr:to>
    <xdr:cxnSp macro="">
      <xdr:nvCxnSpPr>
        <xdr:cNvPr id="457" name="線: 監視・運用・直線（ルートA）">
          <a:extLst>
            <a:ext uri="{FF2B5EF4-FFF2-40B4-BE49-F238E27FC236}">
              <a16:creationId xmlns:a16="http://schemas.microsoft.com/office/drawing/2014/main" id="{27DE9AEF-A658-464E-A68E-2F3602324C79}"/>
            </a:ext>
          </a:extLst>
        </xdr:cNvPr>
        <xdr:cNvCxnSpPr/>
      </xdr:nvCxnSpPr>
      <xdr:spPr>
        <a:xfrm>
          <a:off x="4191000" y="19050000"/>
          <a:ext cx="1143000" cy="0"/>
        </a:xfrm>
        <a:prstGeom prst="straightConnector1">
          <a:avLst/>
        </a:prstGeom>
        <a:ln w="12700" cap="flat">
          <a:solidFill>
            <a:srgbClr val="315C92"/>
          </a:solidFill>
          <a:prstDash val="sysDot"/>
          <a:round/>
          <a:tailEnd type="triangle" w="med" len="med"/>
        </a:ln>
      </xdr:spPr>
    </xdr:cxnSp>
    <xdr:clientData/>
  </xdr:twoCellAnchor>
  <xdr:twoCellAnchor editAs="oneCell">
    <xdr:from>
      <xdr:col>33</xdr:col>
      <xdr:colOff>0</xdr:colOff>
      <xdr:row>100</xdr:row>
      <xdr:rowOff>0</xdr:rowOff>
    </xdr:from>
    <xdr:to>
      <xdr:col>39</xdr:col>
      <xdr:colOff>0</xdr:colOff>
      <xdr:row>100</xdr:row>
      <xdr:rowOff>0</xdr:rowOff>
    </xdr:to>
    <xdr:cxnSp macro="">
      <xdr:nvCxnSpPr>
        <xdr:cNvPr id="458" name="線: 監視・運用・直線（ルートB）">
          <a:extLst>
            <a:ext uri="{FF2B5EF4-FFF2-40B4-BE49-F238E27FC236}">
              <a16:creationId xmlns:a16="http://schemas.microsoft.com/office/drawing/2014/main" id="{0446F10F-96B0-4FDE-BBF6-FCC98985A0DA}"/>
            </a:ext>
          </a:extLst>
        </xdr:cNvPr>
        <xdr:cNvCxnSpPr/>
      </xdr:nvCxnSpPr>
      <xdr:spPr>
        <a:xfrm>
          <a:off x="6286500" y="19050000"/>
          <a:ext cx="1143000" cy="0"/>
        </a:xfrm>
        <a:prstGeom prst="straightConnector1">
          <a:avLst/>
        </a:prstGeom>
        <a:ln w="12700" cap="flat">
          <a:solidFill>
            <a:srgbClr val="247966"/>
          </a:solidFill>
          <a:prstDash val="sysDot"/>
          <a:round/>
          <a:tailEnd type="triangle" w="med" len="med"/>
        </a:ln>
      </xdr:spPr>
    </xdr:cxnSp>
    <xdr:clientData/>
  </xdr:twoCellAnchor>
  <xdr:twoCellAnchor editAs="oneCell">
    <xdr:from>
      <xdr:col>44</xdr:col>
      <xdr:colOff>0</xdr:colOff>
      <xdr:row>100</xdr:row>
      <xdr:rowOff>0</xdr:rowOff>
    </xdr:from>
    <xdr:to>
      <xdr:col>50</xdr:col>
      <xdr:colOff>0</xdr:colOff>
      <xdr:row>100</xdr:row>
      <xdr:rowOff>0</xdr:rowOff>
    </xdr:to>
    <xdr:cxnSp macro="">
      <xdr:nvCxnSpPr>
        <xdr:cNvPr id="459" name="線: 監視・運用・直線（ルートC）">
          <a:extLst>
            <a:ext uri="{FF2B5EF4-FFF2-40B4-BE49-F238E27FC236}">
              <a16:creationId xmlns:a16="http://schemas.microsoft.com/office/drawing/2014/main" id="{A787EBBB-9D04-4C10-AF30-9A6EC85B58D0}"/>
            </a:ext>
          </a:extLst>
        </xdr:cNvPr>
        <xdr:cNvCxnSpPr/>
      </xdr:nvCxnSpPr>
      <xdr:spPr>
        <a:xfrm>
          <a:off x="8382000" y="19050000"/>
          <a:ext cx="1143000" cy="0"/>
        </a:xfrm>
        <a:prstGeom prst="straightConnector1">
          <a:avLst/>
        </a:prstGeom>
        <a:ln w="12700" cap="flat">
          <a:solidFill>
            <a:srgbClr val="C46B39"/>
          </a:solidFill>
          <a:prstDash val="sysDot"/>
          <a:round/>
          <a:tailEnd type="triangle" w="med" len="med"/>
        </a:ln>
      </xdr:spPr>
    </xdr:cxnSp>
    <xdr:clientData/>
  </xdr:twoCellAnchor>
  <xdr:twoCellAnchor editAs="oneCell">
    <xdr:from>
      <xdr:col>55</xdr:col>
      <xdr:colOff>0</xdr:colOff>
      <xdr:row>100</xdr:row>
      <xdr:rowOff>0</xdr:rowOff>
    </xdr:from>
    <xdr:to>
      <xdr:col>61</xdr:col>
      <xdr:colOff>0</xdr:colOff>
      <xdr:row>100</xdr:row>
      <xdr:rowOff>0</xdr:rowOff>
    </xdr:to>
    <xdr:cxnSp macro="">
      <xdr:nvCxnSpPr>
        <xdr:cNvPr id="460" name="線: 監視・運用・直線（ルートD）">
          <a:extLst>
            <a:ext uri="{FF2B5EF4-FFF2-40B4-BE49-F238E27FC236}">
              <a16:creationId xmlns:a16="http://schemas.microsoft.com/office/drawing/2014/main" id="{21617758-4FF5-43FD-9F20-8267692FBBA3}"/>
            </a:ext>
          </a:extLst>
        </xdr:cNvPr>
        <xdr:cNvCxnSpPr/>
      </xdr:nvCxnSpPr>
      <xdr:spPr>
        <a:xfrm>
          <a:off x="10477500" y="19050000"/>
          <a:ext cx="1143000" cy="0"/>
        </a:xfrm>
        <a:prstGeom prst="straightConnector1">
          <a:avLst/>
        </a:prstGeom>
        <a:ln w="12700" cap="flat">
          <a:solidFill>
            <a:srgbClr val="876BA6"/>
          </a:solidFill>
          <a:prstDash val="sysDot"/>
          <a:round/>
          <a:tailEnd type="triangle" w="med" len="med"/>
        </a:ln>
      </xdr:spPr>
    </xdr:cxnSp>
    <xdr:clientData/>
  </xdr:twoCellAnchor>
  <xdr:twoCellAnchor editAs="oneCell">
    <xdr:from>
      <xdr:col>66</xdr:col>
      <xdr:colOff>0</xdr:colOff>
      <xdr:row>100</xdr:row>
      <xdr:rowOff>0</xdr:rowOff>
    </xdr:from>
    <xdr:to>
      <xdr:col>72</xdr:col>
      <xdr:colOff>0</xdr:colOff>
      <xdr:row>100</xdr:row>
      <xdr:rowOff>0</xdr:rowOff>
    </xdr:to>
    <xdr:cxnSp macro="">
      <xdr:nvCxnSpPr>
        <xdr:cNvPr id="461" name="線: 監視・運用・直線（ルートE）">
          <a:extLst>
            <a:ext uri="{FF2B5EF4-FFF2-40B4-BE49-F238E27FC236}">
              <a16:creationId xmlns:a16="http://schemas.microsoft.com/office/drawing/2014/main" id="{AE6FE8DA-608F-465E-909F-FC6EA17EF0EA}"/>
            </a:ext>
          </a:extLst>
        </xdr:cNvPr>
        <xdr:cNvCxnSpPr/>
      </xdr:nvCxnSpPr>
      <xdr:spPr>
        <a:xfrm>
          <a:off x="12573000" y="19050000"/>
          <a:ext cx="1143000" cy="0"/>
        </a:xfrm>
        <a:prstGeom prst="straightConnector1">
          <a:avLst/>
        </a:prstGeom>
        <a:ln w="12700" cap="flat">
          <a:solidFill>
            <a:srgbClr val="B04B68"/>
          </a:solidFill>
          <a:prstDash val="sysDot"/>
          <a:round/>
          <a:tailEnd type="triangle" w="med" len="med"/>
        </a:ln>
      </xdr:spPr>
    </xdr:cxnSp>
    <xdr:clientData/>
  </xdr:twoCellAnchor>
  <xdr:twoCellAnchor editAs="oneCell">
    <xdr:from>
      <xdr:col>77</xdr:col>
      <xdr:colOff>0</xdr:colOff>
      <xdr:row>100</xdr:row>
      <xdr:rowOff>0</xdr:rowOff>
    </xdr:from>
    <xdr:to>
      <xdr:col>83</xdr:col>
      <xdr:colOff>0</xdr:colOff>
      <xdr:row>100</xdr:row>
      <xdr:rowOff>0</xdr:rowOff>
    </xdr:to>
    <xdr:cxnSp macro="">
      <xdr:nvCxnSpPr>
        <xdr:cNvPr id="462" name="線: 監視・運用・直線（ルートF）">
          <a:extLst>
            <a:ext uri="{FF2B5EF4-FFF2-40B4-BE49-F238E27FC236}">
              <a16:creationId xmlns:a16="http://schemas.microsoft.com/office/drawing/2014/main" id="{92627493-73EC-44BB-B271-E9E7F4218033}"/>
            </a:ext>
          </a:extLst>
        </xdr:cNvPr>
        <xdr:cNvCxnSpPr/>
      </xdr:nvCxnSpPr>
      <xdr:spPr>
        <a:xfrm>
          <a:off x="14668500" y="19050000"/>
          <a:ext cx="1143000" cy="0"/>
        </a:xfrm>
        <a:prstGeom prst="straightConnector1">
          <a:avLst/>
        </a:prstGeom>
        <a:ln w="12700" cap="flat">
          <a:solidFill>
            <a:srgbClr val="6B651D"/>
          </a:solidFill>
          <a:prstDash val="sysDot"/>
          <a:round/>
          <a:tailEnd type="triangle" w="med" len="med"/>
        </a:ln>
      </xdr:spPr>
    </xdr:cxnSp>
    <xdr:clientData/>
  </xdr:twoCellAnchor>
  <xdr:twoCellAnchor editAs="oneCell">
    <xdr:from>
      <xdr:col>18</xdr:col>
      <xdr:colOff>0</xdr:colOff>
      <xdr:row>99</xdr:row>
      <xdr:rowOff>0</xdr:rowOff>
    </xdr:from>
    <xdr:to>
      <xdr:col>21</xdr:col>
      <xdr:colOff>0</xdr:colOff>
      <xdr:row>101</xdr:row>
      <xdr:rowOff>0</xdr:rowOff>
    </xdr:to>
    <xdr:cxnSp macro="">
      <xdr:nvCxnSpPr>
        <xdr:cNvPr id="463" name="線: 監視・運用・カギ線（共通）">
          <a:extLst>
            <a:ext uri="{FF2B5EF4-FFF2-40B4-BE49-F238E27FC236}">
              <a16:creationId xmlns:a16="http://schemas.microsoft.com/office/drawing/2014/main" id="{2090D7EC-FCEE-4767-B8B2-59C8FD04166F}"/>
            </a:ext>
          </a:extLst>
        </xdr:cNvPr>
        <xdr:cNvCxnSpPr/>
      </xdr:nvCxnSpPr>
      <xdr:spPr>
        <a:xfrm>
          <a:off x="3429000" y="18859500"/>
          <a:ext cx="571500" cy="381000"/>
        </a:xfrm>
        <a:prstGeom prst="bentConnector3">
          <a:avLst/>
        </a:prstGeom>
        <a:ln w="12700" cap="flat">
          <a:solidFill>
            <a:srgbClr val="404040"/>
          </a:solidFill>
          <a:prstDash val="sysDot"/>
          <a:round/>
          <a:tailEnd type="triangle" w="med" len="med"/>
        </a:ln>
      </xdr:spPr>
    </xdr:cxnSp>
    <xdr:clientData/>
  </xdr:twoCellAnchor>
  <xdr:twoCellAnchor editAs="oneCell">
    <xdr:from>
      <xdr:col>29</xdr:col>
      <xdr:colOff>0</xdr:colOff>
      <xdr:row>99</xdr:row>
      <xdr:rowOff>0</xdr:rowOff>
    </xdr:from>
    <xdr:to>
      <xdr:col>32</xdr:col>
      <xdr:colOff>0</xdr:colOff>
      <xdr:row>101</xdr:row>
      <xdr:rowOff>0</xdr:rowOff>
    </xdr:to>
    <xdr:cxnSp macro="">
      <xdr:nvCxnSpPr>
        <xdr:cNvPr id="464" name="線: 監視・運用・カギ線（ルートA）">
          <a:extLst>
            <a:ext uri="{FF2B5EF4-FFF2-40B4-BE49-F238E27FC236}">
              <a16:creationId xmlns:a16="http://schemas.microsoft.com/office/drawing/2014/main" id="{D27FC7C9-A5B6-4EA2-A73B-AFDAA3B71E95}"/>
            </a:ext>
          </a:extLst>
        </xdr:cNvPr>
        <xdr:cNvCxnSpPr/>
      </xdr:nvCxnSpPr>
      <xdr:spPr>
        <a:xfrm>
          <a:off x="5524500" y="18859500"/>
          <a:ext cx="571500" cy="381000"/>
        </a:xfrm>
        <a:prstGeom prst="bentConnector3">
          <a:avLst/>
        </a:prstGeom>
        <a:ln w="12700" cap="flat">
          <a:solidFill>
            <a:srgbClr val="315C92"/>
          </a:solidFill>
          <a:prstDash val="sysDot"/>
          <a:round/>
          <a:tailEnd type="triangle" w="med" len="med"/>
        </a:ln>
      </xdr:spPr>
    </xdr:cxnSp>
    <xdr:clientData/>
  </xdr:twoCellAnchor>
  <xdr:twoCellAnchor editAs="oneCell">
    <xdr:from>
      <xdr:col>40</xdr:col>
      <xdr:colOff>0</xdr:colOff>
      <xdr:row>99</xdr:row>
      <xdr:rowOff>0</xdr:rowOff>
    </xdr:from>
    <xdr:to>
      <xdr:col>43</xdr:col>
      <xdr:colOff>0</xdr:colOff>
      <xdr:row>101</xdr:row>
      <xdr:rowOff>0</xdr:rowOff>
    </xdr:to>
    <xdr:cxnSp macro="">
      <xdr:nvCxnSpPr>
        <xdr:cNvPr id="465" name="線: 監視・運用・カギ線（ルートB）">
          <a:extLst>
            <a:ext uri="{FF2B5EF4-FFF2-40B4-BE49-F238E27FC236}">
              <a16:creationId xmlns:a16="http://schemas.microsoft.com/office/drawing/2014/main" id="{D9136B65-2BCA-4E16-9852-13ED54C968FF}"/>
            </a:ext>
          </a:extLst>
        </xdr:cNvPr>
        <xdr:cNvCxnSpPr/>
      </xdr:nvCxnSpPr>
      <xdr:spPr>
        <a:xfrm>
          <a:off x="7620000" y="18859500"/>
          <a:ext cx="571500" cy="381000"/>
        </a:xfrm>
        <a:prstGeom prst="bentConnector3">
          <a:avLst/>
        </a:prstGeom>
        <a:ln w="12700" cap="flat">
          <a:solidFill>
            <a:srgbClr val="247966"/>
          </a:solidFill>
          <a:prstDash val="sysDot"/>
          <a:round/>
          <a:tailEnd type="triangle" w="med" len="med"/>
        </a:ln>
      </xdr:spPr>
    </xdr:cxnSp>
    <xdr:clientData/>
  </xdr:twoCellAnchor>
  <xdr:twoCellAnchor editAs="oneCell">
    <xdr:from>
      <xdr:col>51</xdr:col>
      <xdr:colOff>0</xdr:colOff>
      <xdr:row>99</xdr:row>
      <xdr:rowOff>0</xdr:rowOff>
    </xdr:from>
    <xdr:to>
      <xdr:col>54</xdr:col>
      <xdr:colOff>0</xdr:colOff>
      <xdr:row>101</xdr:row>
      <xdr:rowOff>0</xdr:rowOff>
    </xdr:to>
    <xdr:cxnSp macro="">
      <xdr:nvCxnSpPr>
        <xdr:cNvPr id="466" name="線: 監視・運用・カギ線（ルートC）">
          <a:extLst>
            <a:ext uri="{FF2B5EF4-FFF2-40B4-BE49-F238E27FC236}">
              <a16:creationId xmlns:a16="http://schemas.microsoft.com/office/drawing/2014/main" id="{32B200A6-5A05-461B-A884-C7C1B758B676}"/>
            </a:ext>
          </a:extLst>
        </xdr:cNvPr>
        <xdr:cNvCxnSpPr/>
      </xdr:nvCxnSpPr>
      <xdr:spPr>
        <a:xfrm>
          <a:off x="9715500" y="18859500"/>
          <a:ext cx="571500" cy="381000"/>
        </a:xfrm>
        <a:prstGeom prst="bentConnector3">
          <a:avLst/>
        </a:prstGeom>
        <a:ln w="12700" cap="flat">
          <a:solidFill>
            <a:srgbClr val="C46B39"/>
          </a:solidFill>
          <a:prstDash val="sysDot"/>
          <a:round/>
          <a:tailEnd type="triangle" w="med" len="med"/>
        </a:ln>
      </xdr:spPr>
    </xdr:cxnSp>
    <xdr:clientData/>
  </xdr:twoCellAnchor>
  <xdr:twoCellAnchor editAs="oneCell">
    <xdr:from>
      <xdr:col>62</xdr:col>
      <xdr:colOff>0</xdr:colOff>
      <xdr:row>99</xdr:row>
      <xdr:rowOff>0</xdr:rowOff>
    </xdr:from>
    <xdr:to>
      <xdr:col>65</xdr:col>
      <xdr:colOff>0</xdr:colOff>
      <xdr:row>101</xdr:row>
      <xdr:rowOff>0</xdr:rowOff>
    </xdr:to>
    <xdr:cxnSp macro="">
      <xdr:nvCxnSpPr>
        <xdr:cNvPr id="467" name="線: 監視・運用・カギ線（ルートD）">
          <a:extLst>
            <a:ext uri="{FF2B5EF4-FFF2-40B4-BE49-F238E27FC236}">
              <a16:creationId xmlns:a16="http://schemas.microsoft.com/office/drawing/2014/main" id="{764FCA1C-88F5-495C-B81C-2673BF3172C4}"/>
            </a:ext>
          </a:extLst>
        </xdr:cNvPr>
        <xdr:cNvCxnSpPr/>
      </xdr:nvCxnSpPr>
      <xdr:spPr>
        <a:xfrm>
          <a:off x="11811000" y="18859500"/>
          <a:ext cx="571500" cy="381000"/>
        </a:xfrm>
        <a:prstGeom prst="bentConnector3">
          <a:avLst/>
        </a:prstGeom>
        <a:ln w="12700" cap="flat">
          <a:solidFill>
            <a:srgbClr val="876BA6"/>
          </a:solidFill>
          <a:prstDash val="sysDot"/>
          <a:round/>
          <a:tailEnd type="triangle" w="med" len="med"/>
        </a:ln>
      </xdr:spPr>
    </xdr:cxnSp>
    <xdr:clientData/>
  </xdr:twoCellAnchor>
  <xdr:twoCellAnchor editAs="oneCell">
    <xdr:from>
      <xdr:col>73</xdr:col>
      <xdr:colOff>0</xdr:colOff>
      <xdr:row>99</xdr:row>
      <xdr:rowOff>0</xdr:rowOff>
    </xdr:from>
    <xdr:to>
      <xdr:col>76</xdr:col>
      <xdr:colOff>0</xdr:colOff>
      <xdr:row>101</xdr:row>
      <xdr:rowOff>0</xdr:rowOff>
    </xdr:to>
    <xdr:cxnSp macro="">
      <xdr:nvCxnSpPr>
        <xdr:cNvPr id="468" name="線: 監視・運用・カギ線（ルートE）">
          <a:extLst>
            <a:ext uri="{FF2B5EF4-FFF2-40B4-BE49-F238E27FC236}">
              <a16:creationId xmlns:a16="http://schemas.microsoft.com/office/drawing/2014/main" id="{DF540612-DA4B-4ADB-998A-3B477D73B8E8}"/>
            </a:ext>
          </a:extLst>
        </xdr:cNvPr>
        <xdr:cNvCxnSpPr/>
      </xdr:nvCxnSpPr>
      <xdr:spPr>
        <a:xfrm>
          <a:off x="13906500" y="18859500"/>
          <a:ext cx="571500" cy="381000"/>
        </a:xfrm>
        <a:prstGeom prst="bentConnector3">
          <a:avLst/>
        </a:prstGeom>
        <a:ln w="12700" cap="flat">
          <a:solidFill>
            <a:srgbClr val="B04B68"/>
          </a:solidFill>
          <a:prstDash val="sysDot"/>
          <a:round/>
          <a:tailEnd type="triangle" w="med" len="med"/>
        </a:ln>
      </xdr:spPr>
    </xdr:cxnSp>
    <xdr:clientData/>
  </xdr:twoCellAnchor>
  <xdr:twoCellAnchor editAs="oneCell">
    <xdr:from>
      <xdr:col>84</xdr:col>
      <xdr:colOff>0</xdr:colOff>
      <xdr:row>99</xdr:row>
      <xdr:rowOff>0</xdr:rowOff>
    </xdr:from>
    <xdr:to>
      <xdr:col>87</xdr:col>
      <xdr:colOff>0</xdr:colOff>
      <xdr:row>101</xdr:row>
      <xdr:rowOff>0</xdr:rowOff>
    </xdr:to>
    <xdr:cxnSp macro="">
      <xdr:nvCxnSpPr>
        <xdr:cNvPr id="469" name="線: 監視・運用・カギ線（ルートF）">
          <a:extLst>
            <a:ext uri="{FF2B5EF4-FFF2-40B4-BE49-F238E27FC236}">
              <a16:creationId xmlns:a16="http://schemas.microsoft.com/office/drawing/2014/main" id="{0D5D0A22-52DB-401C-99E3-DBF3EBD9C93D}"/>
            </a:ext>
          </a:extLst>
        </xdr:cNvPr>
        <xdr:cNvCxnSpPr/>
      </xdr:nvCxnSpPr>
      <xdr:spPr>
        <a:xfrm>
          <a:off x="16002000" y="18859500"/>
          <a:ext cx="571500" cy="381000"/>
        </a:xfrm>
        <a:prstGeom prst="bentConnector3">
          <a:avLst/>
        </a:prstGeom>
        <a:ln w="12700" cap="flat">
          <a:solidFill>
            <a:srgbClr val="6B651D"/>
          </a:solidFill>
          <a:prstDash val="sysDot"/>
          <a:round/>
          <a:tailEnd type="triangle" w="med" len="med"/>
        </a:ln>
      </xdr:spPr>
    </xdr:cxnSp>
    <xdr:clientData/>
  </xdr:twoCellAnchor>
  <xdr:twoCellAnchor editAs="oneCell">
    <xdr:from>
      <xdr:col>11</xdr:col>
      <xdr:colOff>0</xdr:colOff>
      <xdr:row>103</xdr:row>
      <xdr:rowOff>0</xdr:rowOff>
    </xdr:from>
    <xdr:to>
      <xdr:col>17</xdr:col>
      <xdr:colOff>0</xdr:colOff>
      <xdr:row>103</xdr:row>
      <xdr:rowOff>0</xdr:rowOff>
    </xdr:to>
    <xdr:cxnSp macro="">
      <xdr:nvCxnSpPr>
        <xdr:cNvPr id="470" name="線: ネットワーク接続・直線（共通）">
          <a:extLst>
            <a:ext uri="{FF2B5EF4-FFF2-40B4-BE49-F238E27FC236}">
              <a16:creationId xmlns:a16="http://schemas.microsoft.com/office/drawing/2014/main" id="{893890AA-0E1B-4713-BBF6-B21AA03CE8E6}"/>
            </a:ext>
          </a:extLst>
        </xdr:cNvPr>
        <xdr:cNvCxnSpPr/>
      </xdr:nvCxnSpPr>
      <xdr:spPr>
        <a:xfrm>
          <a:off x="2095500" y="19621500"/>
          <a:ext cx="1143000" cy="0"/>
        </a:xfrm>
        <a:prstGeom prst="straightConnector1">
          <a:avLst/>
        </a:prstGeom>
        <a:ln w="12700" cap="flat">
          <a:solidFill>
            <a:srgbClr val="404040"/>
          </a:solidFill>
          <a:round/>
        </a:ln>
      </xdr:spPr>
    </xdr:cxnSp>
    <xdr:clientData/>
  </xdr:twoCellAnchor>
  <xdr:twoCellAnchor editAs="oneCell">
    <xdr:from>
      <xdr:col>22</xdr:col>
      <xdr:colOff>0</xdr:colOff>
      <xdr:row>103</xdr:row>
      <xdr:rowOff>0</xdr:rowOff>
    </xdr:from>
    <xdr:to>
      <xdr:col>28</xdr:col>
      <xdr:colOff>0</xdr:colOff>
      <xdr:row>103</xdr:row>
      <xdr:rowOff>0</xdr:rowOff>
    </xdr:to>
    <xdr:cxnSp macro="">
      <xdr:nvCxnSpPr>
        <xdr:cNvPr id="471" name="線: ネットワーク接続・直線（ルートA）">
          <a:extLst>
            <a:ext uri="{FF2B5EF4-FFF2-40B4-BE49-F238E27FC236}">
              <a16:creationId xmlns:a16="http://schemas.microsoft.com/office/drawing/2014/main" id="{DCB758BF-AE52-4A01-B030-C685883C745D}"/>
            </a:ext>
          </a:extLst>
        </xdr:cNvPr>
        <xdr:cNvCxnSpPr/>
      </xdr:nvCxnSpPr>
      <xdr:spPr>
        <a:xfrm>
          <a:off x="4191000" y="19621500"/>
          <a:ext cx="1143000" cy="0"/>
        </a:xfrm>
        <a:prstGeom prst="straightConnector1">
          <a:avLst/>
        </a:prstGeom>
        <a:ln w="12700" cap="flat">
          <a:solidFill>
            <a:srgbClr val="315C92"/>
          </a:solidFill>
          <a:round/>
        </a:ln>
      </xdr:spPr>
    </xdr:cxnSp>
    <xdr:clientData/>
  </xdr:twoCellAnchor>
  <xdr:twoCellAnchor editAs="oneCell">
    <xdr:from>
      <xdr:col>33</xdr:col>
      <xdr:colOff>0</xdr:colOff>
      <xdr:row>103</xdr:row>
      <xdr:rowOff>0</xdr:rowOff>
    </xdr:from>
    <xdr:to>
      <xdr:col>39</xdr:col>
      <xdr:colOff>0</xdr:colOff>
      <xdr:row>103</xdr:row>
      <xdr:rowOff>0</xdr:rowOff>
    </xdr:to>
    <xdr:cxnSp macro="">
      <xdr:nvCxnSpPr>
        <xdr:cNvPr id="472" name="線: ネットワーク接続・直線（ルートB）">
          <a:extLst>
            <a:ext uri="{FF2B5EF4-FFF2-40B4-BE49-F238E27FC236}">
              <a16:creationId xmlns:a16="http://schemas.microsoft.com/office/drawing/2014/main" id="{5B44C71F-FAB7-4AA6-ACC7-16145AD3ADCD}"/>
            </a:ext>
          </a:extLst>
        </xdr:cNvPr>
        <xdr:cNvCxnSpPr/>
      </xdr:nvCxnSpPr>
      <xdr:spPr>
        <a:xfrm>
          <a:off x="6286500" y="19621500"/>
          <a:ext cx="1143000" cy="0"/>
        </a:xfrm>
        <a:prstGeom prst="straightConnector1">
          <a:avLst/>
        </a:prstGeom>
        <a:ln w="12700" cap="flat">
          <a:solidFill>
            <a:srgbClr val="247966"/>
          </a:solidFill>
          <a:round/>
        </a:ln>
      </xdr:spPr>
    </xdr:cxnSp>
    <xdr:clientData/>
  </xdr:twoCellAnchor>
  <xdr:twoCellAnchor editAs="oneCell">
    <xdr:from>
      <xdr:col>44</xdr:col>
      <xdr:colOff>0</xdr:colOff>
      <xdr:row>103</xdr:row>
      <xdr:rowOff>0</xdr:rowOff>
    </xdr:from>
    <xdr:to>
      <xdr:col>50</xdr:col>
      <xdr:colOff>0</xdr:colOff>
      <xdr:row>103</xdr:row>
      <xdr:rowOff>0</xdr:rowOff>
    </xdr:to>
    <xdr:cxnSp macro="">
      <xdr:nvCxnSpPr>
        <xdr:cNvPr id="473" name="線: ネットワーク接続・直線（ルートC）">
          <a:extLst>
            <a:ext uri="{FF2B5EF4-FFF2-40B4-BE49-F238E27FC236}">
              <a16:creationId xmlns:a16="http://schemas.microsoft.com/office/drawing/2014/main" id="{BF5AA517-895D-4DCA-89BE-784E0B631CC7}"/>
            </a:ext>
          </a:extLst>
        </xdr:cNvPr>
        <xdr:cNvCxnSpPr/>
      </xdr:nvCxnSpPr>
      <xdr:spPr>
        <a:xfrm>
          <a:off x="8382000" y="19621500"/>
          <a:ext cx="1143000" cy="0"/>
        </a:xfrm>
        <a:prstGeom prst="straightConnector1">
          <a:avLst/>
        </a:prstGeom>
        <a:ln w="12700" cap="flat">
          <a:solidFill>
            <a:srgbClr val="C46B39"/>
          </a:solidFill>
          <a:round/>
        </a:ln>
      </xdr:spPr>
    </xdr:cxnSp>
    <xdr:clientData/>
  </xdr:twoCellAnchor>
  <xdr:twoCellAnchor editAs="oneCell">
    <xdr:from>
      <xdr:col>55</xdr:col>
      <xdr:colOff>0</xdr:colOff>
      <xdr:row>103</xdr:row>
      <xdr:rowOff>0</xdr:rowOff>
    </xdr:from>
    <xdr:to>
      <xdr:col>61</xdr:col>
      <xdr:colOff>0</xdr:colOff>
      <xdr:row>103</xdr:row>
      <xdr:rowOff>0</xdr:rowOff>
    </xdr:to>
    <xdr:cxnSp macro="">
      <xdr:nvCxnSpPr>
        <xdr:cNvPr id="474" name="線: ネットワーク接続・直線（ルートD）">
          <a:extLst>
            <a:ext uri="{FF2B5EF4-FFF2-40B4-BE49-F238E27FC236}">
              <a16:creationId xmlns:a16="http://schemas.microsoft.com/office/drawing/2014/main" id="{65AFF11F-8623-4A15-A866-72CD56A6E153}"/>
            </a:ext>
          </a:extLst>
        </xdr:cNvPr>
        <xdr:cNvCxnSpPr/>
      </xdr:nvCxnSpPr>
      <xdr:spPr>
        <a:xfrm>
          <a:off x="10477500" y="19621500"/>
          <a:ext cx="1143000" cy="0"/>
        </a:xfrm>
        <a:prstGeom prst="straightConnector1">
          <a:avLst/>
        </a:prstGeom>
        <a:ln w="12700" cap="flat">
          <a:solidFill>
            <a:srgbClr val="876BA6"/>
          </a:solidFill>
          <a:round/>
        </a:ln>
      </xdr:spPr>
    </xdr:cxnSp>
    <xdr:clientData/>
  </xdr:twoCellAnchor>
  <xdr:twoCellAnchor editAs="oneCell">
    <xdr:from>
      <xdr:col>66</xdr:col>
      <xdr:colOff>0</xdr:colOff>
      <xdr:row>103</xdr:row>
      <xdr:rowOff>0</xdr:rowOff>
    </xdr:from>
    <xdr:to>
      <xdr:col>72</xdr:col>
      <xdr:colOff>0</xdr:colOff>
      <xdr:row>103</xdr:row>
      <xdr:rowOff>0</xdr:rowOff>
    </xdr:to>
    <xdr:cxnSp macro="">
      <xdr:nvCxnSpPr>
        <xdr:cNvPr id="475" name="線: ネットワーク接続・直線（ルートE）">
          <a:extLst>
            <a:ext uri="{FF2B5EF4-FFF2-40B4-BE49-F238E27FC236}">
              <a16:creationId xmlns:a16="http://schemas.microsoft.com/office/drawing/2014/main" id="{B7DFBD67-2200-4152-8635-F8BC569D10D6}"/>
            </a:ext>
          </a:extLst>
        </xdr:cNvPr>
        <xdr:cNvCxnSpPr/>
      </xdr:nvCxnSpPr>
      <xdr:spPr>
        <a:xfrm>
          <a:off x="12573000" y="19621500"/>
          <a:ext cx="1143000" cy="0"/>
        </a:xfrm>
        <a:prstGeom prst="straightConnector1">
          <a:avLst/>
        </a:prstGeom>
        <a:ln w="12700" cap="flat">
          <a:solidFill>
            <a:srgbClr val="B04B68"/>
          </a:solidFill>
          <a:round/>
        </a:ln>
      </xdr:spPr>
    </xdr:cxnSp>
    <xdr:clientData/>
  </xdr:twoCellAnchor>
  <xdr:twoCellAnchor editAs="oneCell">
    <xdr:from>
      <xdr:col>77</xdr:col>
      <xdr:colOff>0</xdr:colOff>
      <xdr:row>103</xdr:row>
      <xdr:rowOff>0</xdr:rowOff>
    </xdr:from>
    <xdr:to>
      <xdr:col>83</xdr:col>
      <xdr:colOff>0</xdr:colOff>
      <xdr:row>103</xdr:row>
      <xdr:rowOff>0</xdr:rowOff>
    </xdr:to>
    <xdr:cxnSp macro="">
      <xdr:nvCxnSpPr>
        <xdr:cNvPr id="476" name="線: ネットワーク接続・直線（ルートF）">
          <a:extLst>
            <a:ext uri="{FF2B5EF4-FFF2-40B4-BE49-F238E27FC236}">
              <a16:creationId xmlns:a16="http://schemas.microsoft.com/office/drawing/2014/main" id="{89D4B59B-BD2B-44D0-945B-1143302806F0}"/>
            </a:ext>
          </a:extLst>
        </xdr:cNvPr>
        <xdr:cNvCxnSpPr/>
      </xdr:nvCxnSpPr>
      <xdr:spPr>
        <a:xfrm>
          <a:off x="14668500" y="19621500"/>
          <a:ext cx="1143000" cy="0"/>
        </a:xfrm>
        <a:prstGeom prst="straightConnector1">
          <a:avLst/>
        </a:prstGeom>
        <a:ln w="12700" cap="flat">
          <a:solidFill>
            <a:srgbClr val="6B651D"/>
          </a:solidFill>
          <a:round/>
        </a:ln>
      </xdr:spPr>
    </xdr:cxnSp>
    <xdr:clientData/>
  </xdr:twoCellAnchor>
  <xdr:twoCellAnchor editAs="oneCell">
    <xdr:from>
      <xdr:col>18</xdr:col>
      <xdr:colOff>0</xdr:colOff>
      <xdr:row>102</xdr:row>
      <xdr:rowOff>0</xdr:rowOff>
    </xdr:from>
    <xdr:to>
      <xdr:col>21</xdr:col>
      <xdr:colOff>0</xdr:colOff>
      <xdr:row>104</xdr:row>
      <xdr:rowOff>0</xdr:rowOff>
    </xdr:to>
    <xdr:cxnSp macro="">
      <xdr:nvCxnSpPr>
        <xdr:cNvPr id="477" name="線: ネットワーク接続・カギ線（共通）">
          <a:extLst>
            <a:ext uri="{FF2B5EF4-FFF2-40B4-BE49-F238E27FC236}">
              <a16:creationId xmlns:a16="http://schemas.microsoft.com/office/drawing/2014/main" id="{52CD149E-819E-40D5-8F41-72BDAF09EA3A}"/>
            </a:ext>
          </a:extLst>
        </xdr:cNvPr>
        <xdr:cNvCxnSpPr/>
      </xdr:nvCxnSpPr>
      <xdr:spPr>
        <a:xfrm>
          <a:off x="3429000" y="19431000"/>
          <a:ext cx="571500" cy="381000"/>
        </a:xfrm>
        <a:prstGeom prst="bentConnector3">
          <a:avLst/>
        </a:prstGeom>
        <a:ln w="12700" cap="flat">
          <a:solidFill>
            <a:srgbClr val="404040"/>
          </a:solidFill>
          <a:round/>
        </a:ln>
      </xdr:spPr>
    </xdr:cxnSp>
    <xdr:clientData/>
  </xdr:twoCellAnchor>
  <xdr:twoCellAnchor editAs="oneCell">
    <xdr:from>
      <xdr:col>29</xdr:col>
      <xdr:colOff>0</xdr:colOff>
      <xdr:row>102</xdr:row>
      <xdr:rowOff>0</xdr:rowOff>
    </xdr:from>
    <xdr:to>
      <xdr:col>32</xdr:col>
      <xdr:colOff>0</xdr:colOff>
      <xdr:row>104</xdr:row>
      <xdr:rowOff>0</xdr:rowOff>
    </xdr:to>
    <xdr:cxnSp macro="">
      <xdr:nvCxnSpPr>
        <xdr:cNvPr id="478" name="線: ネットワーク接続・カギ線（ルートA）">
          <a:extLst>
            <a:ext uri="{FF2B5EF4-FFF2-40B4-BE49-F238E27FC236}">
              <a16:creationId xmlns:a16="http://schemas.microsoft.com/office/drawing/2014/main" id="{11A97EEE-5469-4640-A676-61F9DA9AC521}"/>
            </a:ext>
          </a:extLst>
        </xdr:cNvPr>
        <xdr:cNvCxnSpPr/>
      </xdr:nvCxnSpPr>
      <xdr:spPr>
        <a:xfrm>
          <a:off x="5524500" y="19431000"/>
          <a:ext cx="571500" cy="381000"/>
        </a:xfrm>
        <a:prstGeom prst="bentConnector3">
          <a:avLst/>
        </a:prstGeom>
        <a:ln w="12700" cap="flat">
          <a:solidFill>
            <a:srgbClr val="315C92"/>
          </a:solidFill>
          <a:round/>
        </a:ln>
      </xdr:spPr>
    </xdr:cxnSp>
    <xdr:clientData/>
  </xdr:twoCellAnchor>
  <xdr:twoCellAnchor editAs="oneCell">
    <xdr:from>
      <xdr:col>40</xdr:col>
      <xdr:colOff>0</xdr:colOff>
      <xdr:row>102</xdr:row>
      <xdr:rowOff>0</xdr:rowOff>
    </xdr:from>
    <xdr:to>
      <xdr:col>43</xdr:col>
      <xdr:colOff>0</xdr:colOff>
      <xdr:row>104</xdr:row>
      <xdr:rowOff>0</xdr:rowOff>
    </xdr:to>
    <xdr:cxnSp macro="">
      <xdr:nvCxnSpPr>
        <xdr:cNvPr id="479" name="線: ネットワーク接続・カギ線（ルートB）">
          <a:extLst>
            <a:ext uri="{FF2B5EF4-FFF2-40B4-BE49-F238E27FC236}">
              <a16:creationId xmlns:a16="http://schemas.microsoft.com/office/drawing/2014/main" id="{3AC53E69-98AC-4C27-B651-85F35557BA56}"/>
            </a:ext>
          </a:extLst>
        </xdr:cNvPr>
        <xdr:cNvCxnSpPr/>
      </xdr:nvCxnSpPr>
      <xdr:spPr>
        <a:xfrm>
          <a:off x="7620000" y="19431000"/>
          <a:ext cx="571500" cy="381000"/>
        </a:xfrm>
        <a:prstGeom prst="bentConnector3">
          <a:avLst/>
        </a:prstGeom>
        <a:ln w="12700" cap="flat">
          <a:solidFill>
            <a:srgbClr val="247966"/>
          </a:solidFill>
          <a:round/>
        </a:ln>
      </xdr:spPr>
    </xdr:cxnSp>
    <xdr:clientData/>
  </xdr:twoCellAnchor>
  <xdr:twoCellAnchor editAs="oneCell">
    <xdr:from>
      <xdr:col>51</xdr:col>
      <xdr:colOff>0</xdr:colOff>
      <xdr:row>102</xdr:row>
      <xdr:rowOff>0</xdr:rowOff>
    </xdr:from>
    <xdr:to>
      <xdr:col>54</xdr:col>
      <xdr:colOff>0</xdr:colOff>
      <xdr:row>104</xdr:row>
      <xdr:rowOff>0</xdr:rowOff>
    </xdr:to>
    <xdr:cxnSp macro="">
      <xdr:nvCxnSpPr>
        <xdr:cNvPr id="480" name="線: ネットワーク接続・カギ線（ルートC）">
          <a:extLst>
            <a:ext uri="{FF2B5EF4-FFF2-40B4-BE49-F238E27FC236}">
              <a16:creationId xmlns:a16="http://schemas.microsoft.com/office/drawing/2014/main" id="{D4E00B0A-E2A2-4142-A0D2-3F7790AEAEC7}"/>
            </a:ext>
          </a:extLst>
        </xdr:cNvPr>
        <xdr:cNvCxnSpPr/>
      </xdr:nvCxnSpPr>
      <xdr:spPr>
        <a:xfrm>
          <a:off x="9715500" y="19431000"/>
          <a:ext cx="571500" cy="381000"/>
        </a:xfrm>
        <a:prstGeom prst="bentConnector3">
          <a:avLst/>
        </a:prstGeom>
        <a:ln w="12700" cap="flat">
          <a:solidFill>
            <a:srgbClr val="C46B39"/>
          </a:solidFill>
          <a:round/>
        </a:ln>
      </xdr:spPr>
    </xdr:cxnSp>
    <xdr:clientData/>
  </xdr:twoCellAnchor>
  <xdr:twoCellAnchor editAs="oneCell">
    <xdr:from>
      <xdr:col>62</xdr:col>
      <xdr:colOff>0</xdr:colOff>
      <xdr:row>102</xdr:row>
      <xdr:rowOff>0</xdr:rowOff>
    </xdr:from>
    <xdr:to>
      <xdr:col>65</xdr:col>
      <xdr:colOff>0</xdr:colOff>
      <xdr:row>104</xdr:row>
      <xdr:rowOff>0</xdr:rowOff>
    </xdr:to>
    <xdr:cxnSp macro="">
      <xdr:nvCxnSpPr>
        <xdr:cNvPr id="481" name="線: ネットワーク接続・カギ線（ルートD）">
          <a:extLst>
            <a:ext uri="{FF2B5EF4-FFF2-40B4-BE49-F238E27FC236}">
              <a16:creationId xmlns:a16="http://schemas.microsoft.com/office/drawing/2014/main" id="{7B318339-D29A-4E01-8EA6-E22AB4EBEC33}"/>
            </a:ext>
          </a:extLst>
        </xdr:cNvPr>
        <xdr:cNvCxnSpPr/>
      </xdr:nvCxnSpPr>
      <xdr:spPr>
        <a:xfrm>
          <a:off x="11811000" y="19431000"/>
          <a:ext cx="571500" cy="381000"/>
        </a:xfrm>
        <a:prstGeom prst="bentConnector3">
          <a:avLst/>
        </a:prstGeom>
        <a:ln w="12700" cap="flat">
          <a:solidFill>
            <a:srgbClr val="876BA6"/>
          </a:solidFill>
          <a:round/>
        </a:ln>
      </xdr:spPr>
    </xdr:cxnSp>
    <xdr:clientData/>
  </xdr:twoCellAnchor>
  <xdr:twoCellAnchor editAs="oneCell">
    <xdr:from>
      <xdr:col>73</xdr:col>
      <xdr:colOff>0</xdr:colOff>
      <xdr:row>102</xdr:row>
      <xdr:rowOff>0</xdr:rowOff>
    </xdr:from>
    <xdr:to>
      <xdr:col>76</xdr:col>
      <xdr:colOff>0</xdr:colOff>
      <xdr:row>104</xdr:row>
      <xdr:rowOff>0</xdr:rowOff>
    </xdr:to>
    <xdr:cxnSp macro="">
      <xdr:nvCxnSpPr>
        <xdr:cNvPr id="482" name="線: ネットワーク接続・カギ線（ルートE）">
          <a:extLst>
            <a:ext uri="{FF2B5EF4-FFF2-40B4-BE49-F238E27FC236}">
              <a16:creationId xmlns:a16="http://schemas.microsoft.com/office/drawing/2014/main" id="{C5E015A0-6E92-4D16-8EEE-C3D8C8A8B237}"/>
            </a:ext>
          </a:extLst>
        </xdr:cNvPr>
        <xdr:cNvCxnSpPr/>
      </xdr:nvCxnSpPr>
      <xdr:spPr>
        <a:xfrm>
          <a:off x="13906500" y="19431000"/>
          <a:ext cx="571500" cy="381000"/>
        </a:xfrm>
        <a:prstGeom prst="bentConnector3">
          <a:avLst/>
        </a:prstGeom>
        <a:ln w="12700" cap="flat">
          <a:solidFill>
            <a:srgbClr val="B04B68"/>
          </a:solidFill>
          <a:round/>
        </a:ln>
      </xdr:spPr>
    </xdr:cxnSp>
    <xdr:clientData/>
  </xdr:twoCellAnchor>
  <xdr:twoCellAnchor editAs="oneCell">
    <xdr:from>
      <xdr:col>84</xdr:col>
      <xdr:colOff>0</xdr:colOff>
      <xdr:row>102</xdr:row>
      <xdr:rowOff>0</xdr:rowOff>
    </xdr:from>
    <xdr:to>
      <xdr:col>87</xdr:col>
      <xdr:colOff>0</xdr:colOff>
      <xdr:row>104</xdr:row>
      <xdr:rowOff>0</xdr:rowOff>
    </xdr:to>
    <xdr:cxnSp macro="">
      <xdr:nvCxnSpPr>
        <xdr:cNvPr id="483" name="線: ネットワーク接続・カギ線（ルートF）">
          <a:extLst>
            <a:ext uri="{FF2B5EF4-FFF2-40B4-BE49-F238E27FC236}">
              <a16:creationId xmlns:a16="http://schemas.microsoft.com/office/drawing/2014/main" id="{7F0DEC5A-350B-4824-A9E1-19627FEF8C28}"/>
            </a:ext>
          </a:extLst>
        </xdr:cNvPr>
        <xdr:cNvCxnSpPr/>
      </xdr:nvCxnSpPr>
      <xdr:spPr>
        <a:xfrm>
          <a:off x="16002000" y="19431000"/>
          <a:ext cx="571500" cy="381000"/>
        </a:xfrm>
        <a:prstGeom prst="bentConnector3">
          <a:avLst/>
        </a:prstGeom>
        <a:ln w="12700" cap="flat">
          <a:solidFill>
            <a:srgbClr val="6B651D"/>
          </a:solidFill>
          <a:round/>
        </a:ln>
      </xdr:spPr>
    </xdr:cxnSp>
    <xdr:clientData/>
  </xdr:twoCellAnchor>
  <xdr:twoCellAnchor editAs="oneCell">
    <xdr:from>
      <xdr:col>11</xdr:col>
      <xdr:colOff>0</xdr:colOff>
      <xdr:row>106</xdr:row>
      <xdr:rowOff>0</xdr:rowOff>
    </xdr:from>
    <xdr:to>
      <xdr:col>17</xdr:col>
      <xdr:colOff>0</xdr:colOff>
      <xdr:row>106</xdr:row>
      <xdr:rowOff>0</xdr:rowOff>
    </xdr:to>
    <xdr:cxnSp macro="">
      <xdr:nvCxnSpPr>
        <xdr:cNvPr id="484" name="線: 専用線・閉域網・直線（共通）">
          <a:extLst>
            <a:ext uri="{FF2B5EF4-FFF2-40B4-BE49-F238E27FC236}">
              <a16:creationId xmlns:a16="http://schemas.microsoft.com/office/drawing/2014/main" id="{CE5B6465-8BE7-4B2C-AC10-1172895C4035}"/>
            </a:ext>
          </a:extLst>
        </xdr:cNvPr>
        <xdr:cNvCxnSpPr/>
      </xdr:nvCxnSpPr>
      <xdr:spPr>
        <a:xfrm>
          <a:off x="2095500" y="20193000"/>
          <a:ext cx="1143000" cy="0"/>
        </a:xfrm>
        <a:prstGeom prst="straightConnector1">
          <a:avLst/>
        </a:prstGeom>
        <a:ln w="38100" cap="flat">
          <a:solidFill>
            <a:srgbClr val="404040"/>
          </a:solidFill>
          <a:round/>
        </a:ln>
      </xdr:spPr>
    </xdr:cxnSp>
    <xdr:clientData/>
  </xdr:twoCellAnchor>
  <xdr:twoCellAnchor editAs="oneCell">
    <xdr:from>
      <xdr:col>22</xdr:col>
      <xdr:colOff>0</xdr:colOff>
      <xdr:row>106</xdr:row>
      <xdr:rowOff>0</xdr:rowOff>
    </xdr:from>
    <xdr:to>
      <xdr:col>28</xdr:col>
      <xdr:colOff>0</xdr:colOff>
      <xdr:row>106</xdr:row>
      <xdr:rowOff>0</xdr:rowOff>
    </xdr:to>
    <xdr:cxnSp macro="">
      <xdr:nvCxnSpPr>
        <xdr:cNvPr id="485" name="線: 専用線・閉域網・直線（ルートA）">
          <a:extLst>
            <a:ext uri="{FF2B5EF4-FFF2-40B4-BE49-F238E27FC236}">
              <a16:creationId xmlns:a16="http://schemas.microsoft.com/office/drawing/2014/main" id="{8564A5FA-2D58-422B-92B2-497446AE6A87}"/>
            </a:ext>
          </a:extLst>
        </xdr:cNvPr>
        <xdr:cNvCxnSpPr/>
      </xdr:nvCxnSpPr>
      <xdr:spPr>
        <a:xfrm>
          <a:off x="4191000" y="20193000"/>
          <a:ext cx="1143000" cy="0"/>
        </a:xfrm>
        <a:prstGeom prst="straightConnector1">
          <a:avLst/>
        </a:prstGeom>
        <a:ln w="38100" cap="flat">
          <a:solidFill>
            <a:srgbClr val="315C92"/>
          </a:solidFill>
          <a:round/>
        </a:ln>
      </xdr:spPr>
    </xdr:cxnSp>
    <xdr:clientData/>
  </xdr:twoCellAnchor>
  <xdr:twoCellAnchor editAs="oneCell">
    <xdr:from>
      <xdr:col>33</xdr:col>
      <xdr:colOff>0</xdr:colOff>
      <xdr:row>106</xdr:row>
      <xdr:rowOff>0</xdr:rowOff>
    </xdr:from>
    <xdr:to>
      <xdr:col>39</xdr:col>
      <xdr:colOff>0</xdr:colOff>
      <xdr:row>106</xdr:row>
      <xdr:rowOff>0</xdr:rowOff>
    </xdr:to>
    <xdr:cxnSp macro="">
      <xdr:nvCxnSpPr>
        <xdr:cNvPr id="486" name="線: 専用線・閉域網・直線（ルートB）">
          <a:extLst>
            <a:ext uri="{FF2B5EF4-FFF2-40B4-BE49-F238E27FC236}">
              <a16:creationId xmlns:a16="http://schemas.microsoft.com/office/drawing/2014/main" id="{042082AB-2584-4864-AFF0-9FD92C90CB53}"/>
            </a:ext>
          </a:extLst>
        </xdr:cNvPr>
        <xdr:cNvCxnSpPr/>
      </xdr:nvCxnSpPr>
      <xdr:spPr>
        <a:xfrm>
          <a:off x="6286500" y="20193000"/>
          <a:ext cx="1143000" cy="0"/>
        </a:xfrm>
        <a:prstGeom prst="straightConnector1">
          <a:avLst/>
        </a:prstGeom>
        <a:ln w="38100" cap="flat">
          <a:solidFill>
            <a:srgbClr val="247966"/>
          </a:solidFill>
          <a:round/>
        </a:ln>
      </xdr:spPr>
    </xdr:cxnSp>
    <xdr:clientData/>
  </xdr:twoCellAnchor>
  <xdr:twoCellAnchor editAs="oneCell">
    <xdr:from>
      <xdr:col>44</xdr:col>
      <xdr:colOff>0</xdr:colOff>
      <xdr:row>106</xdr:row>
      <xdr:rowOff>0</xdr:rowOff>
    </xdr:from>
    <xdr:to>
      <xdr:col>50</xdr:col>
      <xdr:colOff>0</xdr:colOff>
      <xdr:row>106</xdr:row>
      <xdr:rowOff>0</xdr:rowOff>
    </xdr:to>
    <xdr:cxnSp macro="">
      <xdr:nvCxnSpPr>
        <xdr:cNvPr id="487" name="線: 専用線・閉域網・直線（ルートC）">
          <a:extLst>
            <a:ext uri="{FF2B5EF4-FFF2-40B4-BE49-F238E27FC236}">
              <a16:creationId xmlns:a16="http://schemas.microsoft.com/office/drawing/2014/main" id="{47EBDD4C-8AD0-4B46-9F6B-9FD59B47A99D}"/>
            </a:ext>
          </a:extLst>
        </xdr:cNvPr>
        <xdr:cNvCxnSpPr/>
      </xdr:nvCxnSpPr>
      <xdr:spPr>
        <a:xfrm>
          <a:off x="8382000" y="20193000"/>
          <a:ext cx="1143000" cy="0"/>
        </a:xfrm>
        <a:prstGeom prst="straightConnector1">
          <a:avLst/>
        </a:prstGeom>
        <a:ln w="38100" cap="flat">
          <a:solidFill>
            <a:srgbClr val="C46B39"/>
          </a:solidFill>
          <a:round/>
        </a:ln>
      </xdr:spPr>
    </xdr:cxnSp>
    <xdr:clientData/>
  </xdr:twoCellAnchor>
  <xdr:twoCellAnchor editAs="oneCell">
    <xdr:from>
      <xdr:col>55</xdr:col>
      <xdr:colOff>0</xdr:colOff>
      <xdr:row>106</xdr:row>
      <xdr:rowOff>0</xdr:rowOff>
    </xdr:from>
    <xdr:to>
      <xdr:col>61</xdr:col>
      <xdr:colOff>0</xdr:colOff>
      <xdr:row>106</xdr:row>
      <xdr:rowOff>0</xdr:rowOff>
    </xdr:to>
    <xdr:cxnSp macro="">
      <xdr:nvCxnSpPr>
        <xdr:cNvPr id="488" name="線: 専用線・閉域網・直線（ルートD）">
          <a:extLst>
            <a:ext uri="{FF2B5EF4-FFF2-40B4-BE49-F238E27FC236}">
              <a16:creationId xmlns:a16="http://schemas.microsoft.com/office/drawing/2014/main" id="{25FECE1E-6B20-4B6F-9DFC-DF07086BB233}"/>
            </a:ext>
          </a:extLst>
        </xdr:cNvPr>
        <xdr:cNvCxnSpPr/>
      </xdr:nvCxnSpPr>
      <xdr:spPr>
        <a:xfrm>
          <a:off x="10477500" y="20193000"/>
          <a:ext cx="1143000" cy="0"/>
        </a:xfrm>
        <a:prstGeom prst="straightConnector1">
          <a:avLst/>
        </a:prstGeom>
        <a:ln w="38100" cap="flat">
          <a:solidFill>
            <a:srgbClr val="876BA6"/>
          </a:solidFill>
          <a:round/>
        </a:ln>
      </xdr:spPr>
    </xdr:cxnSp>
    <xdr:clientData/>
  </xdr:twoCellAnchor>
  <xdr:twoCellAnchor editAs="oneCell">
    <xdr:from>
      <xdr:col>66</xdr:col>
      <xdr:colOff>0</xdr:colOff>
      <xdr:row>106</xdr:row>
      <xdr:rowOff>0</xdr:rowOff>
    </xdr:from>
    <xdr:to>
      <xdr:col>72</xdr:col>
      <xdr:colOff>0</xdr:colOff>
      <xdr:row>106</xdr:row>
      <xdr:rowOff>0</xdr:rowOff>
    </xdr:to>
    <xdr:cxnSp macro="">
      <xdr:nvCxnSpPr>
        <xdr:cNvPr id="489" name="線: 専用線・閉域網・直線（ルートE）">
          <a:extLst>
            <a:ext uri="{FF2B5EF4-FFF2-40B4-BE49-F238E27FC236}">
              <a16:creationId xmlns:a16="http://schemas.microsoft.com/office/drawing/2014/main" id="{8D6C3D18-C903-45C4-9E15-786A8D5F410C}"/>
            </a:ext>
          </a:extLst>
        </xdr:cNvPr>
        <xdr:cNvCxnSpPr/>
      </xdr:nvCxnSpPr>
      <xdr:spPr>
        <a:xfrm>
          <a:off x="12573000" y="20193000"/>
          <a:ext cx="1143000" cy="0"/>
        </a:xfrm>
        <a:prstGeom prst="straightConnector1">
          <a:avLst/>
        </a:prstGeom>
        <a:ln w="38100" cap="flat">
          <a:solidFill>
            <a:srgbClr val="B04B68"/>
          </a:solidFill>
          <a:round/>
        </a:ln>
      </xdr:spPr>
    </xdr:cxnSp>
    <xdr:clientData/>
  </xdr:twoCellAnchor>
  <xdr:twoCellAnchor editAs="oneCell">
    <xdr:from>
      <xdr:col>77</xdr:col>
      <xdr:colOff>0</xdr:colOff>
      <xdr:row>106</xdr:row>
      <xdr:rowOff>0</xdr:rowOff>
    </xdr:from>
    <xdr:to>
      <xdr:col>83</xdr:col>
      <xdr:colOff>0</xdr:colOff>
      <xdr:row>106</xdr:row>
      <xdr:rowOff>0</xdr:rowOff>
    </xdr:to>
    <xdr:cxnSp macro="">
      <xdr:nvCxnSpPr>
        <xdr:cNvPr id="490" name="線: 専用線・閉域網・直線（ルートF）">
          <a:extLst>
            <a:ext uri="{FF2B5EF4-FFF2-40B4-BE49-F238E27FC236}">
              <a16:creationId xmlns:a16="http://schemas.microsoft.com/office/drawing/2014/main" id="{E99F35DC-DCEA-40F6-B014-0DAE95538334}"/>
            </a:ext>
          </a:extLst>
        </xdr:cNvPr>
        <xdr:cNvCxnSpPr/>
      </xdr:nvCxnSpPr>
      <xdr:spPr>
        <a:xfrm>
          <a:off x="14668500" y="20193000"/>
          <a:ext cx="1143000" cy="0"/>
        </a:xfrm>
        <a:prstGeom prst="straightConnector1">
          <a:avLst/>
        </a:prstGeom>
        <a:ln w="38100" cap="flat">
          <a:solidFill>
            <a:srgbClr val="6B651D"/>
          </a:solidFill>
          <a:round/>
        </a:ln>
      </xdr:spPr>
    </xdr:cxnSp>
    <xdr:clientData/>
  </xdr:twoCellAnchor>
  <xdr:twoCellAnchor editAs="oneCell">
    <xdr:from>
      <xdr:col>18</xdr:col>
      <xdr:colOff>0</xdr:colOff>
      <xdr:row>105</xdr:row>
      <xdr:rowOff>0</xdr:rowOff>
    </xdr:from>
    <xdr:to>
      <xdr:col>21</xdr:col>
      <xdr:colOff>0</xdr:colOff>
      <xdr:row>107</xdr:row>
      <xdr:rowOff>0</xdr:rowOff>
    </xdr:to>
    <xdr:cxnSp macro="">
      <xdr:nvCxnSpPr>
        <xdr:cNvPr id="491" name="線: 専用線・閉域網・カギ線（共通）">
          <a:extLst>
            <a:ext uri="{FF2B5EF4-FFF2-40B4-BE49-F238E27FC236}">
              <a16:creationId xmlns:a16="http://schemas.microsoft.com/office/drawing/2014/main" id="{93250F90-9645-4598-93A3-265EC2AD321E}"/>
            </a:ext>
          </a:extLst>
        </xdr:cNvPr>
        <xdr:cNvCxnSpPr/>
      </xdr:nvCxnSpPr>
      <xdr:spPr>
        <a:xfrm>
          <a:off x="3429000" y="20002500"/>
          <a:ext cx="571500" cy="381000"/>
        </a:xfrm>
        <a:prstGeom prst="bentConnector3">
          <a:avLst/>
        </a:prstGeom>
        <a:ln w="38100" cap="flat">
          <a:solidFill>
            <a:srgbClr val="404040"/>
          </a:solidFill>
          <a:round/>
        </a:ln>
      </xdr:spPr>
    </xdr:cxnSp>
    <xdr:clientData/>
  </xdr:twoCellAnchor>
  <xdr:twoCellAnchor editAs="oneCell">
    <xdr:from>
      <xdr:col>29</xdr:col>
      <xdr:colOff>0</xdr:colOff>
      <xdr:row>105</xdr:row>
      <xdr:rowOff>0</xdr:rowOff>
    </xdr:from>
    <xdr:to>
      <xdr:col>32</xdr:col>
      <xdr:colOff>0</xdr:colOff>
      <xdr:row>107</xdr:row>
      <xdr:rowOff>0</xdr:rowOff>
    </xdr:to>
    <xdr:cxnSp macro="">
      <xdr:nvCxnSpPr>
        <xdr:cNvPr id="492" name="線: 専用線・閉域網・カギ線（ルートA）">
          <a:extLst>
            <a:ext uri="{FF2B5EF4-FFF2-40B4-BE49-F238E27FC236}">
              <a16:creationId xmlns:a16="http://schemas.microsoft.com/office/drawing/2014/main" id="{D8CBEE97-5162-4F4B-B294-104793A2F7C0}"/>
            </a:ext>
          </a:extLst>
        </xdr:cNvPr>
        <xdr:cNvCxnSpPr/>
      </xdr:nvCxnSpPr>
      <xdr:spPr>
        <a:xfrm>
          <a:off x="5524500" y="20002500"/>
          <a:ext cx="571500" cy="381000"/>
        </a:xfrm>
        <a:prstGeom prst="bentConnector3">
          <a:avLst/>
        </a:prstGeom>
        <a:ln w="38100" cap="flat">
          <a:solidFill>
            <a:srgbClr val="315C92"/>
          </a:solidFill>
          <a:round/>
        </a:ln>
      </xdr:spPr>
    </xdr:cxnSp>
    <xdr:clientData/>
  </xdr:twoCellAnchor>
  <xdr:twoCellAnchor editAs="oneCell">
    <xdr:from>
      <xdr:col>40</xdr:col>
      <xdr:colOff>0</xdr:colOff>
      <xdr:row>105</xdr:row>
      <xdr:rowOff>0</xdr:rowOff>
    </xdr:from>
    <xdr:to>
      <xdr:col>43</xdr:col>
      <xdr:colOff>0</xdr:colOff>
      <xdr:row>107</xdr:row>
      <xdr:rowOff>0</xdr:rowOff>
    </xdr:to>
    <xdr:cxnSp macro="">
      <xdr:nvCxnSpPr>
        <xdr:cNvPr id="493" name="線: 専用線・閉域網・カギ線（ルートB）">
          <a:extLst>
            <a:ext uri="{FF2B5EF4-FFF2-40B4-BE49-F238E27FC236}">
              <a16:creationId xmlns:a16="http://schemas.microsoft.com/office/drawing/2014/main" id="{FCFAEFAF-4A32-4AA2-A0A4-6CDF9607E90B}"/>
            </a:ext>
          </a:extLst>
        </xdr:cNvPr>
        <xdr:cNvCxnSpPr/>
      </xdr:nvCxnSpPr>
      <xdr:spPr>
        <a:xfrm>
          <a:off x="7620000" y="20002500"/>
          <a:ext cx="571500" cy="381000"/>
        </a:xfrm>
        <a:prstGeom prst="bentConnector3">
          <a:avLst/>
        </a:prstGeom>
        <a:ln w="38100" cap="flat">
          <a:solidFill>
            <a:srgbClr val="247966"/>
          </a:solidFill>
          <a:round/>
        </a:ln>
      </xdr:spPr>
    </xdr:cxnSp>
    <xdr:clientData/>
  </xdr:twoCellAnchor>
  <xdr:twoCellAnchor editAs="oneCell">
    <xdr:from>
      <xdr:col>51</xdr:col>
      <xdr:colOff>0</xdr:colOff>
      <xdr:row>105</xdr:row>
      <xdr:rowOff>0</xdr:rowOff>
    </xdr:from>
    <xdr:to>
      <xdr:col>54</xdr:col>
      <xdr:colOff>0</xdr:colOff>
      <xdr:row>107</xdr:row>
      <xdr:rowOff>0</xdr:rowOff>
    </xdr:to>
    <xdr:cxnSp macro="">
      <xdr:nvCxnSpPr>
        <xdr:cNvPr id="494" name="線: 専用線・閉域網・カギ線（ルートC）">
          <a:extLst>
            <a:ext uri="{FF2B5EF4-FFF2-40B4-BE49-F238E27FC236}">
              <a16:creationId xmlns:a16="http://schemas.microsoft.com/office/drawing/2014/main" id="{EDEDC4C3-2B0D-4A79-AA09-321C605C2404}"/>
            </a:ext>
          </a:extLst>
        </xdr:cNvPr>
        <xdr:cNvCxnSpPr/>
      </xdr:nvCxnSpPr>
      <xdr:spPr>
        <a:xfrm>
          <a:off x="9715500" y="20002500"/>
          <a:ext cx="571500" cy="381000"/>
        </a:xfrm>
        <a:prstGeom prst="bentConnector3">
          <a:avLst/>
        </a:prstGeom>
        <a:ln w="38100" cap="flat">
          <a:solidFill>
            <a:srgbClr val="C46B39"/>
          </a:solidFill>
          <a:round/>
        </a:ln>
      </xdr:spPr>
    </xdr:cxnSp>
    <xdr:clientData/>
  </xdr:twoCellAnchor>
  <xdr:twoCellAnchor editAs="oneCell">
    <xdr:from>
      <xdr:col>62</xdr:col>
      <xdr:colOff>0</xdr:colOff>
      <xdr:row>105</xdr:row>
      <xdr:rowOff>0</xdr:rowOff>
    </xdr:from>
    <xdr:to>
      <xdr:col>65</xdr:col>
      <xdr:colOff>0</xdr:colOff>
      <xdr:row>107</xdr:row>
      <xdr:rowOff>0</xdr:rowOff>
    </xdr:to>
    <xdr:cxnSp macro="">
      <xdr:nvCxnSpPr>
        <xdr:cNvPr id="495" name="線: 専用線・閉域網・カギ線（ルートD）">
          <a:extLst>
            <a:ext uri="{FF2B5EF4-FFF2-40B4-BE49-F238E27FC236}">
              <a16:creationId xmlns:a16="http://schemas.microsoft.com/office/drawing/2014/main" id="{7391A067-57F5-45A4-A5BB-4B29870650C4}"/>
            </a:ext>
          </a:extLst>
        </xdr:cNvPr>
        <xdr:cNvCxnSpPr/>
      </xdr:nvCxnSpPr>
      <xdr:spPr>
        <a:xfrm>
          <a:off x="11811000" y="20002500"/>
          <a:ext cx="571500" cy="381000"/>
        </a:xfrm>
        <a:prstGeom prst="bentConnector3">
          <a:avLst/>
        </a:prstGeom>
        <a:ln w="38100" cap="flat">
          <a:solidFill>
            <a:srgbClr val="876BA6"/>
          </a:solidFill>
          <a:round/>
        </a:ln>
      </xdr:spPr>
    </xdr:cxnSp>
    <xdr:clientData/>
  </xdr:twoCellAnchor>
  <xdr:twoCellAnchor editAs="oneCell">
    <xdr:from>
      <xdr:col>73</xdr:col>
      <xdr:colOff>0</xdr:colOff>
      <xdr:row>105</xdr:row>
      <xdr:rowOff>0</xdr:rowOff>
    </xdr:from>
    <xdr:to>
      <xdr:col>76</xdr:col>
      <xdr:colOff>0</xdr:colOff>
      <xdr:row>107</xdr:row>
      <xdr:rowOff>0</xdr:rowOff>
    </xdr:to>
    <xdr:cxnSp macro="">
      <xdr:nvCxnSpPr>
        <xdr:cNvPr id="496" name="線: 専用線・閉域網・カギ線（ルートE）">
          <a:extLst>
            <a:ext uri="{FF2B5EF4-FFF2-40B4-BE49-F238E27FC236}">
              <a16:creationId xmlns:a16="http://schemas.microsoft.com/office/drawing/2014/main" id="{4C665818-171B-483C-A6F7-1B6568F84761}"/>
            </a:ext>
          </a:extLst>
        </xdr:cNvPr>
        <xdr:cNvCxnSpPr/>
      </xdr:nvCxnSpPr>
      <xdr:spPr>
        <a:xfrm>
          <a:off x="13906500" y="20002500"/>
          <a:ext cx="571500" cy="381000"/>
        </a:xfrm>
        <a:prstGeom prst="bentConnector3">
          <a:avLst/>
        </a:prstGeom>
        <a:ln w="38100" cap="flat">
          <a:solidFill>
            <a:srgbClr val="B04B68"/>
          </a:solidFill>
          <a:round/>
        </a:ln>
      </xdr:spPr>
    </xdr:cxnSp>
    <xdr:clientData/>
  </xdr:twoCellAnchor>
  <xdr:twoCellAnchor editAs="oneCell">
    <xdr:from>
      <xdr:col>84</xdr:col>
      <xdr:colOff>0</xdr:colOff>
      <xdr:row>105</xdr:row>
      <xdr:rowOff>0</xdr:rowOff>
    </xdr:from>
    <xdr:to>
      <xdr:col>87</xdr:col>
      <xdr:colOff>0</xdr:colOff>
      <xdr:row>107</xdr:row>
      <xdr:rowOff>0</xdr:rowOff>
    </xdr:to>
    <xdr:cxnSp macro="">
      <xdr:nvCxnSpPr>
        <xdr:cNvPr id="497" name="線: 専用線・閉域網・カギ線（ルートF）">
          <a:extLst>
            <a:ext uri="{FF2B5EF4-FFF2-40B4-BE49-F238E27FC236}">
              <a16:creationId xmlns:a16="http://schemas.microsoft.com/office/drawing/2014/main" id="{17F65845-B3E2-4363-8011-8D3FE3CF79F5}"/>
            </a:ext>
          </a:extLst>
        </xdr:cNvPr>
        <xdr:cNvCxnSpPr/>
      </xdr:nvCxnSpPr>
      <xdr:spPr>
        <a:xfrm>
          <a:off x="16002000" y="20002500"/>
          <a:ext cx="571500" cy="381000"/>
        </a:xfrm>
        <a:prstGeom prst="bentConnector3">
          <a:avLst/>
        </a:prstGeom>
        <a:ln w="38100" cap="flat">
          <a:solidFill>
            <a:srgbClr val="6B651D"/>
          </a:solidFill>
          <a:round/>
        </a:ln>
      </xdr:spPr>
    </xdr:cxnSp>
    <xdr:clientData/>
  </xdr:twoCellAnchor>
  <xdr:twoCellAnchor editAs="oneCell">
    <xdr:from>
      <xdr:col>11</xdr:col>
      <xdr:colOff>0</xdr:colOff>
      <xdr:row>109</xdr:row>
      <xdr:rowOff>0</xdr:rowOff>
    </xdr:from>
    <xdr:to>
      <xdr:col>17</xdr:col>
      <xdr:colOff>0</xdr:colOff>
      <xdr:row>109</xdr:row>
      <xdr:rowOff>0</xdr:rowOff>
    </xdr:to>
    <xdr:cxnSp macro="">
      <xdr:nvCxnSpPr>
        <xdr:cNvPr id="498" name="線: VPN・論理接続・直線（共通）">
          <a:extLst>
            <a:ext uri="{FF2B5EF4-FFF2-40B4-BE49-F238E27FC236}">
              <a16:creationId xmlns:a16="http://schemas.microsoft.com/office/drawing/2014/main" id="{F06F7382-7AB6-480D-B783-269941FE9A7C}"/>
            </a:ext>
          </a:extLst>
        </xdr:cNvPr>
        <xdr:cNvCxnSpPr/>
      </xdr:nvCxnSpPr>
      <xdr:spPr>
        <a:xfrm>
          <a:off x="2095500" y="20764500"/>
          <a:ext cx="1143000" cy="0"/>
        </a:xfrm>
        <a:prstGeom prst="straightConnector1">
          <a:avLst/>
        </a:prstGeom>
        <a:ln w="12700" cap="flat">
          <a:solidFill>
            <a:srgbClr val="404040"/>
          </a:solidFill>
          <a:prstDash val="dash"/>
          <a:round/>
        </a:ln>
      </xdr:spPr>
    </xdr:cxnSp>
    <xdr:clientData/>
  </xdr:twoCellAnchor>
  <xdr:twoCellAnchor editAs="oneCell">
    <xdr:from>
      <xdr:col>22</xdr:col>
      <xdr:colOff>0</xdr:colOff>
      <xdr:row>109</xdr:row>
      <xdr:rowOff>0</xdr:rowOff>
    </xdr:from>
    <xdr:to>
      <xdr:col>28</xdr:col>
      <xdr:colOff>0</xdr:colOff>
      <xdr:row>109</xdr:row>
      <xdr:rowOff>0</xdr:rowOff>
    </xdr:to>
    <xdr:cxnSp macro="">
      <xdr:nvCxnSpPr>
        <xdr:cNvPr id="499" name="線: VPN・論理接続・直線（ルートA）">
          <a:extLst>
            <a:ext uri="{FF2B5EF4-FFF2-40B4-BE49-F238E27FC236}">
              <a16:creationId xmlns:a16="http://schemas.microsoft.com/office/drawing/2014/main" id="{8824EB74-5F0D-432B-AC1A-B41EB2581C0F}"/>
            </a:ext>
          </a:extLst>
        </xdr:cNvPr>
        <xdr:cNvCxnSpPr/>
      </xdr:nvCxnSpPr>
      <xdr:spPr>
        <a:xfrm>
          <a:off x="4191000" y="20764500"/>
          <a:ext cx="1143000" cy="0"/>
        </a:xfrm>
        <a:prstGeom prst="straightConnector1">
          <a:avLst/>
        </a:prstGeom>
        <a:ln w="12700" cap="flat">
          <a:solidFill>
            <a:srgbClr val="315C92"/>
          </a:solidFill>
          <a:prstDash val="dash"/>
          <a:round/>
        </a:ln>
      </xdr:spPr>
    </xdr:cxnSp>
    <xdr:clientData/>
  </xdr:twoCellAnchor>
  <xdr:twoCellAnchor editAs="oneCell">
    <xdr:from>
      <xdr:col>33</xdr:col>
      <xdr:colOff>0</xdr:colOff>
      <xdr:row>109</xdr:row>
      <xdr:rowOff>0</xdr:rowOff>
    </xdr:from>
    <xdr:to>
      <xdr:col>39</xdr:col>
      <xdr:colOff>0</xdr:colOff>
      <xdr:row>109</xdr:row>
      <xdr:rowOff>0</xdr:rowOff>
    </xdr:to>
    <xdr:cxnSp macro="">
      <xdr:nvCxnSpPr>
        <xdr:cNvPr id="500" name="線: VPN・論理接続・直線（ルートB）">
          <a:extLst>
            <a:ext uri="{FF2B5EF4-FFF2-40B4-BE49-F238E27FC236}">
              <a16:creationId xmlns:a16="http://schemas.microsoft.com/office/drawing/2014/main" id="{09E6DD4E-7272-4EC6-BCB5-5929EC6D44C2}"/>
            </a:ext>
          </a:extLst>
        </xdr:cNvPr>
        <xdr:cNvCxnSpPr/>
      </xdr:nvCxnSpPr>
      <xdr:spPr>
        <a:xfrm>
          <a:off x="6286500" y="20764500"/>
          <a:ext cx="1143000" cy="0"/>
        </a:xfrm>
        <a:prstGeom prst="straightConnector1">
          <a:avLst/>
        </a:prstGeom>
        <a:ln w="12700" cap="flat">
          <a:solidFill>
            <a:srgbClr val="247966"/>
          </a:solidFill>
          <a:prstDash val="dash"/>
          <a:round/>
        </a:ln>
      </xdr:spPr>
    </xdr:cxnSp>
    <xdr:clientData/>
  </xdr:twoCellAnchor>
  <xdr:twoCellAnchor editAs="oneCell">
    <xdr:from>
      <xdr:col>44</xdr:col>
      <xdr:colOff>0</xdr:colOff>
      <xdr:row>109</xdr:row>
      <xdr:rowOff>0</xdr:rowOff>
    </xdr:from>
    <xdr:to>
      <xdr:col>50</xdr:col>
      <xdr:colOff>0</xdr:colOff>
      <xdr:row>109</xdr:row>
      <xdr:rowOff>0</xdr:rowOff>
    </xdr:to>
    <xdr:cxnSp macro="">
      <xdr:nvCxnSpPr>
        <xdr:cNvPr id="501" name="線: VPN・論理接続・直線（ルートC）">
          <a:extLst>
            <a:ext uri="{FF2B5EF4-FFF2-40B4-BE49-F238E27FC236}">
              <a16:creationId xmlns:a16="http://schemas.microsoft.com/office/drawing/2014/main" id="{3E7FB64F-EEFA-43A8-9659-D4462420C353}"/>
            </a:ext>
          </a:extLst>
        </xdr:cNvPr>
        <xdr:cNvCxnSpPr/>
      </xdr:nvCxnSpPr>
      <xdr:spPr>
        <a:xfrm>
          <a:off x="8382000" y="20764500"/>
          <a:ext cx="1143000" cy="0"/>
        </a:xfrm>
        <a:prstGeom prst="straightConnector1">
          <a:avLst/>
        </a:prstGeom>
        <a:ln w="12700" cap="flat">
          <a:solidFill>
            <a:srgbClr val="C46B39"/>
          </a:solidFill>
          <a:prstDash val="dash"/>
          <a:round/>
        </a:ln>
      </xdr:spPr>
    </xdr:cxnSp>
    <xdr:clientData/>
  </xdr:twoCellAnchor>
  <xdr:twoCellAnchor editAs="oneCell">
    <xdr:from>
      <xdr:col>55</xdr:col>
      <xdr:colOff>0</xdr:colOff>
      <xdr:row>109</xdr:row>
      <xdr:rowOff>0</xdr:rowOff>
    </xdr:from>
    <xdr:to>
      <xdr:col>61</xdr:col>
      <xdr:colOff>0</xdr:colOff>
      <xdr:row>109</xdr:row>
      <xdr:rowOff>0</xdr:rowOff>
    </xdr:to>
    <xdr:cxnSp macro="">
      <xdr:nvCxnSpPr>
        <xdr:cNvPr id="502" name="線: VPN・論理接続・直線（ルートD）">
          <a:extLst>
            <a:ext uri="{FF2B5EF4-FFF2-40B4-BE49-F238E27FC236}">
              <a16:creationId xmlns:a16="http://schemas.microsoft.com/office/drawing/2014/main" id="{9B2E6935-05A8-4044-B311-6DB7274B4625}"/>
            </a:ext>
          </a:extLst>
        </xdr:cNvPr>
        <xdr:cNvCxnSpPr/>
      </xdr:nvCxnSpPr>
      <xdr:spPr>
        <a:xfrm>
          <a:off x="10477500" y="20764500"/>
          <a:ext cx="1143000" cy="0"/>
        </a:xfrm>
        <a:prstGeom prst="straightConnector1">
          <a:avLst/>
        </a:prstGeom>
        <a:ln w="12700" cap="flat">
          <a:solidFill>
            <a:srgbClr val="876BA6"/>
          </a:solidFill>
          <a:prstDash val="dash"/>
          <a:round/>
        </a:ln>
      </xdr:spPr>
    </xdr:cxnSp>
    <xdr:clientData/>
  </xdr:twoCellAnchor>
  <xdr:twoCellAnchor editAs="oneCell">
    <xdr:from>
      <xdr:col>66</xdr:col>
      <xdr:colOff>0</xdr:colOff>
      <xdr:row>109</xdr:row>
      <xdr:rowOff>0</xdr:rowOff>
    </xdr:from>
    <xdr:to>
      <xdr:col>72</xdr:col>
      <xdr:colOff>0</xdr:colOff>
      <xdr:row>109</xdr:row>
      <xdr:rowOff>0</xdr:rowOff>
    </xdr:to>
    <xdr:cxnSp macro="">
      <xdr:nvCxnSpPr>
        <xdr:cNvPr id="503" name="線: VPN・論理接続・直線（ルートE）">
          <a:extLst>
            <a:ext uri="{FF2B5EF4-FFF2-40B4-BE49-F238E27FC236}">
              <a16:creationId xmlns:a16="http://schemas.microsoft.com/office/drawing/2014/main" id="{43D1B37F-517F-4578-B652-0E070DE4C105}"/>
            </a:ext>
          </a:extLst>
        </xdr:cNvPr>
        <xdr:cNvCxnSpPr/>
      </xdr:nvCxnSpPr>
      <xdr:spPr>
        <a:xfrm>
          <a:off x="12573000" y="20764500"/>
          <a:ext cx="1143000" cy="0"/>
        </a:xfrm>
        <a:prstGeom prst="straightConnector1">
          <a:avLst/>
        </a:prstGeom>
        <a:ln w="12700" cap="flat">
          <a:solidFill>
            <a:srgbClr val="B04B68"/>
          </a:solidFill>
          <a:prstDash val="dash"/>
          <a:round/>
        </a:ln>
      </xdr:spPr>
    </xdr:cxnSp>
    <xdr:clientData/>
  </xdr:twoCellAnchor>
  <xdr:twoCellAnchor editAs="oneCell">
    <xdr:from>
      <xdr:col>77</xdr:col>
      <xdr:colOff>0</xdr:colOff>
      <xdr:row>109</xdr:row>
      <xdr:rowOff>0</xdr:rowOff>
    </xdr:from>
    <xdr:to>
      <xdr:col>83</xdr:col>
      <xdr:colOff>0</xdr:colOff>
      <xdr:row>109</xdr:row>
      <xdr:rowOff>0</xdr:rowOff>
    </xdr:to>
    <xdr:cxnSp macro="">
      <xdr:nvCxnSpPr>
        <xdr:cNvPr id="504" name="線: VPN・論理接続・直線（ルートF）">
          <a:extLst>
            <a:ext uri="{FF2B5EF4-FFF2-40B4-BE49-F238E27FC236}">
              <a16:creationId xmlns:a16="http://schemas.microsoft.com/office/drawing/2014/main" id="{3140D373-ACCC-462A-9D32-9DC3ED85DAA6}"/>
            </a:ext>
          </a:extLst>
        </xdr:cNvPr>
        <xdr:cNvCxnSpPr/>
      </xdr:nvCxnSpPr>
      <xdr:spPr>
        <a:xfrm>
          <a:off x="14668500" y="20764500"/>
          <a:ext cx="1143000" cy="0"/>
        </a:xfrm>
        <a:prstGeom prst="straightConnector1">
          <a:avLst/>
        </a:prstGeom>
        <a:ln w="12700" cap="flat">
          <a:solidFill>
            <a:srgbClr val="6B651D"/>
          </a:solidFill>
          <a:prstDash val="dash"/>
          <a:round/>
        </a:ln>
      </xdr:spPr>
    </xdr:cxnSp>
    <xdr:clientData/>
  </xdr:twoCellAnchor>
  <xdr:twoCellAnchor editAs="oneCell">
    <xdr:from>
      <xdr:col>18</xdr:col>
      <xdr:colOff>0</xdr:colOff>
      <xdr:row>108</xdr:row>
      <xdr:rowOff>0</xdr:rowOff>
    </xdr:from>
    <xdr:to>
      <xdr:col>21</xdr:col>
      <xdr:colOff>0</xdr:colOff>
      <xdr:row>110</xdr:row>
      <xdr:rowOff>0</xdr:rowOff>
    </xdr:to>
    <xdr:cxnSp macro="">
      <xdr:nvCxnSpPr>
        <xdr:cNvPr id="505" name="線: VPN・論理接続・カギ線（共通）">
          <a:extLst>
            <a:ext uri="{FF2B5EF4-FFF2-40B4-BE49-F238E27FC236}">
              <a16:creationId xmlns:a16="http://schemas.microsoft.com/office/drawing/2014/main" id="{2C18BF9D-E775-4779-94F6-97F08EB3D314}"/>
            </a:ext>
          </a:extLst>
        </xdr:cNvPr>
        <xdr:cNvCxnSpPr/>
      </xdr:nvCxnSpPr>
      <xdr:spPr>
        <a:xfrm>
          <a:off x="3429000" y="20574000"/>
          <a:ext cx="571500" cy="381000"/>
        </a:xfrm>
        <a:prstGeom prst="bentConnector3">
          <a:avLst/>
        </a:prstGeom>
        <a:ln w="12700" cap="flat">
          <a:solidFill>
            <a:srgbClr val="404040"/>
          </a:solidFill>
          <a:prstDash val="dash"/>
          <a:round/>
        </a:ln>
      </xdr:spPr>
    </xdr:cxnSp>
    <xdr:clientData/>
  </xdr:twoCellAnchor>
  <xdr:twoCellAnchor editAs="oneCell">
    <xdr:from>
      <xdr:col>29</xdr:col>
      <xdr:colOff>0</xdr:colOff>
      <xdr:row>108</xdr:row>
      <xdr:rowOff>0</xdr:rowOff>
    </xdr:from>
    <xdr:to>
      <xdr:col>32</xdr:col>
      <xdr:colOff>0</xdr:colOff>
      <xdr:row>110</xdr:row>
      <xdr:rowOff>0</xdr:rowOff>
    </xdr:to>
    <xdr:cxnSp macro="">
      <xdr:nvCxnSpPr>
        <xdr:cNvPr id="506" name="線: VPN・論理接続・カギ線（ルートA）">
          <a:extLst>
            <a:ext uri="{FF2B5EF4-FFF2-40B4-BE49-F238E27FC236}">
              <a16:creationId xmlns:a16="http://schemas.microsoft.com/office/drawing/2014/main" id="{7B5D89C8-F93D-46CB-829B-EB1089D57C26}"/>
            </a:ext>
          </a:extLst>
        </xdr:cNvPr>
        <xdr:cNvCxnSpPr/>
      </xdr:nvCxnSpPr>
      <xdr:spPr>
        <a:xfrm>
          <a:off x="5524500" y="20574000"/>
          <a:ext cx="571500" cy="381000"/>
        </a:xfrm>
        <a:prstGeom prst="bentConnector3">
          <a:avLst/>
        </a:prstGeom>
        <a:ln w="12700" cap="flat">
          <a:solidFill>
            <a:srgbClr val="315C92"/>
          </a:solidFill>
          <a:prstDash val="dash"/>
          <a:round/>
        </a:ln>
      </xdr:spPr>
    </xdr:cxnSp>
    <xdr:clientData/>
  </xdr:twoCellAnchor>
  <xdr:twoCellAnchor editAs="oneCell">
    <xdr:from>
      <xdr:col>40</xdr:col>
      <xdr:colOff>0</xdr:colOff>
      <xdr:row>108</xdr:row>
      <xdr:rowOff>0</xdr:rowOff>
    </xdr:from>
    <xdr:to>
      <xdr:col>43</xdr:col>
      <xdr:colOff>0</xdr:colOff>
      <xdr:row>110</xdr:row>
      <xdr:rowOff>0</xdr:rowOff>
    </xdr:to>
    <xdr:cxnSp macro="">
      <xdr:nvCxnSpPr>
        <xdr:cNvPr id="507" name="線: VPN・論理接続・カギ線（ルートB）">
          <a:extLst>
            <a:ext uri="{FF2B5EF4-FFF2-40B4-BE49-F238E27FC236}">
              <a16:creationId xmlns:a16="http://schemas.microsoft.com/office/drawing/2014/main" id="{736A04AB-4DDB-4DBC-853D-7EB4200C7238}"/>
            </a:ext>
          </a:extLst>
        </xdr:cNvPr>
        <xdr:cNvCxnSpPr/>
      </xdr:nvCxnSpPr>
      <xdr:spPr>
        <a:xfrm>
          <a:off x="7620000" y="20574000"/>
          <a:ext cx="571500" cy="381000"/>
        </a:xfrm>
        <a:prstGeom prst="bentConnector3">
          <a:avLst/>
        </a:prstGeom>
        <a:ln w="12700" cap="flat">
          <a:solidFill>
            <a:srgbClr val="247966"/>
          </a:solidFill>
          <a:prstDash val="dash"/>
          <a:round/>
        </a:ln>
      </xdr:spPr>
    </xdr:cxnSp>
    <xdr:clientData/>
  </xdr:twoCellAnchor>
  <xdr:twoCellAnchor editAs="oneCell">
    <xdr:from>
      <xdr:col>51</xdr:col>
      <xdr:colOff>0</xdr:colOff>
      <xdr:row>108</xdr:row>
      <xdr:rowOff>0</xdr:rowOff>
    </xdr:from>
    <xdr:to>
      <xdr:col>54</xdr:col>
      <xdr:colOff>0</xdr:colOff>
      <xdr:row>110</xdr:row>
      <xdr:rowOff>0</xdr:rowOff>
    </xdr:to>
    <xdr:cxnSp macro="">
      <xdr:nvCxnSpPr>
        <xdr:cNvPr id="508" name="線: VPN・論理接続・カギ線（ルートC）">
          <a:extLst>
            <a:ext uri="{FF2B5EF4-FFF2-40B4-BE49-F238E27FC236}">
              <a16:creationId xmlns:a16="http://schemas.microsoft.com/office/drawing/2014/main" id="{59AAD362-9306-4B65-8BB5-AD8228D3F486}"/>
            </a:ext>
          </a:extLst>
        </xdr:cNvPr>
        <xdr:cNvCxnSpPr/>
      </xdr:nvCxnSpPr>
      <xdr:spPr>
        <a:xfrm>
          <a:off x="9715500" y="20574000"/>
          <a:ext cx="571500" cy="381000"/>
        </a:xfrm>
        <a:prstGeom prst="bentConnector3">
          <a:avLst/>
        </a:prstGeom>
        <a:ln w="12700" cap="flat">
          <a:solidFill>
            <a:srgbClr val="C46B39"/>
          </a:solidFill>
          <a:prstDash val="dash"/>
          <a:round/>
        </a:ln>
      </xdr:spPr>
    </xdr:cxnSp>
    <xdr:clientData/>
  </xdr:twoCellAnchor>
  <xdr:twoCellAnchor editAs="oneCell">
    <xdr:from>
      <xdr:col>62</xdr:col>
      <xdr:colOff>0</xdr:colOff>
      <xdr:row>108</xdr:row>
      <xdr:rowOff>0</xdr:rowOff>
    </xdr:from>
    <xdr:to>
      <xdr:col>65</xdr:col>
      <xdr:colOff>0</xdr:colOff>
      <xdr:row>110</xdr:row>
      <xdr:rowOff>0</xdr:rowOff>
    </xdr:to>
    <xdr:cxnSp macro="">
      <xdr:nvCxnSpPr>
        <xdr:cNvPr id="509" name="線: VPN・論理接続・カギ線（ルートD）">
          <a:extLst>
            <a:ext uri="{FF2B5EF4-FFF2-40B4-BE49-F238E27FC236}">
              <a16:creationId xmlns:a16="http://schemas.microsoft.com/office/drawing/2014/main" id="{1BC71F20-A8A6-4A49-97F3-5B28D5722E2A}"/>
            </a:ext>
          </a:extLst>
        </xdr:cNvPr>
        <xdr:cNvCxnSpPr/>
      </xdr:nvCxnSpPr>
      <xdr:spPr>
        <a:xfrm>
          <a:off x="11811000" y="20574000"/>
          <a:ext cx="571500" cy="381000"/>
        </a:xfrm>
        <a:prstGeom prst="bentConnector3">
          <a:avLst/>
        </a:prstGeom>
        <a:ln w="12700" cap="flat">
          <a:solidFill>
            <a:srgbClr val="876BA6"/>
          </a:solidFill>
          <a:prstDash val="dash"/>
          <a:round/>
        </a:ln>
      </xdr:spPr>
    </xdr:cxnSp>
    <xdr:clientData/>
  </xdr:twoCellAnchor>
  <xdr:twoCellAnchor editAs="oneCell">
    <xdr:from>
      <xdr:col>73</xdr:col>
      <xdr:colOff>0</xdr:colOff>
      <xdr:row>108</xdr:row>
      <xdr:rowOff>0</xdr:rowOff>
    </xdr:from>
    <xdr:to>
      <xdr:col>76</xdr:col>
      <xdr:colOff>0</xdr:colOff>
      <xdr:row>110</xdr:row>
      <xdr:rowOff>0</xdr:rowOff>
    </xdr:to>
    <xdr:cxnSp macro="">
      <xdr:nvCxnSpPr>
        <xdr:cNvPr id="510" name="線: VPN・論理接続・カギ線（ルートE）">
          <a:extLst>
            <a:ext uri="{FF2B5EF4-FFF2-40B4-BE49-F238E27FC236}">
              <a16:creationId xmlns:a16="http://schemas.microsoft.com/office/drawing/2014/main" id="{CD18CF33-2444-45B2-8AF7-41F82E45D146}"/>
            </a:ext>
          </a:extLst>
        </xdr:cNvPr>
        <xdr:cNvCxnSpPr/>
      </xdr:nvCxnSpPr>
      <xdr:spPr>
        <a:xfrm>
          <a:off x="13906500" y="20574000"/>
          <a:ext cx="571500" cy="381000"/>
        </a:xfrm>
        <a:prstGeom prst="bentConnector3">
          <a:avLst/>
        </a:prstGeom>
        <a:ln w="12700" cap="flat">
          <a:solidFill>
            <a:srgbClr val="B04B68"/>
          </a:solidFill>
          <a:prstDash val="dash"/>
          <a:round/>
        </a:ln>
      </xdr:spPr>
    </xdr:cxnSp>
    <xdr:clientData/>
  </xdr:twoCellAnchor>
  <xdr:twoCellAnchor editAs="oneCell">
    <xdr:from>
      <xdr:col>84</xdr:col>
      <xdr:colOff>0</xdr:colOff>
      <xdr:row>108</xdr:row>
      <xdr:rowOff>0</xdr:rowOff>
    </xdr:from>
    <xdr:to>
      <xdr:col>87</xdr:col>
      <xdr:colOff>0</xdr:colOff>
      <xdr:row>110</xdr:row>
      <xdr:rowOff>0</xdr:rowOff>
    </xdr:to>
    <xdr:cxnSp macro="">
      <xdr:nvCxnSpPr>
        <xdr:cNvPr id="511" name="線: VPN・論理接続・カギ線（ルートF）">
          <a:extLst>
            <a:ext uri="{FF2B5EF4-FFF2-40B4-BE49-F238E27FC236}">
              <a16:creationId xmlns:a16="http://schemas.microsoft.com/office/drawing/2014/main" id="{681E3987-5102-4154-B15E-C3932738637D}"/>
            </a:ext>
          </a:extLst>
        </xdr:cNvPr>
        <xdr:cNvCxnSpPr/>
      </xdr:nvCxnSpPr>
      <xdr:spPr>
        <a:xfrm>
          <a:off x="16002000" y="20574000"/>
          <a:ext cx="571500" cy="381000"/>
        </a:xfrm>
        <a:prstGeom prst="bentConnector3">
          <a:avLst/>
        </a:prstGeom>
        <a:ln w="12700" cap="flat">
          <a:solidFill>
            <a:srgbClr val="6B651D"/>
          </a:solidFill>
          <a:prstDash val="dash"/>
          <a:round/>
        </a:ln>
      </xdr:spPr>
    </xdr:cxnSp>
    <xdr:clientData/>
  </xdr:twoCellAnchor>
  <xdr:twoCellAnchor editAs="oneCell">
    <xdr:from>
      <xdr:col>11</xdr:col>
      <xdr:colOff>0</xdr:colOff>
      <xdr:row>112</xdr:row>
      <xdr:rowOff>0</xdr:rowOff>
    </xdr:from>
    <xdr:to>
      <xdr:col>17</xdr:col>
      <xdr:colOff>0</xdr:colOff>
      <xdr:row>112</xdr:row>
      <xdr:rowOff>0</xdr:rowOff>
    </xdr:to>
    <xdr:cxnSp macro="">
      <xdr:nvCxnSpPr>
        <xdr:cNvPr id="512" name="線: 引出線・直線（共通）">
          <a:extLst>
            <a:ext uri="{FF2B5EF4-FFF2-40B4-BE49-F238E27FC236}">
              <a16:creationId xmlns:a16="http://schemas.microsoft.com/office/drawing/2014/main" id="{22EDDFD8-497D-4787-AFAE-E3A2390295CE}"/>
            </a:ext>
          </a:extLst>
        </xdr:cNvPr>
        <xdr:cNvCxnSpPr/>
      </xdr:nvCxnSpPr>
      <xdr:spPr>
        <a:xfrm>
          <a:off x="2095500" y="21336000"/>
          <a:ext cx="1143000" cy="0"/>
        </a:xfrm>
        <a:prstGeom prst="straightConnector1">
          <a:avLst/>
        </a:prstGeom>
        <a:ln w="9525" cap="flat">
          <a:solidFill>
            <a:srgbClr val="404040"/>
          </a:solidFill>
          <a:prstDash val="sysDot"/>
          <a:round/>
          <a:tailEnd type="oval" w="med" len="med"/>
        </a:ln>
      </xdr:spPr>
    </xdr:cxnSp>
    <xdr:clientData/>
  </xdr:twoCellAnchor>
  <xdr:twoCellAnchor editAs="oneCell">
    <xdr:from>
      <xdr:col>22</xdr:col>
      <xdr:colOff>0</xdr:colOff>
      <xdr:row>112</xdr:row>
      <xdr:rowOff>0</xdr:rowOff>
    </xdr:from>
    <xdr:to>
      <xdr:col>28</xdr:col>
      <xdr:colOff>0</xdr:colOff>
      <xdr:row>112</xdr:row>
      <xdr:rowOff>0</xdr:rowOff>
    </xdr:to>
    <xdr:cxnSp macro="">
      <xdr:nvCxnSpPr>
        <xdr:cNvPr id="513" name="線: 引出線・直線（ルートA）">
          <a:extLst>
            <a:ext uri="{FF2B5EF4-FFF2-40B4-BE49-F238E27FC236}">
              <a16:creationId xmlns:a16="http://schemas.microsoft.com/office/drawing/2014/main" id="{D071DC35-9C23-4968-9865-A872355DA66B}"/>
            </a:ext>
          </a:extLst>
        </xdr:cNvPr>
        <xdr:cNvCxnSpPr/>
      </xdr:nvCxnSpPr>
      <xdr:spPr>
        <a:xfrm>
          <a:off x="4191000" y="21336000"/>
          <a:ext cx="1143000" cy="0"/>
        </a:xfrm>
        <a:prstGeom prst="straightConnector1">
          <a:avLst/>
        </a:prstGeom>
        <a:ln w="9525" cap="flat">
          <a:solidFill>
            <a:srgbClr val="315C92"/>
          </a:solidFill>
          <a:prstDash val="sysDot"/>
          <a:round/>
          <a:tailEnd type="oval" w="med" len="med"/>
        </a:ln>
      </xdr:spPr>
    </xdr:cxnSp>
    <xdr:clientData/>
  </xdr:twoCellAnchor>
  <xdr:twoCellAnchor editAs="oneCell">
    <xdr:from>
      <xdr:col>33</xdr:col>
      <xdr:colOff>0</xdr:colOff>
      <xdr:row>112</xdr:row>
      <xdr:rowOff>0</xdr:rowOff>
    </xdr:from>
    <xdr:to>
      <xdr:col>39</xdr:col>
      <xdr:colOff>0</xdr:colOff>
      <xdr:row>112</xdr:row>
      <xdr:rowOff>0</xdr:rowOff>
    </xdr:to>
    <xdr:cxnSp macro="">
      <xdr:nvCxnSpPr>
        <xdr:cNvPr id="514" name="線: 引出線・直線（ルートB）">
          <a:extLst>
            <a:ext uri="{FF2B5EF4-FFF2-40B4-BE49-F238E27FC236}">
              <a16:creationId xmlns:a16="http://schemas.microsoft.com/office/drawing/2014/main" id="{EE021727-8BAE-4AA4-B808-1806ED89EDAB}"/>
            </a:ext>
          </a:extLst>
        </xdr:cNvPr>
        <xdr:cNvCxnSpPr/>
      </xdr:nvCxnSpPr>
      <xdr:spPr>
        <a:xfrm>
          <a:off x="6286500" y="21336000"/>
          <a:ext cx="1143000" cy="0"/>
        </a:xfrm>
        <a:prstGeom prst="straightConnector1">
          <a:avLst/>
        </a:prstGeom>
        <a:ln w="9525" cap="flat">
          <a:solidFill>
            <a:srgbClr val="247966"/>
          </a:solidFill>
          <a:prstDash val="sysDot"/>
          <a:round/>
          <a:tailEnd type="oval" w="med" len="med"/>
        </a:ln>
      </xdr:spPr>
    </xdr:cxnSp>
    <xdr:clientData/>
  </xdr:twoCellAnchor>
  <xdr:twoCellAnchor editAs="oneCell">
    <xdr:from>
      <xdr:col>44</xdr:col>
      <xdr:colOff>0</xdr:colOff>
      <xdr:row>112</xdr:row>
      <xdr:rowOff>0</xdr:rowOff>
    </xdr:from>
    <xdr:to>
      <xdr:col>50</xdr:col>
      <xdr:colOff>0</xdr:colOff>
      <xdr:row>112</xdr:row>
      <xdr:rowOff>0</xdr:rowOff>
    </xdr:to>
    <xdr:cxnSp macro="">
      <xdr:nvCxnSpPr>
        <xdr:cNvPr id="515" name="線: 引出線・直線（ルートC）">
          <a:extLst>
            <a:ext uri="{FF2B5EF4-FFF2-40B4-BE49-F238E27FC236}">
              <a16:creationId xmlns:a16="http://schemas.microsoft.com/office/drawing/2014/main" id="{94257E4E-AA54-40BB-9C0B-630293F79AFE}"/>
            </a:ext>
          </a:extLst>
        </xdr:cNvPr>
        <xdr:cNvCxnSpPr/>
      </xdr:nvCxnSpPr>
      <xdr:spPr>
        <a:xfrm>
          <a:off x="8382000" y="21336000"/>
          <a:ext cx="1143000" cy="0"/>
        </a:xfrm>
        <a:prstGeom prst="straightConnector1">
          <a:avLst/>
        </a:prstGeom>
        <a:ln w="9525" cap="flat">
          <a:solidFill>
            <a:srgbClr val="C46B39"/>
          </a:solidFill>
          <a:prstDash val="sysDot"/>
          <a:round/>
          <a:tailEnd type="oval" w="med" len="med"/>
        </a:ln>
      </xdr:spPr>
    </xdr:cxnSp>
    <xdr:clientData/>
  </xdr:twoCellAnchor>
  <xdr:twoCellAnchor editAs="oneCell">
    <xdr:from>
      <xdr:col>55</xdr:col>
      <xdr:colOff>0</xdr:colOff>
      <xdr:row>112</xdr:row>
      <xdr:rowOff>0</xdr:rowOff>
    </xdr:from>
    <xdr:to>
      <xdr:col>61</xdr:col>
      <xdr:colOff>0</xdr:colOff>
      <xdr:row>112</xdr:row>
      <xdr:rowOff>0</xdr:rowOff>
    </xdr:to>
    <xdr:cxnSp macro="">
      <xdr:nvCxnSpPr>
        <xdr:cNvPr id="516" name="線: 引出線・直線（ルートD）">
          <a:extLst>
            <a:ext uri="{FF2B5EF4-FFF2-40B4-BE49-F238E27FC236}">
              <a16:creationId xmlns:a16="http://schemas.microsoft.com/office/drawing/2014/main" id="{30B12CC3-FADF-4E19-B619-1DF030B39D5A}"/>
            </a:ext>
          </a:extLst>
        </xdr:cNvPr>
        <xdr:cNvCxnSpPr/>
      </xdr:nvCxnSpPr>
      <xdr:spPr>
        <a:xfrm>
          <a:off x="10477500" y="21336000"/>
          <a:ext cx="1143000" cy="0"/>
        </a:xfrm>
        <a:prstGeom prst="straightConnector1">
          <a:avLst/>
        </a:prstGeom>
        <a:ln w="9525" cap="flat">
          <a:solidFill>
            <a:srgbClr val="876BA6"/>
          </a:solidFill>
          <a:prstDash val="sysDot"/>
          <a:round/>
          <a:tailEnd type="oval" w="med" len="med"/>
        </a:ln>
      </xdr:spPr>
    </xdr:cxnSp>
    <xdr:clientData/>
  </xdr:twoCellAnchor>
  <xdr:twoCellAnchor editAs="oneCell">
    <xdr:from>
      <xdr:col>66</xdr:col>
      <xdr:colOff>0</xdr:colOff>
      <xdr:row>112</xdr:row>
      <xdr:rowOff>0</xdr:rowOff>
    </xdr:from>
    <xdr:to>
      <xdr:col>72</xdr:col>
      <xdr:colOff>0</xdr:colOff>
      <xdr:row>112</xdr:row>
      <xdr:rowOff>0</xdr:rowOff>
    </xdr:to>
    <xdr:cxnSp macro="">
      <xdr:nvCxnSpPr>
        <xdr:cNvPr id="517" name="線: 引出線・直線（ルートE）">
          <a:extLst>
            <a:ext uri="{FF2B5EF4-FFF2-40B4-BE49-F238E27FC236}">
              <a16:creationId xmlns:a16="http://schemas.microsoft.com/office/drawing/2014/main" id="{8725EAA4-CD78-46B5-8AE7-B7347FC859EF}"/>
            </a:ext>
          </a:extLst>
        </xdr:cNvPr>
        <xdr:cNvCxnSpPr/>
      </xdr:nvCxnSpPr>
      <xdr:spPr>
        <a:xfrm>
          <a:off x="12573000" y="21336000"/>
          <a:ext cx="1143000" cy="0"/>
        </a:xfrm>
        <a:prstGeom prst="straightConnector1">
          <a:avLst/>
        </a:prstGeom>
        <a:ln w="9525" cap="flat">
          <a:solidFill>
            <a:srgbClr val="B04B68"/>
          </a:solidFill>
          <a:prstDash val="sysDot"/>
          <a:round/>
          <a:tailEnd type="oval" w="med" len="med"/>
        </a:ln>
      </xdr:spPr>
    </xdr:cxnSp>
    <xdr:clientData/>
  </xdr:twoCellAnchor>
  <xdr:twoCellAnchor editAs="oneCell">
    <xdr:from>
      <xdr:col>77</xdr:col>
      <xdr:colOff>0</xdr:colOff>
      <xdr:row>112</xdr:row>
      <xdr:rowOff>0</xdr:rowOff>
    </xdr:from>
    <xdr:to>
      <xdr:col>83</xdr:col>
      <xdr:colOff>0</xdr:colOff>
      <xdr:row>112</xdr:row>
      <xdr:rowOff>0</xdr:rowOff>
    </xdr:to>
    <xdr:cxnSp macro="">
      <xdr:nvCxnSpPr>
        <xdr:cNvPr id="518" name="線: 引出線・直線（ルートF）">
          <a:extLst>
            <a:ext uri="{FF2B5EF4-FFF2-40B4-BE49-F238E27FC236}">
              <a16:creationId xmlns:a16="http://schemas.microsoft.com/office/drawing/2014/main" id="{F635D39D-D272-4662-9BCC-315BBF0DEB3A}"/>
            </a:ext>
          </a:extLst>
        </xdr:cNvPr>
        <xdr:cNvCxnSpPr/>
      </xdr:nvCxnSpPr>
      <xdr:spPr>
        <a:xfrm>
          <a:off x="14668500" y="21336000"/>
          <a:ext cx="1143000" cy="0"/>
        </a:xfrm>
        <a:prstGeom prst="straightConnector1">
          <a:avLst/>
        </a:prstGeom>
        <a:ln w="9525" cap="flat">
          <a:solidFill>
            <a:srgbClr val="6B651D"/>
          </a:solidFill>
          <a:prstDash val="sysDot"/>
          <a:round/>
          <a:tailEnd type="oval" w="med" len="med"/>
        </a:ln>
      </xdr:spPr>
    </xdr:cxnSp>
    <xdr:clientData/>
  </xdr:twoCellAnchor>
  <xdr:twoCellAnchor editAs="oneCell">
    <xdr:from>
      <xdr:col>18</xdr:col>
      <xdr:colOff>0</xdr:colOff>
      <xdr:row>111</xdr:row>
      <xdr:rowOff>0</xdr:rowOff>
    </xdr:from>
    <xdr:to>
      <xdr:col>21</xdr:col>
      <xdr:colOff>0</xdr:colOff>
      <xdr:row>113</xdr:row>
      <xdr:rowOff>0</xdr:rowOff>
    </xdr:to>
    <xdr:cxnSp macro="">
      <xdr:nvCxnSpPr>
        <xdr:cNvPr id="519" name="線: 引出線・カギ線（共通）">
          <a:extLst>
            <a:ext uri="{FF2B5EF4-FFF2-40B4-BE49-F238E27FC236}">
              <a16:creationId xmlns:a16="http://schemas.microsoft.com/office/drawing/2014/main" id="{F9D6F9B1-2516-487A-9B8D-9D329677B52E}"/>
            </a:ext>
          </a:extLst>
        </xdr:cNvPr>
        <xdr:cNvCxnSpPr/>
      </xdr:nvCxnSpPr>
      <xdr:spPr>
        <a:xfrm>
          <a:off x="3429000" y="21145500"/>
          <a:ext cx="571500" cy="381000"/>
        </a:xfrm>
        <a:prstGeom prst="bentConnector3">
          <a:avLst/>
        </a:prstGeom>
        <a:ln w="9525" cap="flat">
          <a:solidFill>
            <a:srgbClr val="404040"/>
          </a:solidFill>
          <a:prstDash val="sysDot"/>
          <a:round/>
          <a:tailEnd type="oval" w="med" len="med"/>
        </a:ln>
      </xdr:spPr>
    </xdr:cxnSp>
    <xdr:clientData/>
  </xdr:twoCellAnchor>
  <xdr:twoCellAnchor editAs="oneCell">
    <xdr:from>
      <xdr:col>29</xdr:col>
      <xdr:colOff>0</xdr:colOff>
      <xdr:row>111</xdr:row>
      <xdr:rowOff>0</xdr:rowOff>
    </xdr:from>
    <xdr:to>
      <xdr:col>32</xdr:col>
      <xdr:colOff>0</xdr:colOff>
      <xdr:row>113</xdr:row>
      <xdr:rowOff>0</xdr:rowOff>
    </xdr:to>
    <xdr:cxnSp macro="">
      <xdr:nvCxnSpPr>
        <xdr:cNvPr id="520" name="線: 引出線・カギ線（ルートA）">
          <a:extLst>
            <a:ext uri="{FF2B5EF4-FFF2-40B4-BE49-F238E27FC236}">
              <a16:creationId xmlns:a16="http://schemas.microsoft.com/office/drawing/2014/main" id="{CEBC006F-9196-4A76-869A-62C6D6BC149D}"/>
            </a:ext>
          </a:extLst>
        </xdr:cNvPr>
        <xdr:cNvCxnSpPr/>
      </xdr:nvCxnSpPr>
      <xdr:spPr>
        <a:xfrm>
          <a:off x="5524500" y="21145500"/>
          <a:ext cx="571500" cy="381000"/>
        </a:xfrm>
        <a:prstGeom prst="bentConnector3">
          <a:avLst/>
        </a:prstGeom>
        <a:ln w="9525" cap="flat">
          <a:solidFill>
            <a:srgbClr val="315C92"/>
          </a:solidFill>
          <a:prstDash val="sysDot"/>
          <a:round/>
          <a:tailEnd type="oval" w="med" len="med"/>
        </a:ln>
      </xdr:spPr>
    </xdr:cxnSp>
    <xdr:clientData/>
  </xdr:twoCellAnchor>
  <xdr:twoCellAnchor editAs="oneCell">
    <xdr:from>
      <xdr:col>40</xdr:col>
      <xdr:colOff>0</xdr:colOff>
      <xdr:row>111</xdr:row>
      <xdr:rowOff>0</xdr:rowOff>
    </xdr:from>
    <xdr:to>
      <xdr:col>43</xdr:col>
      <xdr:colOff>0</xdr:colOff>
      <xdr:row>113</xdr:row>
      <xdr:rowOff>0</xdr:rowOff>
    </xdr:to>
    <xdr:cxnSp macro="">
      <xdr:nvCxnSpPr>
        <xdr:cNvPr id="521" name="線: 引出線・カギ線（ルートB）">
          <a:extLst>
            <a:ext uri="{FF2B5EF4-FFF2-40B4-BE49-F238E27FC236}">
              <a16:creationId xmlns:a16="http://schemas.microsoft.com/office/drawing/2014/main" id="{452F15DF-F1FD-4BF3-91E5-A57F1C94B48B}"/>
            </a:ext>
          </a:extLst>
        </xdr:cNvPr>
        <xdr:cNvCxnSpPr/>
      </xdr:nvCxnSpPr>
      <xdr:spPr>
        <a:xfrm>
          <a:off x="7620000" y="21145500"/>
          <a:ext cx="571500" cy="381000"/>
        </a:xfrm>
        <a:prstGeom prst="bentConnector3">
          <a:avLst/>
        </a:prstGeom>
        <a:ln w="9525" cap="flat">
          <a:solidFill>
            <a:srgbClr val="247966"/>
          </a:solidFill>
          <a:prstDash val="sysDot"/>
          <a:round/>
          <a:tailEnd type="oval" w="med" len="med"/>
        </a:ln>
      </xdr:spPr>
    </xdr:cxnSp>
    <xdr:clientData/>
  </xdr:twoCellAnchor>
  <xdr:twoCellAnchor editAs="oneCell">
    <xdr:from>
      <xdr:col>51</xdr:col>
      <xdr:colOff>0</xdr:colOff>
      <xdr:row>111</xdr:row>
      <xdr:rowOff>0</xdr:rowOff>
    </xdr:from>
    <xdr:to>
      <xdr:col>54</xdr:col>
      <xdr:colOff>0</xdr:colOff>
      <xdr:row>113</xdr:row>
      <xdr:rowOff>0</xdr:rowOff>
    </xdr:to>
    <xdr:cxnSp macro="">
      <xdr:nvCxnSpPr>
        <xdr:cNvPr id="522" name="線: 引出線・カギ線（ルートC）">
          <a:extLst>
            <a:ext uri="{FF2B5EF4-FFF2-40B4-BE49-F238E27FC236}">
              <a16:creationId xmlns:a16="http://schemas.microsoft.com/office/drawing/2014/main" id="{A53A8D37-5FC9-4BEC-83E9-A6D169626EB7}"/>
            </a:ext>
          </a:extLst>
        </xdr:cNvPr>
        <xdr:cNvCxnSpPr/>
      </xdr:nvCxnSpPr>
      <xdr:spPr>
        <a:xfrm>
          <a:off x="9715500" y="21145500"/>
          <a:ext cx="571500" cy="381000"/>
        </a:xfrm>
        <a:prstGeom prst="bentConnector3">
          <a:avLst/>
        </a:prstGeom>
        <a:ln w="9525" cap="flat">
          <a:solidFill>
            <a:srgbClr val="C46B39"/>
          </a:solidFill>
          <a:prstDash val="sysDot"/>
          <a:round/>
          <a:tailEnd type="oval" w="med" len="med"/>
        </a:ln>
      </xdr:spPr>
    </xdr:cxnSp>
    <xdr:clientData/>
  </xdr:twoCellAnchor>
  <xdr:twoCellAnchor editAs="oneCell">
    <xdr:from>
      <xdr:col>62</xdr:col>
      <xdr:colOff>0</xdr:colOff>
      <xdr:row>111</xdr:row>
      <xdr:rowOff>0</xdr:rowOff>
    </xdr:from>
    <xdr:to>
      <xdr:col>65</xdr:col>
      <xdr:colOff>0</xdr:colOff>
      <xdr:row>113</xdr:row>
      <xdr:rowOff>0</xdr:rowOff>
    </xdr:to>
    <xdr:cxnSp macro="">
      <xdr:nvCxnSpPr>
        <xdr:cNvPr id="523" name="線: 引出線・カギ線（ルートD）">
          <a:extLst>
            <a:ext uri="{FF2B5EF4-FFF2-40B4-BE49-F238E27FC236}">
              <a16:creationId xmlns:a16="http://schemas.microsoft.com/office/drawing/2014/main" id="{8E026792-DEB3-435C-8EA5-BC88FE75FC6F}"/>
            </a:ext>
          </a:extLst>
        </xdr:cNvPr>
        <xdr:cNvCxnSpPr/>
      </xdr:nvCxnSpPr>
      <xdr:spPr>
        <a:xfrm>
          <a:off x="11811000" y="21145500"/>
          <a:ext cx="571500" cy="381000"/>
        </a:xfrm>
        <a:prstGeom prst="bentConnector3">
          <a:avLst/>
        </a:prstGeom>
        <a:ln w="9525" cap="flat">
          <a:solidFill>
            <a:srgbClr val="876BA6"/>
          </a:solidFill>
          <a:prstDash val="sysDot"/>
          <a:round/>
          <a:tailEnd type="oval" w="med" len="med"/>
        </a:ln>
      </xdr:spPr>
    </xdr:cxnSp>
    <xdr:clientData/>
  </xdr:twoCellAnchor>
  <xdr:twoCellAnchor editAs="oneCell">
    <xdr:from>
      <xdr:col>73</xdr:col>
      <xdr:colOff>0</xdr:colOff>
      <xdr:row>111</xdr:row>
      <xdr:rowOff>0</xdr:rowOff>
    </xdr:from>
    <xdr:to>
      <xdr:col>76</xdr:col>
      <xdr:colOff>0</xdr:colOff>
      <xdr:row>113</xdr:row>
      <xdr:rowOff>0</xdr:rowOff>
    </xdr:to>
    <xdr:cxnSp macro="">
      <xdr:nvCxnSpPr>
        <xdr:cNvPr id="524" name="線: 引出線・カギ線（ルートE）">
          <a:extLst>
            <a:ext uri="{FF2B5EF4-FFF2-40B4-BE49-F238E27FC236}">
              <a16:creationId xmlns:a16="http://schemas.microsoft.com/office/drawing/2014/main" id="{E4A58C84-7CD7-40B0-BEC2-8209644D419E}"/>
            </a:ext>
          </a:extLst>
        </xdr:cNvPr>
        <xdr:cNvCxnSpPr/>
      </xdr:nvCxnSpPr>
      <xdr:spPr>
        <a:xfrm>
          <a:off x="13906500" y="21145500"/>
          <a:ext cx="571500" cy="381000"/>
        </a:xfrm>
        <a:prstGeom prst="bentConnector3">
          <a:avLst/>
        </a:prstGeom>
        <a:ln w="9525" cap="flat">
          <a:solidFill>
            <a:srgbClr val="B04B68"/>
          </a:solidFill>
          <a:prstDash val="sysDot"/>
          <a:round/>
          <a:tailEnd type="oval" w="med" len="med"/>
        </a:ln>
      </xdr:spPr>
    </xdr:cxnSp>
    <xdr:clientData/>
  </xdr:twoCellAnchor>
  <xdr:twoCellAnchor editAs="oneCell">
    <xdr:from>
      <xdr:col>84</xdr:col>
      <xdr:colOff>0</xdr:colOff>
      <xdr:row>111</xdr:row>
      <xdr:rowOff>0</xdr:rowOff>
    </xdr:from>
    <xdr:to>
      <xdr:col>87</xdr:col>
      <xdr:colOff>0</xdr:colOff>
      <xdr:row>113</xdr:row>
      <xdr:rowOff>0</xdr:rowOff>
    </xdr:to>
    <xdr:cxnSp macro="">
      <xdr:nvCxnSpPr>
        <xdr:cNvPr id="525" name="線: 引出線・カギ線（ルートF）">
          <a:extLst>
            <a:ext uri="{FF2B5EF4-FFF2-40B4-BE49-F238E27FC236}">
              <a16:creationId xmlns:a16="http://schemas.microsoft.com/office/drawing/2014/main" id="{EDE64811-A38B-4E89-A5DF-B528F18BEA5E}"/>
            </a:ext>
          </a:extLst>
        </xdr:cNvPr>
        <xdr:cNvCxnSpPr/>
      </xdr:nvCxnSpPr>
      <xdr:spPr>
        <a:xfrm>
          <a:off x="16002000" y="21145500"/>
          <a:ext cx="571500" cy="381000"/>
        </a:xfrm>
        <a:prstGeom prst="bentConnector3">
          <a:avLst/>
        </a:prstGeom>
        <a:ln w="9525" cap="flat">
          <a:solidFill>
            <a:srgbClr val="6B651D"/>
          </a:solidFill>
          <a:prstDash val="sysDot"/>
          <a:round/>
          <a:tailEnd type="oval" w="med" len="med"/>
        </a:ln>
      </xdr:spPr>
    </xdr:cxnSp>
    <xdr:clientData/>
  </xdr:twoCellAnchor>
  <xdr:twoCellAnchor editAs="oneCell">
    <xdr:from>
      <xdr:col>11</xdr:col>
      <xdr:colOff>0</xdr:colOff>
      <xdr:row>115</xdr:row>
      <xdr:rowOff>0</xdr:rowOff>
    </xdr:from>
    <xdr:to>
      <xdr:col>17</xdr:col>
      <xdr:colOff>0</xdr:colOff>
      <xdr:row>115</xdr:row>
      <xdr:rowOff>0</xdr:rowOff>
    </xdr:to>
    <xdr:cxnSp macro="">
      <xdr:nvCxnSpPr>
        <xdr:cNvPr id="526" name="線: 既存・対象外（グレー）">
          <a:extLst>
            <a:ext uri="{FF2B5EF4-FFF2-40B4-BE49-F238E27FC236}">
              <a16:creationId xmlns:a16="http://schemas.microsoft.com/office/drawing/2014/main" id="{016B305D-695E-4749-AA28-0D98A141A4A4}"/>
            </a:ext>
          </a:extLst>
        </xdr:cNvPr>
        <xdr:cNvCxnSpPr/>
      </xdr:nvCxnSpPr>
      <xdr:spPr>
        <a:xfrm>
          <a:off x="2095500" y="21907500"/>
          <a:ext cx="1143000" cy="0"/>
        </a:xfrm>
        <a:prstGeom prst="straightConnector1">
          <a:avLst/>
        </a:prstGeom>
        <a:ln w="19050" cap="flat">
          <a:solidFill>
            <a:srgbClr val="7F7F7F"/>
          </a:solidFill>
          <a:round/>
          <a:tailEnd type="triangle" w="med" len="med"/>
        </a:ln>
      </xdr:spPr>
    </xdr:cxnSp>
    <xdr:clientData/>
  </xdr:twoCellAnchor>
  <xdr:twoCellAnchor editAs="oneCell">
    <xdr:from>
      <xdr:col>22</xdr:col>
      <xdr:colOff>0</xdr:colOff>
      <xdr:row>114</xdr:row>
      <xdr:rowOff>0</xdr:rowOff>
    </xdr:from>
    <xdr:to>
      <xdr:col>52</xdr:col>
      <xdr:colOff>0</xdr:colOff>
      <xdr:row>116</xdr:row>
      <xdr:rowOff>0</xdr:rowOff>
    </xdr:to>
    <xdr:sp macro="" textlink="">
      <xdr:nvSpPr>
        <xdr:cNvPr id="527" name="テキスト">
          <a:extLst>
            <a:ext uri="{FF2B5EF4-FFF2-40B4-BE49-F238E27FC236}">
              <a16:creationId xmlns:a16="http://schemas.microsoft.com/office/drawing/2014/main" id="{597FFBAD-DEE8-4A8D-BDAB-9A958A87092A}"/>
            </a:ext>
          </a:extLst>
        </xdr:cNvPr>
        <xdr:cNvSpPr/>
      </xdr:nvSpPr>
      <xdr:spPr>
        <a:xfrm>
          <a:off x="4191000" y="21717000"/>
          <a:ext cx="5715000" cy="3810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595959"/>
              </a:solidFill>
              <a:latin typeface="Meiryo UI"/>
              <a:ea typeface="Meiryo UI"/>
              <a:cs typeface="Meiryo UI"/>
            </a:rPr>
            <a:t>← 既存・対象外の接続はグレー（ルートの色を付けない）</a:t>
          </a:r>
          <a:endParaRPr lang="ja-JP" altLang="en-US" sz="750" dirty="0">
            <a:latin typeface="Meiryo UI"/>
            <a:ea typeface="Meiryo UI"/>
          </a:endParaRPr>
        </a:p>
      </xdr:txBody>
    </xdr:sp>
    <xdr:clientData/>
  </xdr:twoCellAnchor>
  <xdr:twoCellAnchor editAs="oneCell">
    <xdr:from>
      <xdr:col>11</xdr:col>
      <xdr:colOff>0</xdr:colOff>
      <xdr:row>118</xdr:row>
      <xdr:rowOff>0</xdr:rowOff>
    </xdr:from>
    <xdr:to>
      <xdr:col>15</xdr:col>
      <xdr:colOff>0</xdr:colOff>
      <xdr:row>122</xdr:row>
      <xdr:rowOff>0</xdr:rowOff>
    </xdr:to>
    <xdr:sp macro="" textlink="">
      <xdr:nvSpPr>
        <xdr:cNvPr id="528" name="見本: 接続元（共通）">
          <a:extLst>
            <a:ext uri="{FF2B5EF4-FFF2-40B4-BE49-F238E27FC236}">
              <a16:creationId xmlns:a16="http://schemas.microsoft.com/office/drawing/2014/main" id="{BAE7AE47-B4B2-44F0-9BDB-FED97D49091F}"/>
            </a:ext>
          </a:extLst>
        </xdr:cNvPr>
        <xdr:cNvSpPr/>
      </xdr:nvSpPr>
      <xdr:spPr>
        <a:xfrm>
          <a:off x="2095500" y="224790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2700" cap="flat">
          <a:solidFill>
            <a:srgbClr val="404040"/>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接続元</a:t>
          </a:r>
          <a:endParaRPr lang="ja-JP" altLang="en-US" sz="850" dirty="0">
            <a:latin typeface="Meiryo UI"/>
            <a:ea typeface="Meiryo UI"/>
          </a:endParaRPr>
        </a:p>
      </xdr:txBody>
    </xdr:sp>
    <xdr:clientData/>
  </xdr:twoCellAnchor>
  <xdr:twoCellAnchor editAs="oneCell">
    <xdr:from>
      <xdr:col>16</xdr:col>
      <xdr:colOff>0</xdr:colOff>
      <xdr:row>123</xdr:row>
      <xdr:rowOff>0</xdr:rowOff>
    </xdr:from>
    <xdr:to>
      <xdr:col>20</xdr:col>
      <xdr:colOff>0</xdr:colOff>
      <xdr:row>127</xdr:row>
      <xdr:rowOff>0</xdr:rowOff>
    </xdr:to>
    <xdr:sp macro="" textlink="">
      <xdr:nvSpPr>
        <xdr:cNvPr id="529" name="見本: 接続先（共通）">
          <a:extLst>
            <a:ext uri="{FF2B5EF4-FFF2-40B4-BE49-F238E27FC236}">
              <a16:creationId xmlns:a16="http://schemas.microsoft.com/office/drawing/2014/main" id="{0B64D24D-0867-4566-B1E0-F8E3BCAB0CEA}"/>
            </a:ext>
          </a:extLst>
        </xdr:cNvPr>
        <xdr:cNvSpPr/>
      </xdr:nvSpPr>
      <xdr:spPr>
        <a:xfrm>
          <a:off x="3048000" y="234315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12700" cap="flat">
          <a:solidFill>
            <a:srgbClr val="404040"/>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接続先</a:t>
          </a:r>
          <a:endParaRPr lang="ja-JP" altLang="en-US" sz="850" dirty="0">
            <a:latin typeface="Meiryo UI"/>
            <a:ea typeface="Meiryo UI"/>
          </a:endParaRPr>
        </a:p>
      </xdr:txBody>
    </xdr:sp>
    <xdr:clientData/>
  </xdr:twoCellAnchor>
  <xdr:twoCellAnchor editAs="oneCell">
    <xdr:from>
      <xdr:col>15</xdr:col>
      <xdr:colOff>0</xdr:colOff>
      <xdr:row>120</xdr:row>
      <xdr:rowOff>0</xdr:rowOff>
    </xdr:from>
    <xdr:to>
      <xdr:col>18</xdr:col>
      <xdr:colOff>0</xdr:colOff>
      <xdr:row>123</xdr:row>
      <xdr:rowOff>0</xdr:rowOff>
    </xdr:to>
    <xdr:cxnSp macro="">
      <xdr:nvCxnSpPr>
        <xdr:cNvPr id="530" name="見本: カギ線（共通）">
          <a:extLst>
            <a:ext uri="{FF2B5EF4-FFF2-40B4-BE49-F238E27FC236}">
              <a16:creationId xmlns:a16="http://schemas.microsoft.com/office/drawing/2014/main" id="{4F1FA18B-FC67-48C5-9463-21D473184B9F}"/>
            </a:ext>
          </a:extLst>
        </xdr:cNvPr>
        <xdr:cNvCxnSpPr>
          <a:stCxn id="528" idx="6"/>
          <a:endCxn id="529" idx="2"/>
        </xdr:cNvCxnSpPr>
      </xdr:nvCxnSpPr>
      <xdr:spPr>
        <a:xfrm>
          <a:off x="2857500" y="22860000"/>
          <a:ext cx="571500" cy="571500"/>
        </a:xfrm>
        <a:prstGeom prst="bentConnector2">
          <a:avLst/>
        </a:prstGeom>
        <a:ln w="19050" cap="flat">
          <a:solidFill>
            <a:srgbClr val="404040"/>
          </a:solidFill>
          <a:round/>
          <a:tailEnd type="triangle" w="med" len="med"/>
        </a:ln>
      </xdr:spPr>
    </xdr:cxnSp>
    <xdr:clientData/>
  </xdr:twoCellAnchor>
  <xdr:twoCellAnchor editAs="oneCell">
    <xdr:from>
      <xdr:col>22</xdr:col>
      <xdr:colOff>0</xdr:colOff>
      <xdr:row>118</xdr:row>
      <xdr:rowOff>0</xdr:rowOff>
    </xdr:from>
    <xdr:to>
      <xdr:col>26</xdr:col>
      <xdr:colOff>0</xdr:colOff>
      <xdr:row>122</xdr:row>
      <xdr:rowOff>0</xdr:rowOff>
    </xdr:to>
    <xdr:sp macro="" textlink="">
      <xdr:nvSpPr>
        <xdr:cNvPr id="531" name="見本: 接続元（ルートA）">
          <a:extLst>
            <a:ext uri="{FF2B5EF4-FFF2-40B4-BE49-F238E27FC236}">
              <a16:creationId xmlns:a16="http://schemas.microsoft.com/office/drawing/2014/main" id="{5452090B-5333-44A1-8F0F-734F31888CBE}"/>
            </a:ext>
          </a:extLst>
        </xdr:cNvPr>
        <xdr:cNvSpPr/>
      </xdr:nvSpPr>
      <xdr:spPr>
        <a:xfrm>
          <a:off x="4191000" y="224790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E7F1FF"/>
        </a:solidFill>
        <a:ln w="15875" cap="flat">
          <a:solidFill>
            <a:srgbClr val="315C92"/>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接続元</a:t>
          </a:r>
          <a:endParaRPr lang="ja-JP" altLang="en-US" sz="850" dirty="0">
            <a:latin typeface="Meiryo UI"/>
            <a:ea typeface="Meiryo UI"/>
          </a:endParaRPr>
        </a:p>
      </xdr:txBody>
    </xdr:sp>
    <xdr:clientData/>
  </xdr:twoCellAnchor>
  <xdr:twoCellAnchor editAs="oneCell">
    <xdr:from>
      <xdr:col>27</xdr:col>
      <xdr:colOff>0</xdr:colOff>
      <xdr:row>123</xdr:row>
      <xdr:rowOff>0</xdr:rowOff>
    </xdr:from>
    <xdr:to>
      <xdr:col>31</xdr:col>
      <xdr:colOff>0</xdr:colOff>
      <xdr:row>127</xdr:row>
      <xdr:rowOff>0</xdr:rowOff>
    </xdr:to>
    <xdr:sp macro="" textlink="">
      <xdr:nvSpPr>
        <xdr:cNvPr id="532" name="見本: 接続先（ルートA）">
          <a:extLst>
            <a:ext uri="{FF2B5EF4-FFF2-40B4-BE49-F238E27FC236}">
              <a16:creationId xmlns:a16="http://schemas.microsoft.com/office/drawing/2014/main" id="{9F934B11-D59C-475B-B91E-C6AE2939BD71}"/>
            </a:ext>
          </a:extLst>
        </xdr:cNvPr>
        <xdr:cNvSpPr/>
      </xdr:nvSpPr>
      <xdr:spPr>
        <a:xfrm>
          <a:off x="5143500" y="234315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E7F1FF"/>
        </a:solidFill>
        <a:ln w="15875" cap="flat">
          <a:solidFill>
            <a:srgbClr val="315C92"/>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接続先</a:t>
          </a:r>
          <a:endParaRPr lang="ja-JP" altLang="en-US" sz="850" dirty="0">
            <a:latin typeface="Meiryo UI"/>
            <a:ea typeface="Meiryo UI"/>
          </a:endParaRPr>
        </a:p>
      </xdr:txBody>
    </xdr:sp>
    <xdr:clientData/>
  </xdr:twoCellAnchor>
  <xdr:twoCellAnchor editAs="oneCell">
    <xdr:from>
      <xdr:col>26</xdr:col>
      <xdr:colOff>0</xdr:colOff>
      <xdr:row>120</xdr:row>
      <xdr:rowOff>0</xdr:rowOff>
    </xdr:from>
    <xdr:to>
      <xdr:col>29</xdr:col>
      <xdr:colOff>0</xdr:colOff>
      <xdr:row>123</xdr:row>
      <xdr:rowOff>0</xdr:rowOff>
    </xdr:to>
    <xdr:cxnSp macro="">
      <xdr:nvCxnSpPr>
        <xdr:cNvPr id="533" name="見本: カギ線（ルートA）">
          <a:extLst>
            <a:ext uri="{FF2B5EF4-FFF2-40B4-BE49-F238E27FC236}">
              <a16:creationId xmlns:a16="http://schemas.microsoft.com/office/drawing/2014/main" id="{CF4177B9-3589-41E9-9A7C-19D1C5AAA919}"/>
            </a:ext>
          </a:extLst>
        </xdr:cNvPr>
        <xdr:cNvCxnSpPr>
          <a:stCxn id="531" idx="6"/>
          <a:endCxn id="532" idx="2"/>
        </xdr:cNvCxnSpPr>
      </xdr:nvCxnSpPr>
      <xdr:spPr>
        <a:xfrm>
          <a:off x="4953000" y="22860000"/>
          <a:ext cx="571500" cy="571500"/>
        </a:xfrm>
        <a:prstGeom prst="bentConnector2">
          <a:avLst/>
        </a:prstGeom>
        <a:ln w="19050" cap="flat">
          <a:solidFill>
            <a:srgbClr val="315C92"/>
          </a:solidFill>
          <a:round/>
          <a:tailEnd type="triangle" w="med" len="med"/>
        </a:ln>
      </xdr:spPr>
    </xdr:cxnSp>
    <xdr:clientData/>
  </xdr:twoCellAnchor>
  <xdr:twoCellAnchor editAs="oneCell">
    <xdr:from>
      <xdr:col>33</xdr:col>
      <xdr:colOff>0</xdr:colOff>
      <xdr:row>118</xdr:row>
      <xdr:rowOff>0</xdr:rowOff>
    </xdr:from>
    <xdr:to>
      <xdr:col>37</xdr:col>
      <xdr:colOff>0</xdr:colOff>
      <xdr:row>122</xdr:row>
      <xdr:rowOff>0</xdr:rowOff>
    </xdr:to>
    <xdr:sp macro="" textlink="">
      <xdr:nvSpPr>
        <xdr:cNvPr id="534" name="見本: 接続元（ルートB）">
          <a:extLst>
            <a:ext uri="{FF2B5EF4-FFF2-40B4-BE49-F238E27FC236}">
              <a16:creationId xmlns:a16="http://schemas.microsoft.com/office/drawing/2014/main" id="{CFA4B75C-3B3C-4B7F-B154-BE6321EBB87E}"/>
            </a:ext>
          </a:extLst>
        </xdr:cNvPr>
        <xdr:cNvSpPr/>
      </xdr:nvSpPr>
      <xdr:spPr>
        <a:xfrm>
          <a:off x="6286500" y="224790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E3F5EF"/>
        </a:solidFill>
        <a:ln w="15875" cap="flat">
          <a:solidFill>
            <a:srgbClr val="247966"/>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接続元</a:t>
          </a:r>
          <a:endParaRPr lang="ja-JP" altLang="en-US" sz="850" dirty="0">
            <a:latin typeface="Meiryo UI"/>
            <a:ea typeface="Meiryo UI"/>
          </a:endParaRPr>
        </a:p>
      </xdr:txBody>
    </xdr:sp>
    <xdr:clientData/>
  </xdr:twoCellAnchor>
  <xdr:twoCellAnchor editAs="oneCell">
    <xdr:from>
      <xdr:col>38</xdr:col>
      <xdr:colOff>0</xdr:colOff>
      <xdr:row>123</xdr:row>
      <xdr:rowOff>0</xdr:rowOff>
    </xdr:from>
    <xdr:to>
      <xdr:col>42</xdr:col>
      <xdr:colOff>0</xdr:colOff>
      <xdr:row>127</xdr:row>
      <xdr:rowOff>0</xdr:rowOff>
    </xdr:to>
    <xdr:sp macro="" textlink="">
      <xdr:nvSpPr>
        <xdr:cNvPr id="535" name="見本: 接続先（ルートB）">
          <a:extLst>
            <a:ext uri="{FF2B5EF4-FFF2-40B4-BE49-F238E27FC236}">
              <a16:creationId xmlns:a16="http://schemas.microsoft.com/office/drawing/2014/main" id="{95ECA731-EBA2-491C-8F2B-D8B868F760FD}"/>
            </a:ext>
          </a:extLst>
        </xdr:cNvPr>
        <xdr:cNvSpPr/>
      </xdr:nvSpPr>
      <xdr:spPr>
        <a:xfrm>
          <a:off x="7239000" y="234315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E3F5EF"/>
        </a:solidFill>
        <a:ln w="15875" cap="flat">
          <a:solidFill>
            <a:srgbClr val="247966"/>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接続先</a:t>
          </a:r>
          <a:endParaRPr lang="ja-JP" altLang="en-US" sz="850" dirty="0">
            <a:latin typeface="Meiryo UI"/>
            <a:ea typeface="Meiryo UI"/>
          </a:endParaRPr>
        </a:p>
      </xdr:txBody>
    </xdr:sp>
    <xdr:clientData/>
  </xdr:twoCellAnchor>
  <xdr:twoCellAnchor editAs="oneCell">
    <xdr:from>
      <xdr:col>37</xdr:col>
      <xdr:colOff>0</xdr:colOff>
      <xdr:row>120</xdr:row>
      <xdr:rowOff>0</xdr:rowOff>
    </xdr:from>
    <xdr:to>
      <xdr:col>40</xdr:col>
      <xdr:colOff>0</xdr:colOff>
      <xdr:row>123</xdr:row>
      <xdr:rowOff>0</xdr:rowOff>
    </xdr:to>
    <xdr:cxnSp macro="">
      <xdr:nvCxnSpPr>
        <xdr:cNvPr id="536" name="見本: カギ線（ルートB）">
          <a:extLst>
            <a:ext uri="{FF2B5EF4-FFF2-40B4-BE49-F238E27FC236}">
              <a16:creationId xmlns:a16="http://schemas.microsoft.com/office/drawing/2014/main" id="{E45783FC-EC4A-4BAA-AB4A-BC7003C003CE}"/>
            </a:ext>
          </a:extLst>
        </xdr:cNvPr>
        <xdr:cNvCxnSpPr>
          <a:stCxn id="534" idx="6"/>
          <a:endCxn id="535" idx="2"/>
        </xdr:cNvCxnSpPr>
      </xdr:nvCxnSpPr>
      <xdr:spPr>
        <a:xfrm>
          <a:off x="7048500" y="22860000"/>
          <a:ext cx="571500" cy="571500"/>
        </a:xfrm>
        <a:prstGeom prst="bentConnector2">
          <a:avLst/>
        </a:prstGeom>
        <a:ln w="19050" cap="flat">
          <a:solidFill>
            <a:srgbClr val="247966"/>
          </a:solidFill>
          <a:round/>
          <a:tailEnd type="triangle" w="med" len="med"/>
        </a:ln>
      </xdr:spPr>
    </xdr:cxnSp>
    <xdr:clientData/>
  </xdr:twoCellAnchor>
  <xdr:twoCellAnchor editAs="oneCell">
    <xdr:from>
      <xdr:col>44</xdr:col>
      <xdr:colOff>0</xdr:colOff>
      <xdr:row>118</xdr:row>
      <xdr:rowOff>0</xdr:rowOff>
    </xdr:from>
    <xdr:to>
      <xdr:col>48</xdr:col>
      <xdr:colOff>0</xdr:colOff>
      <xdr:row>122</xdr:row>
      <xdr:rowOff>0</xdr:rowOff>
    </xdr:to>
    <xdr:sp macro="" textlink="">
      <xdr:nvSpPr>
        <xdr:cNvPr id="537" name="見本: 接続元（ルートC）">
          <a:extLst>
            <a:ext uri="{FF2B5EF4-FFF2-40B4-BE49-F238E27FC236}">
              <a16:creationId xmlns:a16="http://schemas.microsoft.com/office/drawing/2014/main" id="{96CC2708-80A2-4D25-A152-EA18C45927D3}"/>
            </a:ext>
          </a:extLst>
        </xdr:cNvPr>
        <xdr:cNvSpPr/>
      </xdr:nvSpPr>
      <xdr:spPr>
        <a:xfrm>
          <a:off x="8382000" y="224790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DECE4"/>
        </a:solidFill>
        <a:ln w="15875" cap="flat">
          <a:solidFill>
            <a:srgbClr val="C46B39"/>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接続元</a:t>
          </a:r>
          <a:endParaRPr lang="ja-JP" altLang="en-US" sz="850" dirty="0">
            <a:latin typeface="Meiryo UI"/>
            <a:ea typeface="Meiryo UI"/>
          </a:endParaRPr>
        </a:p>
      </xdr:txBody>
    </xdr:sp>
    <xdr:clientData/>
  </xdr:twoCellAnchor>
  <xdr:twoCellAnchor editAs="oneCell">
    <xdr:from>
      <xdr:col>49</xdr:col>
      <xdr:colOff>0</xdr:colOff>
      <xdr:row>123</xdr:row>
      <xdr:rowOff>0</xdr:rowOff>
    </xdr:from>
    <xdr:to>
      <xdr:col>53</xdr:col>
      <xdr:colOff>0</xdr:colOff>
      <xdr:row>127</xdr:row>
      <xdr:rowOff>0</xdr:rowOff>
    </xdr:to>
    <xdr:sp macro="" textlink="">
      <xdr:nvSpPr>
        <xdr:cNvPr id="538" name="見本: 接続先（ルートC）">
          <a:extLst>
            <a:ext uri="{FF2B5EF4-FFF2-40B4-BE49-F238E27FC236}">
              <a16:creationId xmlns:a16="http://schemas.microsoft.com/office/drawing/2014/main" id="{F1CE9D61-B5A6-4FAD-908C-BC5617E154AF}"/>
            </a:ext>
          </a:extLst>
        </xdr:cNvPr>
        <xdr:cNvSpPr/>
      </xdr:nvSpPr>
      <xdr:spPr>
        <a:xfrm>
          <a:off x="9334500" y="234315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DECE4"/>
        </a:solidFill>
        <a:ln w="15875" cap="flat">
          <a:solidFill>
            <a:srgbClr val="C46B39"/>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接続先</a:t>
          </a:r>
          <a:endParaRPr lang="ja-JP" altLang="en-US" sz="850" dirty="0">
            <a:latin typeface="Meiryo UI"/>
            <a:ea typeface="Meiryo UI"/>
          </a:endParaRPr>
        </a:p>
      </xdr:txBody>
    </xdr:sp>
    <xdr:clientData/>
  </xdr:twoCellAnchor>
  <xdr:twoCellAnchor editAs="oneCell">
    <xdr:from>
      <xdr:col>48</xdr:col>
      <xdr:colOff>0</xdr:colOff>
      <xdr:row>120</xdr:row>
      <xdr:rowOff>0</xdr:rowOff>
    </xdr:from>
    <xdr:to>
      <xdr:col>51</xdr:col>
      <xdr:colOff>0</xdr:colOff>
      <xdr:row>123</xdr:row>
      <xdr:rowOff>0</xdr:rowOff>
    </xdr:to>
    <xdr:cxnSp macro="">
      <xdr:nvCxnSpPr>
        <xdr:cNvPr id="539" name="見本: カギ線（ルートC）">
          <a:extLst>
            <a:ext uri="{FF2B5EF4-FFF2-40B4-BE49-F238E27FC236}">
              <a16:creationId xmlns:a16="http://schemas.microsoft.com/office/drawing/2014/main" id="{75A5FF05-9D2F-4C72-B2AC-1D21EC070889}"/>
            </a:ext>
          </a:extLst>
        </xdr:cNvPr>
        <xdr:cNvCxnSpPr>
          <a:stCxn id="537" idx="6"/>
          <a:endCxn id="538" idx="2"/>
        </xdr:cNvCxnSpPr>
      </xdr:nvCxnSpPr>
      <xdr:spPr>
        <a:xfrm>
          <a:off x="9144000" y="22860000"/>
          <a:ext cx="571500" cy="571500"/>
        </a:xfrm>
        <a:prstGeom prst="bentConnector2">
          <a:avLst/>
        </a:prstGeom>
        <a:ln w="19050" cap="flat">
          <a:solidFill>
            <a:srgbClr val="C46B39"/>
          </a:solidFill>
          <a:round/>
          <a:tailEnd type="triangle" w="med" len="med"/>
        </a:ln>
      </xdr:spPr>
    </xdr:cxnSp>
    <xdr:clientData/>
  </xdr:twoCellAnchor>
  <xdr:twoCellAnchor editAs="oneCell">
    <xdr:from>
      <xdr:col>55</xdr:col>
      <xdr:colOff>0</xdr:colOff>
      <xdr:row>118</xdr:row>
      <xdr:rowOff>0</xdr:rowOff>
    </xdr:from>
    <xdr:to>
      <xdr:col>59</xdr:col>
      <xdr:colOff>0</xdr:colOff>
      <xdr:row>122</xdr:row>
      <xdr:rowOff>0</xdr:rowOff>
    </xdr:to>
    <xdr:sp macro="" textlink="">
      <xdr:nvSpPr>
        <xdr:cNvPr id="540" name="見本: 接続元（ルートD）">
          <a:extLst>
            <a:ext uri="{FF2B5EF4-FFF2-40B4-BE49-F238E27FC236}">
              <a16:creationId xmlns:a16="http://schemas.microsoft.com/office/drawing/2014/main" id="{D71B874E-671E-4BBF-AC9E-D317FFF3F62F}"/>
            </a:ext>
          </a:extLst>
        </xdr:cNvPr>
        <xdr:cNvSpPr/>
      </xdr:nvSpPr>
      <xdr:spPr>
        <a:xfrm>
          <a:off x="10477500" y="224790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5EEFC"/>
        </a:solidFill>
        <a:ln w="15875" cap="flat">
          <a:solidFill>
            <a:srgbClr val="876BA6"/>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接続元</a:t>
          </a:r>
          <a:endParaRPr lang="ja-JP" altLang="en-US" sz="850" dirty="0">
            <a:latin typeface="Meiryo UI"/>
            <a:ea typeface="Meiryo UI"/>
          </a:endParaRPr>
        </a:p>
      </xdr:txBody>
    </xdr:sp>
    <xdr:clientData/>
  </xdr:twoCellAnchor>
  <xdr:twoCellAnchor editAs="oneCell">
    <xdr:from>
      <xdr:col>60</xdr:col>
      <xdr:colOff>0</xdr:colOff>
      <xdr:row>123</xdr:row>
      <xdr:rowOff>0</xdr:rowOff>
    </xdr:from>
    <xdr:to>
      <xdr:col>64</xdr:col>
      <xdr:colOff>0</xdr:colOff>
      <xdr:row>127</xdr:row>
      <xdr:rowOff>0</xdr:rowOff>
    </xdr:to>
    <xdr:sp macro="" textlink="">
      <xdr:nvSpPr>
        <xdr:cNvPr id="541" name="見本: 接続先（ルートD）">
          <a:extLst>
            <a:ext uri="{FF2B5EF4-FFF2-40B4-BE49-F238E27FC236}">
              <a16:creationId xmlns:a16="http://schemas.microsoft.com/office/drawing/2014/main" id="{E71E84F4-AC0C-49B5-BC5F-369CB27960B4}"/>
            </a:ext>
          </a:extLst>
        </xdr:cNvPr>
        <xdr:cNvSpPr/>
      </xdr:nvSpPr>
      <xdr:spPr>
        <a:xfrm>
          <a:off x="11430000" y="234315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5EEFC"/>
        </a:solidFill>
        <a:ln w="15875" cap="flat">
          <a:solidFill>
            <a:srgbClr val="876BA6"/>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接続先</a:t>
          </a:r>
          <a:endParaRPr lang="ja-JP" altLang="en-US" sz="850" dirty="0">
            <a:latin typeface="Meiryo UI"/>
            <a:ea typeface="Meiryo UI"/>
          </a:endParaRPr>
        </a:p>
      </xdr:txBody>
    </xdr:sp>
    <xdr:clientData/>
  </xdr:twoCellAnchor>
  <xdr:twoCellAnchor editAs="oneCell">
    <xdr:from>
      <xdr:col>59</xdr:col>
      <xdr:colOff>0</xdr:colOff>
      <xdr:row>120</xdr:row>
      <xdr:rowOff>0</xdr:rowOff>
    </xdr:from>
    <xdr:to>
      <xdr:col>62</xdr:col>
      <xdr:colOff>0</xdr:colOff>
      <xdr:row>123</xdr:row>
      <xdr:rowOff>0</xdr:rowOff>
    </xdr:to>
    <xdr:cxnSp macro="">
      <xdr:nvCxnSpPr>
        <xdr:cNvPr id="542" name="見本: カギ線（ルートD）">
          <a:extLst>
            <a:ext uri="{FF2B5EF4-FFF2-40B4-BE49-F238E27FC236}">
              <a16:creationId xmlns:a16="http://schemas.microsoft.com/office/drawing/2014/main" id="{A0E11C11-CF8A-4430-B0A5-9328BE805DA8}"/>
            </a:ext>
          </a:extLst>
        </xdr:cNvPr>
        <xdr:cNvCxnSpPr>
          <a:stCxn id="540" idx="6"/>
          <a:endCxn id="541" idx="2"/>
        </xdr:cNvCxnSpPr>
      </xdr:nvCxnSpPr>
      <xdr:spPr>
        <a:xfrm>
          <a:off x="11239500" y="22860000"/>
          <a:ext cx="571500" cy="571500"/>
        </a:xfrm>
        <a:prstGeom prst="bentConnector2">
          <a:avLst/>
        </a:prstGeom>
        <a:ln w="19050" cap="flat">
          <a:solidFill>
            <a:srgbClr val="876BA6"/>
          </a:solidFill>
          <a:round/>
          <a:tailEnd type="triangle" w="med" len="med"/>
        </a:ln>
      </xdr:spPr>
    </xdr:cxnSp>
    <xdr:clientData/>
  </xdr:twoCellAnchor>
  <xdr:twoCellAnchor editAs="oneCell">
    <xdr:from>
      <xdr:col>66</xdr:col>
      <xdr:colOff>0</xdr:colOff>
      <xdr:row>118</xdr:row>
      <xdr:rowOff>0</xdr:rowOff>
    </xdr:from>
    <xdr:to>
      <xdr:col>70</xdr:col>
      <xdr:colOff>0</xdr:colOff>
      <xdr:row>122</xdr:row>
      <xdr:rowOff>0</xdr:rowOff>
    </xdr:to>
    <xdr:sp macro="" textlink="">
      <xdr:nvSpPr>
        <xdr:cNvPr id="543" name="見本: 接続元（ルートE）">
          <a:extLst>
            <a:ext uri="{FF2B5EF4-FFF2-40B4-BE49-F238E27FC236}">
              <a16:creationId xmlns:a16="http://schemas.microsoft.com/office/drawing/2014/main" id="{AF65EA24-F708-47EB-9BB0-D571CEFC1065}"/>
            </a:ext>
          </a:extLst>
        </xdr:cNvPr>
        <xdr:cNvSpPr/>
      </xdr:nvSpPr>
      <xdr:spPr>
        <a:xfrm>
          <a:off x="12573000" y="224790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ECF0"/>
        </a:solidFill>
        <a:ln w="15875" cap="flat">
          <a:solidFill>
            <a:srgbClr val="B04B68"/>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接続元</a:t>
          </a:r>
          <a:endParaRPr lang="ja-JP" altLang="en-US" sz="850" dirty="0">
            <a:latin typeface="Meiryo UI"/>
            <a:ea typeface="Meiryo UI"/>
          </a:endParaRPr>
        </a:p>
      </xdr:txBody>
    </xdr:sp>
    <xdr:clientData/>
  </xdr:twoCellAnchor>
  <xdr:twoCellAnchor editAs="oneCell">
    <xdr:from>
      <xdr:col>71</xdr:col>
      <xdr:colOff>0</xdr:colOff>
      <xdr:row>123</xdr:row>
      <xdr:rowOff>0</xdr:rowOff>
    </xdr:from>
    <xdr:to>
      <xdr:col>75</xdr:col>
      <xdr:colOff>0</xdr:colOff>
      <xdr:row>127</xdr:row>
      <xdr:rowOff>0</xdr:rowOff>
    </xdr:to>
    <xdr:sp macro="" textlink="">
      <xdr:nvSpPr>
        <xdr:cNvPr id="544" name="見本: 接続先（ルートE）">
          <a:extLst>
            <a:ext uri="{FF2B5EF4-FFF2-40B4-BE49-F238E27FC236}">
              <a16:creationId xmlns:a16="http://schemas.microsoft.com/office/drawing/2014/main" id="{31E01D7F-4C73-4CF3-911C-BAD5691339D6}"/>
            </a:ext>
          </a:extLst>
        </xdr:cNvPr>
        <xdr:cNvSpPr/>
      </xdr:nvSpPr>
      <xdr:spPr>
        <a:xfrm>
          <a:off x="13525500" y="234315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ECF0"/>
        </a:solidFill>
        <a:ln w="15875" cap="flat">
          <a:solidFill>
            <a:srgbClr val="B04B68"/>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接続先</a:t>
          </a:r>
          <a:endParaRPr lang="ja-JP" altLang="en-US" sz="850" dirty="0">
            <a:latin typeface="Meiryo UI"/>
            <a:ea typeface="Meiryo UI"/>
          </a:endParaRPr>
        </a:p>
      </xdr:txBody>
    </xdr:sp>
    <xdr:clientData/>
  </xdr:twoCellAnchor>
  <xdr:twoCellAnchor editAs="oneCell">
    <xdr:from>
      <xdr:col>70</xdr:col>
      <xdr:colOff>0</xdr:colOff>
      <xdr:row>120</xdr:row>
      <xdr:rowOff>0</xdr:rowOff>
    </xdr:from>
    <xdr:to>
      <xdr:col>73</xdr:col>
      <xdr:colOff>0</xdr:colOff>
      <xdr:row>123</xdr:row>
      <xdr:rowOff>0</xdr:rowOff>
    </xdr:to>
    <xdr:cxnSp macro="">
      <xdr:nvCxnSpPr>
        <xdr:cNvPr id="545" name="見本: カギ線（ルートE）">
          <a:extLst>
            <a:ext uri="{FF2B5EF4-FFF2-40B4-BE49-F238E27FC236}">
              <a16:creationId xmlns:a16="http://schemas.microsoft.com/office/drawing/2014/main" id="{A50F1B9B-9473-4EE6-BD48-5AACF6A8BE7C}"/>
            </a:ext>
          </a:extLst>
        </xdr:cNvPr>
        <xdr:cNvCxnSpPr>
          <a:stCxn id="543" idx="6"/>
          <a:endCxn id="544" idx="2"/>
        </xdr:cNvCxnSpPr>
      </xdr:nvCxnSpPr>
      <xdr:spPr>
        <a:xfrm>
          <a:off x="13335000" y="22860000"/>
          <a:ext cx="571500" cy="571500"/>
        </a:xfrm>
        <a:prstGeom prst="bentConnector2">
          <a:avLst/>
        </a:prstGeom>
        <a:ln w="19050" cap="flat">
          <a:solidFill>
            <a:srgbClr val="B04B68"/>
          </a:solidFill>
          <a:round/>
          <a:tailEnd type="triangle" w="med" len="med"/>
        </a:ln>
      </xdr:spPr>
    </xdr:cxnSp>
    <xdr:clientData/>
  </xdr:twoCellAnchor>
  <xdr:twoCellAnchor editAs="oneCell">
    <xdr:from>
      <xdr:col>77</xdr:col>
      <xdr:colOff>0</xdr:colOff>
      <xdr:row>118</xdr:row>
      <xdr:rowOff>0</xdr:rowOff>
    </xdr:from>
    <xdr:to>
      <xdr:col>81</xdr:col>
      <xdr:colOff>0</xdr:colOff>
      <xdr:row>122</xdr:row>
      <xdr:rowOff>0</xdr:rowOff>
    </xdr:to>
    <xdr:sp macro="" textlink="">
      <xdr:nvSpPr>
        <xdr:cNvPr id="546" name="見本: 接続元（ルートF）">
          <a:extLst>
            <a:ext uri="{FF2B5EF4-FFF2-40B4-BE49-F238E27FC236}">
              <a16:creationId xmlns:a16="http://schemas.microsoft.com/office/drawing/2014/main" id="{46A8B8EB-FA1C-44BA-B119-6641B1E0D97C}"/>
            </a:ext>
          </a:extLst>
        </xdr:cNvPr>
        <xdr:cNvSpPr/>
      </xdr:nvSpPr>
      <xdr:spPr>
        <a:xfrm>
          <a:off x="14668500" y="224790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4F1E2"/>
        </a:solidFill>
        <a:ln w="15875" cap="flat">
          <a:solidFill>
            <a:srgbClr val="6B651D"/>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接続元</a:t>
          </a:r>
          <a:endParaRPr lang="ja-JP" altLang="en-US" sz="850" dirty="0">
            <a:latin typeface="Meiryo UI"/>
            <a:ea typeface="Meiryo UI"/>
          </a:endParaRPr>
        </a:p>
      </xdr:txBody>
    </xdr:sp>
    <xdr:clientData/>
  </xdr:twoCellAnchor>
  <xdr:twoCellAnchor editAs="oneCell">
    <xdr:from>
      <xdr:col>82</xdr:col>
      <xdr:colOff>0</xdr:colOff>
      <xdr:row>123</xdr:row>
      <xdr:rowOff>0</xdr:rowOff>
    </xdr:from>
    <xdr:to>
      <xdr:col>86</xdr:col>
      <xdr:colOff>0</xdr:colOff>
      <xdr:row>127</xdr:row>
      <xdr:rowOff>0</xdr:rowOff>
    </xdr:to>
    <xdr:sp macro="" textlink="">
      <xdr:nvSpPr>
        <xdr:cNvPr id="547" name="見本: 接続先（ルートF）">
          <a:extLst>
            <a:ext uri="{FF2B5EF4-FFF2-40B4-BE49-F238E27FC236}">
              <a16:creationId xmlns:a16="http://schemas.microsoft.com/office/drawing/2014/main" id="{833EFA33-AEC9-4A92-AC8A-5715BA15BB39}"/>
            </a:ext>
          </a:extLst>
        </xdr:cNvPr>
        <xdr:cNvSpPr/>
      </xdr:nvSpPr>
      <xdr:spPr>
        <a:xfrm>
          <a:off x="15621000" y="23431500"/>
          <a:ext cx="762000" cy="762000"/>
        </a:xfrm>
        <a:custGeom>
          <a:avLst/>
          <a:gdLst>
            <a:gd name="x1" fmla="*/ w 1 4"/>
            <a:gd name="x2" fmla="*/ w 1 2"/>
            <a:gd name="x3" fmla="*/ w 3 4"/>
            <a:gd name="y1" fmla="*/ h 1 4"/>
            <a:gd name="y2" fmla="*/ h 1 2"/>
            <a:gd name="y3" fmla="*/ h 3 4"/>
            <a:gd name="smin" fmla="min w h"/>
            <a:gd name="hm" fmla="*/ smin 1 2"/>
            <a:gd name="rd" fmla="min 635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4F1E2"/>
        </a:solidFill>
        <a:ln w="15875" cap="flat">
          <a:solidFill>
            <a:srgbClr val="6B651D"/>
          </a:solidFill>
          <a:round/>
        </a:ln>
      </xdr:spPr>
      <xdr:txBody>
        <a:bodyPr vertOverflow="overflow" horzOverflow="overflow" wrap="square" lIns="38100" tIns="19050" rIns="38100" bIns="19050" rtlCol="0" anchor="ctr">
          <a:noAutofit/>
        </a:bodyPr>
        <a:lstStyle/>
        <a:p>
          <a:pPr algn="ctr">
            <a:lnSpc>
              <a:spcPct val="95000"/>
            </a:lnSpc>
          </a:pPr>
          <a:r>
            <a:rPr lang="ja-JP" altLang="en-US" sz="850" b="1" dirty="0">
              <a:solidFill>
                <a:srgbClr val="262626"/>
              </a:solidFill>
              <a:latin typeface="Meiryo UI"/>
              <a:ea typeface="Meiryo UI"/>
              <a:cs typeface="Meiryo UI"/>
            </a:rPr>
            <a:t>接続先</a:t>
          </a:r>
          <a:endParaRPr lang="ja-JP" altLang="en-US" sz="850" dirty="0">
            <a:latin typeface="Meiryo UI"/>
            <a:ea typeface="Meiryo UI"/>
          </a:endParaRPr>
        </a:p>
      </xdr:txBody>
    </xdr:sp>
    <xdr:clientData/>
  </xdr:twoCellAnchor>
  <xdr:twoCellAnchor editAs="oneCell">
    <xdr:from>
      <xdr:col>81</xdr:col>
      <xdr:colOff>0</xdr:colOff>
      <xdr:row>120</xdr:row>
      <xdr:rowOff>0</xdr:rowOff>
    </xdr:from>
    <xdr:to>
      <xdr:col>84</xdr:col>
      <xdr:colOff>0</xdr:colOff>
      <xdr:row>123</xdr:row>
      <xdr:rowOff>0</xdr:rowOff>
    </xdr:to>
    <xdr:cxnSp macro="">
      <xdr:nvCxnSpPr>
        <xdr:cNvPr id="548" name="見本: カギ線（ルートF）">
          <a:extLst>
            <a:ext uri="{FF2B5EF4-FFF2-40B4-BE49-F238E27FC236}">
              <a16:creationId xmlns:a16="http://schemas.microsoft.com/office/drawing/2014/main" id="{858A784B-5BE3-455C-B87E-008490B38FC2}"/>
            </a:ext>
          </a:extLst>
        </xdr:cNvPr>
        <xdr:cNvCxnSpPr>
          <a:stCxn id="546" idx="6"/>
          <a:endCxn id="547" idx="2"/>
        </xdr:cNvCxnSpPr>
      </xdr:nvCxnSpPr>
      <xdr:spPr>
        <a:xfrm>
          <a:off x="15430500" y="22860000"/>
          <a:ext cx="571500" cy="571500"/>
        </a:xfrm>
        <a:prstGeom prst="bentConnector2">
          <a:avLst/>
        </a:prstGeom>
        <a:ln w="19050" cap="flat">
          <a:solidFill>
            <a:srgbClr val="6B651D"/>
          </a:solidFill>
          <a:round/>
          <a:tailEnd type="triangle" w="med" len="med"/>
        </a:ln>
      </xdr:spPr>
    </xdr:cxnSp>
    <xdr:clientData/>
  </xdr:twoCellAnchor>
  <xdr:twoCellAnchor editAs="oneCell">
    <xdr:from>
      <xdr:col>11</xdr:col>
      <xdr:colOff>0</xdr:colOff>
      <xdr:row>134</xdr:row>
      <xdr:rowOff>0</xdr:rowOff>
    </xdr:from>
    <xdr:to>
      <xdr:col>19</xdr:col>
      <xdr:colOff>0</xdr:colOff>
      <xdr:row>138</xdr:row>
      <xdr:rowOff>0</xdr:rowOff>
    </xdr:to>
    <xdr:grpSp>
      <xdr:nvGrpSpPr>
        <xdr:cNvPr id="549" name="コメント: ポイント（共通）">
          <a:extLst>
            <a:ext uri="{FF2B5EF4-FFF2-40B4-BE49-F238E27FC236}">
              <a16:creationId xmlns:a16="http://schemas.microsoft.com/office/drawing/2014/main" id="{F6BD4EEE-EA99-4340-9BDD-FCE1EDDF49F5}"/>
            </a:ext>
          </a:extLst>
        </xdr:cNvPr>
        <xdr:cNvGrpSpPr/>
      </xdr:nvGrpSpPr>
      <xdr:grpSpPr>
        <a:xfrm>
          <a:off x="2095500" y="25527000"/>
          <a:ext cx="1524000" cy="762000"/>
          <a:chOff x="2095500" y="25527000"/>
          <a:chExt cx="1524000" cy="762000"/>
        </a:xfrm>
      </xdr:grpSpPr>
      <xdr:sp macro="" textlink="">
        <xdr:nvSpPr>
          <xdr:cNvPr id="550" name="本文">
            <a:extLst>
              <a:ext uri="{FF2B5EF4-FFF2-40B4-BE49-F238E27FC236}">
                <a16:creationId xmlns:a16="http://schemas.microsoft.com/office/drawing/2014/main" id="{8A0FBFBF-8ABF-4F12-8AEF-0C62672A807A}"/>
              </a:ext>
            </a:extLst>
          </xdr:cNvPr>
          <xdr:cNvSpPr/>
        </xdr:nvSpPr>
        <xdr:spPr>
          <a:xfrm>
            <a:off x="2095500" y="25527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7F7F7"/>
          </a:solidFill>
          <a:ln w="9525" cap="flat">
            <a:solidFill>
              <a:srgbClr val="D9D9D9"/>
            </a:solidFill>
            <a:round/>
          </a:ln>
        </xdr:spPr>
        <xdr:txBody>
          <a:bodyPr vertOverflow="overflow" horzOverflow="overflow" wrap="square" lIns="76200" tIns="228600" rIns="76200" bIns="38100" rtlCol="0" anchor="t">
            <a:noAutofit/>
          </a:bodyPr>
          <a:lstStyle/>
          <a:p>
            <a:pPr algn="l">
              <a:lnSpc>
                <a:spcPct val="100000"/>
              </a:lnSpc>
            </a:pPr>
            <a:r>
              <a:rPr lang="ja-JP" altLang="en-US" sz="800" b="0" dirty="0">
                <a:solidFill>
                  <a:srgbClr val="404040"/>
                </a:solidFill>
                <a:latin typeface="Meiryo UI"/>
                <a:ea typeface="Meiryo UI"/>
                <a:cs typeface="Meiryo UI"/>
              </a:rPr>
              <a:t>ポイントを記入</a:t>
            </a:r>
            <a:endParaRPr lang="ja-JP" altLang="en-US" sz="800" dirty="0">
              <a:latin typeface="Meiryo UI"/>
              <a:ea typeface="Meiryo UI"/>
            </a:endParaRPr>
          </a:p>
          <a:p>
            <a:pPr algn="l">
              <a:lnSpc>
                <a:spcPct val="100000"/>
              </a:lnSpc>
              <a:spcBef>
                <a:spcPts val="100"/>
              </a:spcBef>
            </a:pPr>
            <a:r>
              <a:rPr lang="ja-JP" altLang="en-US" sz="800" b="0" dirty="0">
                <a:solidFill>
                  <a:srgbClr val="404040"/>
                </a:solidFill>
                <a:latin typeface="Meiryo UI"/>
                <a:ea typeface="Meiryo UI"/>
                <a:cs typeface="Meiryo UI"/>
              </a:rPr>
              <a:t>重要な設計判断・注意点</a:t>
            </a:r>
            <a:endParaRPr lang="ja-JP" altLang="en-US" sz="800" dirty="0">
              <a:latin typeface="Meiryo UI"/>
              <a:ea typeface="Meiryo UI"/>
            </a:endParaRPr>
          </a:p>
        </xdr:txBody>
      </xdr:sp>
      <xdr:sp macro="" textlink="">
        <xdr:nvSpPr>
          <xdr:cNvPr id="551" name="見出し">
            <a:extLst>
              <a:ext uri="{FF2B5EF4-FFF2-40B4-BE49-F238E27FC236}">
                <a16:creationId xmlns:a16="http://schemas.microsoft.com/office/drawing/2014/main" id="{E14794B8-B413-4FA6-ADCD-3EE21F5DFD3D}"/>
              </a:ext>
            </a:extLst>
          </xdr:cNvPr>
          <xdr:cNvSpPr/>
        </xdr:nvSpPr>
        <xdr:spPr>
          <a:xfrm>
            <a:off x="2095500" y="25527000"/>
            <a:ext cx="1524000" cy="190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404040"/>
          </a:solidFill>
          <a:ln w="9525" cap="flat">
            <a:solidFill>
              <a:srgbClr val="404040"/>
            </a:solidFill>
            <a:round/>
          </a:ln>
        </xdr:spPr>
        <xdr:txBody>
          <a:bodyPr vertOverflow="overflow" horzOverflow="overflow" wrap="none" lIns="76200" tIns="0" rIns="76200" bIns="0" rtlCol="0" anchor="ctr">
            <a:noAutofit/>
          </a:bodyPr>
          <a:lstStyle/>
          <a:p>
            <a:pPr algn="l"/>
            <a:r>
              <a:rPr lang="ja-JP" altLang="en-US" sz="750" b="1" dirty="0">
                <a:solidFill>
                  <a:srgbClr val="FFFFFF"/>
                </a:solidFill>
                <a:latin typeface="Meiryo UI"/>
                <a:ea typeface="Meiryo UI"/>
                <a:cs typeface="Meiryo UI"/>
              </a:rPr>
              <a:t>POINT</a:t>
            </a:r>
            <a:r>
              <a:rPr lang="ja-JP" altLang="en-US" sz="800" b="1" dirty="0">
                <a:solidFill>
                  <a:srgbClr val="FFFFFF"/>
                </a:solidFill>
                <a:latin typeface="Meiryo UI"/>
                <a:ea typeface="Meiryo UI"/>
                <a:cs typeface="Meiryo UI"/>
              </a:rPr>
              <a:t>　見出し</a:t>
            </a:r>
            <a:endParaRPr lang="ja-JP" altLang="en-US" sz="800" dirty="0">
              <a:latin typeface="Meiryo UI"/>
              <a:ea typeface="Meiryo UI"/>
            </a:endParaRPr>
          </a:p>
        </xdr:txBody>
      </xdr:sp>
    </xdr:grpSp>
    <xdr:clientData/>
  </xdr:twoCellAnchor>
  <xdr:twoCellAnchor editAs="oneCell">
    <xdr:from>
      <xdr:col>22</xdr:col>
      <xdr:colOff>0</xdr:colOff>
      <xdr:row>134</xdr:row>
      <xdr:rowOff>0</xdr:rowOff>
    </xdr:from>
    <xdr:to>
      <xdr:col>30</xdr:col>
      <xdr:colOff>0</xdr:colOff>
      <xdr:row>138</xdr:row>
      <xdr:rowOff>0</xdr:rowOff>
    </xdr:to>
    <xdr:grpSp>
      <xdr:nvGrpSpPr>
        <xdr:cNvPr id="552" name="コメント: ポイント（ルートA）">
          <a:extLst>
            <a:ext uri="{FF2B5EF4-FFF2-40B4-BE49-F238E27FC236}">
              <a16:creationId xmlns:a16="http://schemas.microsoft.com/office/drawing/2014/main" id="{4D8AFA8A-7227-479C-B4B9-25C95F326239}"/>
            </a:ext>
          </a:extLst>
        </xdr:cNvPr>
        <xdr:cNvGrpSpPr/>
      </xdr:nvGrpSpPr>
      <xdr:grpSpPr>
        <a:xfrm>
          <a:off x="4191000" y="25527000"/>
          <a:ext cx="1524000" cy="762000"/>
          <a:chOff x="4191000" y="25527000"/>
          <a:chExt cx="1524000" cy="762000"/>
        </a:xfrm>
      </xdr:grpSpPr>
      <xdr:sp macro="" textlink="">
        <xdr:nvSpPr>
          <xdr:cNvPr id="553" name="本文">
            <a:extLst>
              <a:ext uri="{FF2B5EF4-FFF2-40B4-BE49-F238E27FC236}">
                <a16:creationId xmlns:a16="http://schemas.microsoft.com/office/drawing/2014/main" id="{093FBBC1-C3A8-4AAE-8BA8-C794D876AA4A}"/>
              </a:ext>
            </a:extLst>
          </xdr:cNvPr>
          <xdr:cNvSpPr/>
        </xdr:nvSpPr>
        <xdr:spPr>
          <a:xfrm>
            <a:off x="4191000" y="25527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3F8FF"/>
          </a:solidFill>
          <a:ln w="9525" cap="flat">
            <a:solidFill>
              <a:srgbClr val="BCD3F2"/>
            </a:solidFill>
            <a:round/>
          </a:ln>
        </xdr:spPr>
        <xdr:txBody>
          <a:bodyPr vertOverflow="overflow" horzOverflow="overflow" wrap="square" lIns="76200" tIns="228600" rIns="76200" bIns="38100" rtlCol="0" anchor="t">
            <a:noAutofit/>
          </a:bodyPr>
          <a:lstStyle/>
          <a:p>
            <a:pPr algn="l">
              <a:lnSpc>
                <a:spcPct val="100000"/>
              </a:lnSpc>
            </a:pPr>
            <a:r>
              <a:rPr lang="ja-JP" altLang="en-US" sz="800" b="0" dirty="0">
                <a:solidFill>
                  <a:srgbClr val="404040"/>
                </a:solidFill>
                <a:latin typeface="Meiryo UI"/>
                <a:ea typeface="Meiryo UI"/>
                <a:cs typeface="Meiryo UI"/>
              </a:rPr>
              <a:t>ポイントを記入</a:t>
            </a:r>
            <a:endParaRPr lang="ja-JP" altLang="en-US" sz="800" dirty="0">
              <a:latin typeface="Meiryo UI"/>
              <a:ea typeface="Meiryo UI"/>
            </a:endParaRPr>
          </a:p>
          <a:p>
            <a:pPr algn="l">
              <a:lnSpc>
                <a:spcPct val="100000"/>
              </a:lnSpc>
              <a:spcBef>
                <a:spcPts val="100"/>
              </a:spcBef>
            </a:pPr>
            <a:r>
              <a:rPr lang="ja-JP" altLang="en-US" sz="800" b="0" dirty="0">
                <a:solidFill>
                  <a:srgbClr val="404040"/>
                </a:solidFill>
                <a:latin typeface="Meiryo UI"/>
                <a:ea typeface="Meiryo UI"/>
                <a:cs typeface="Meiryo UI"/>
              </a:rPr>
              <a:t>重要な設計判断・注意点</a:t>
            </a:r>
            <a:endParaRPr lang="ja-JP" altLang="en-US" sz="800" dirty="0">
              <a:latin typeface="Meiryo UI"/>
              <a:ea typeface="Meiryo UI"/>
            </a:endParaRPr>
          </a:p>
        </xdr:txBody>
      </xdr:sp>
      <xdr:sp macro="" textlink="">
        <xdr:nvSpPr>
          <xdr:cNvPr id="554" name="見出し">
            <a:extLst>
              <a:ext uri="{FF2B5EF4-FFF2-40B4-BE49-F238E27FC236}">
                <a16:creationId xmlns:a16="http://schemas.microsoft.com/office/drawing/2014/main" id="{CB6D47EA-C067-4CF8-B8B4-C280F7598213}"/>
              </a:ext>
            </a:extLst>
          </xdr:cNvPr>
          <xdr:cNvSpPr/>
        </xdr:nvSpPr>
        <xdr:spPr>
          <a:xfrm>
            <a:off x="4191000" y="25527000"/>
            <a:ext cx="1524000" cy="190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315C92"/>
          </a:solidFill>
          <a:ln w="9525" cap="flat">
            <a:solidFill>
              <a:srgbClr val="315C92"/>
            </a:solidFill>
            <a:round/>
          </a:ln>
        </xdr:spPr>
        <xdr:txBody>
          <a:bodyPr vertOverflow="overflow" horzOverflow="overflow" wrap="none" lIns="76200" tIns="0" rIns="76200" bIns="0" rtlCol="0" anchor="ctr">
            <a:noAutofit/>
          </a:bodyPr>
          <a:lstStyle/>
          <a:p>
            <a:pPr algn="l"/>
            <a:r>
              <a:rPr lang="ja-JP" altLang="en-US" sz="750" b="1" dirty="0">
                <a:solidFill>
                  <a:srgbClr val="FFFFFF"/>
                </a:solidFill>
                <a:latin typeface="Meiryo UI"/>
                <a:ea typeface="Meiryo UI"/>
                <a:cs typeface="Meiryo UI"/>
              </a:rPr>
              <a:t>POINT</a:t>
            </a:r>
            <a:r>
              <a:rPr lang="ja-JP" altLang="en-US" sz="800" b="1" dirty="0">
                <a:solidFill>
                  <a:srgbClr val="FFFFFF"/>
                </a:solidFill>
                <a:latin typeface="Meiryo UI"/>
                <a:ea typeface="Meiryo UI"/>
                <a:cs typeface="Meiryo UI"/>
              </a:rPr>
              <a:t>　見出し</a:t>
            </a:r>
            <a:endParaRPr lang="ja-JP" altLang="en-US" sz="800" dirty="0">
              <a:latin typeface="Meiryo UI"/>
              <a:ea typeface="Meiryo UI"/>
            </a:endParaRPr>
          </a:p>
        </xdr:txBody>
      </xdr:sp>
    </xdr:grpSp>
    <xdr:clientData/>
  </xdr:twoCellAnchor>
  <xdr:twoCellAnchor editAs="oneCell">
    <xdr:from>
      <xdr:col>33</xdr:col>
      <xdr:colOff>0</xdr:colOff>
      <xdr:row>134</xdr:row>
      <xdr:rowOff>0</xdr:rowOff>
    </xdr:from>
    <xdr:to>
      <xdr:col>41</xdr:col>
      <xdr:colOff>0</xdr:colOff>
      <xdr:row>138</xdr:row>
      <xdr:rowOff>0</xdr:rowOff>
    </xdr:to>
    <xdr:grpSp>
      <xdr:nvGrpSpPr>
        <xdr:cNvPr id="555" name="コメント: ポイント（ルートB）">
          <a:extLst>
            <a:ext uri="{FF2B5EF4-FFF2-40B4-BE49-F238E27FC236}">
              <a16:creationId xmlns:a16="http://schemas.microsoft.com/office/drawing/2014/main" id="{421CAF78-6278-406A-A217-96BBE9931EF6}"/>
            </a:ext>
          </a:extLst>
        </xdr:cNvPr>
        <xdr:cNvGrpSpPr/>
      </xdr:nvGrpSpPr>
      <xdr:grpSpPr>
        <a:xfrm>
          <a:off x="6286500" y="25527000"/>
          <a:ext cx="1524000" cy="762000"/>
          <a:chOff x="6286500" y="25527000"/>
          <a:chExt cx="1524000" cy="762000"/>
        </a:xfrm>
      </xdr:grpSpPr>
      <xdr:sp macro="" textlink="">
        <xdr:nvSpPr>
          <xdr:cNvPr id="556" name="本文">
            <a:extLst>
              <a:ext uri="{FF2B5EF4-FFF2-40B4-BE49-F238E27FC236}">
                <a16:creationId xmlns:a16="http://schemas.microsoft.com/office/drawing/2014/main" id="{6FC9585F-2A3E-4177-8698-1B8BAA6C2FF4}"/>
              </a:ext>
            </a:extLst>
          </xdr:cNvPr>
          <xdr:cNvSpPr/>
        </xdr:nvSpPr>
        <xdr:spPr>
          <a:xfrm>
            <a:off x="6286500" y="25527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1FAF7"/>
          </a:solidFill>
          <a:ln w="9525" cap="flat">
            <a:solidFill>
              <a:srgbClr val="B0DCCF"/>
            </a:solidFill>
            <a:round/>
          </a:ln>
        </xdr:spPr>
        <xdr:txBody>
          <a:bodyPr vertOverflow="overflow" horzOverflow="overflow" wrap="square" lIns="76200" tIns="228600" rIns="76200" bIns="38100" rtlCol="0" anchor="t">
            <a:noAutofit/>
          </a:bodyPr>
          <a:lstStyle/>
          <a:p>
            <a:pPr algn="l">
              <a:lnSpc>
                <a:spcPct val="100000"/>
              </a:lnSpc>
            </a:pPr>
            <a:r>
              <a:rPr lang="ja-JP" altLang="en-US" sz="800" b="0" dirty="0">
                <a:solidFill>
                  <a:srgbClr val="404040"/>
                </a:solidFill>
                <a:latin typeface="Meiryo UI"/>
                <a:ea typeface="Meiryo UI"/>
                <a:cs typeface="Meiryo UI"/>
              </a:rPr>
              <a:t>ポイントを記入</a:t>
            </a:r>
            <a:endParaRPr lang="ja-JP" altLang="en-US" sz="800" dirty="0">
              <a:latin typeface="Meiryo UI"/>
              <a:ea typeface="Meiryo UI"/>
            </a:endParaRPr>
          </a:p>
          <a:p>
            <a:pPr algn="l">
              <a:lnSpc>
                <a:spcPct val="100000"/>
              </a:lnSpc>
              <a:spcBef>
                <a:spcPts val="100"/>
              </a:spcBef>
            </a:pPr>
            <a:r>
              <a:rPr lang="ja-JP" altLang="en-US" sz="800" b="0" dirty="0">
                <a:solidFill>
                  <a:srgbClr val="404040"/>
                </a:solidFill>
                <a:latin typeface="Meiryo UI"/>
                <a:ea typeface="Meiryo UI"/>
                <a:cs typeface="Meiryo UI"/>
              </a:rPr>
              <a:t>重要な設計判断・注意点</a:t>
            </a:r>
            <a:endParaRPr lang="ja-JP" altLang="en-US" sz="800" dirty="0">
              <a:latin typeface="Meiryo UI"/>
              <a:ea typeface="Meiryo UI"/>
            </a:endParaRPr>
          </a:p>
        </xdr:txBody>
      </xdr:sp>
      <xdr:sp macro="" textlink="">
        <xdr:nvSpPr>
          <xdr:cNvPr id="557" name="見出し">
            <a:extLst>
              <a:ext uri="{FF2B5EF4-FFF2-40B4-BE49-F238E27FC236}">
                <a16:creationId xmlns:a16="http://schemas.microsoft.com/office/drawing/2014/main" id="{4C07AD10-C75D-4116-BB7C-0BA9BD2D2351}"/>
              </a:ext>
            </a:extLst>
          </xdr:cNvPr>
          <xdr:cNvSpPr/>
        </xdr:nvSpPr>
        <xdr:spPr>
          <a:xfrm>
            <a:off x="6286500" y="25527000"/>
            <a:ext cx="1524000" cy="190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247966"/>
          </a:solidFill>
          <a:ln w="9525" cap="flat">
            <a:solidFill>
              <a:srgbClr val="247966"/>
            </a:solidFill>
            <a:round/>
          </a:ln>
        </xdr:spPr>
        <xdr:txBody>
          <a:bodyPr vertOverflow="overflow" horzOverflow="overflow" wrap="none" lIns="76200" tIns="0" rIns="76200" bIns="0" rtlCol="0" anchor="ctr">
            <a:noAutofit/>
          </a:bodyPr>
          <a:lstStyle/>
          <a:p>
            <a:pPr algn="l"/>
            <a:r>
              <a:rPr lang="ja-JP" altLang="en-US" sz="750" b="1" dirty="0">
                <a:solidFill>
                  <a:srgbClr val="FFFFFF"/>
                </a:solidFill>
                <a:latin typeface="Meiryo UI"/>
                <a:ea typeface="Meiryo UI"/>
                <a:cs typeface="Meiryo UI"/>
              </a:rPr>
              <a:t>POINT</a:t>
            </a:r>
            <a:r>
              <a:rPr lang="ja-JP" altLang="en-US" sz="800" b="1" dirty="0">
                <a:solidFill>
                  <a:srgbClr val="FFFFFF"/>
                </a:solidFill>
                <a:latin typeface="Meiryo UI"/>
                <a:ea typeface="Meiryo UI"/>
                <a:cs typeface="Meiryo UI"/>
              </a:rPr>
              <a:t>　見出し</a:t>
            </a:r>
            <a:endParaRPr lang="ja-JP" altLang="en-US" sz="800" dirty="0">
              <a:latin typeface="Meiryo UI"/>
              <a:ea typeface="Meiryo UI"/>
            </a:endParaRPr>
          </a:p>
        </xdr:txBody>
      </xdr:sp>
    </xdr:grpSp>
    <xdr:clientData/>
  </xdr:twoCellAnchor>
  <xdr:twoCellAnchor editAs="oneCell">
    <xdr:from>
      <xdr:col>44</xdr:col>
      <xdr:colOff>0</xdr:colOff>
      <xdr:row>134</xdr:row>
      <xdr:rowOff>0</xdr:rowOff>
    </xdr:from>
    <xdr:to>
      <xdr:col>52</xdr:col>
      <xdr:colOff>0</xdr:colOff>
      <xdr:row>138</xdr:row>
      <xdr:rowOff>0</xdr:rowOff>
    </xdr:to>
    <xdr:grpSp>
      <xdr:nvGrpSpPr>
        <xdr:cNvPr id="558" name="コメント: ポイント（ルートC）">
          <a:extLst>
            <a:ext uri="{FF2B5EF4-FFF2-40B4-BE49-F238E27FC236}">
              <a16:creationId xmlns:a16="http://schemas.microsoft.com/office/drawing/2014/main" id="{9810635D-8B9C-4F51-986E-8AC42A2DBB88}"/>
            </a:ext>
          </a:extLst>
        </xdr:cNvPr>
        <xdr:cNvGrpSpPr/>
      </xdr:nvGrpSpPr>
      <xdr:grpSpPr>
        <a:xfrm>
          <a:off x="8382000" y="25527000"/>
          <a:ext cx="1524000" cy="762000"/>
          <a:chOff x="8382000" y="25527000"/>
          <a:chExt cx="1524000" cy="762000"/>
        </a:xfrm>
      </xdr:grpSpPr>
      <xdr:sp macro="" textlink="">
        <xdr:nvSpPr>
          <xdr:cNvPr id="559" name="本文">
            <a:extLst>
              <a:ext uri="{FF2B5EF4-FFF2-40B4-BE49-F238E27FC236}">
                <a16:creationId xmlns:a16="http://schemas.microsoft.com/office/drawing/2014/main" id="{22B2725D-E72D-4003-B067-886B1C14DE04}"/>
              </a:ext>
            </a:extLst>
          </xdr:cNvPr>
          <xdr:cNvSpPr/>
        </xdr:nvSpPr>
        <xdr:spPr>
          <a:xfrm>
            <a:off x="8382000" y="25527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EF6F2"/>
          </a:solidFill>
          <a:ln w="9525" cap="flat">
            <a:solidFill>
              <a:srgbClr val="EEC8B5"/>
            </a:solidFill>
            <a:round/>
          </a:ln>
        </xdr:spPr>
        <xdr:txBody>
          <a:bodyPr vertOverflow="overflow" horzOverflow="overflow" wrap="square" lIns="76200" tIns="228600" rIns="76200" bIns="38100" rtlCol="0" anchor="t">
            <a:noAutofit/>
          </a:bodyPr>
          <a:lstStyle/>
          <a:p>
            <a:pPr algn="l">
              <a:lnSpc>
                <a:spcPct val="100000"/>
              </a:lnSpc>
            </a:pPr>
            <a:r>
              <a:rPr lang="ja-JP" altLang="en-US" sz="800" b="0" dirty="0">
                <a:solidFill>
                  <a:srgbClr val="404040"/>
                </a:solidFill>
                <a:latin typeface="Meiryo UI"/>
                <a:ea typeface="Meiryo UI"/>
                <a:cs typeface="Meiryo UI"/>
              </a:rPr>
              <a:t>ポイントを記入</a:t>
            </a:r>
            <a:endParaRPr lang="ja-JP" altLang="en-US" sz="800" dirty="0">
              <a:latin typeface="Meiryo UI"/>
              <a:ea typeface="Meiryo UI"/>
            </a:endParaRPr>
          </a:p>
          <a:p>
            <a:pPr algn="l">
              <a:lnSpc>
                <a:spcPct val="100000"/>
              </a:lnSpc>
              <a:spcBef>
                <a:spcPts val="100"/>
              </a:spcBef>
            </a:pPr>
            <a:r>
              <a:rPr lang="ja-JP" altLang="en-US" sz="800" b="0" dirty="0">
                <a:solidFill>
                  <a:srgbClr val="404040"/>
                </a:solidFill>
                <a:latin typeface="Meiryo UI"/>
                <a:ea typeface="Meiryo UI"/>
                <a:cs typeface="Meiryo UI"/>
              </a:rPr>
              <a:t>重要な設計判断・注意点</a:t>
            </a:r>
            <a:endParaRPr lang="ja-JP" altLang="en-US" sz="800" dirty="0">
              <a:latin typeface="Meiryo UI"/>
              <a:ea typeface="Meiryo UI"/>
            </a:endParaRPr>
          </a:p>
        </xdr:txBody>
      </xdr:sp>
      <xdr:sp macro="" textlink="">
        <xdr:nvSpPr>
          <xdr:cNvPr id="560" name="見出し">
            <a:extLst>
              <a:ext uri="{FF2B5EF4-FFF2-40B4-BE49-F238E27FC236}">
                <a16:creationId xmlns:a16="http://schemas.microsoft.com/office/drawing/2014/main" id="{465C98F7-8642-4967-A351-AE426FC3D499}"/>
              </a:ext>
            </a:extLst>
          </xdr:cNvPr>
          <xdr:cNvSpPr/>
        </xdr:nvSpPr>
        <xdr:spPr>
          <a:xfrm>
            <a:off x="8382000" y="25527000"/>
            <a:ext cx="1524000" cy="190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C46B39"/>
          </a:solidFill>
          <a:ln w="9525" cap="flat">
            <a:solidFill>
              <a:srgbClr val="C46B39"/>
            </a:solidFill>
            <a:round/>
          </a:ln>
        </xdr:spPr>
        <xdr:txBody>
          <a:bodyPr vertOverflow="overflow" horzOverflow="overflow" wrap="none" lIns="76200" tIns="0" rIns="76200" bIns="0" rtlCol="0" anchor="ctr">
            <a:noAutofit/>
          </a:bodyPr>
          <a:lstStyle/>
          <a:p>
            <a:pPr algn="l"/>
            <a:r>
              <a:rPr lang="ja-JP" altLang="en-US" sz="750" b="1" dirty="0">
                <a:solidFill>
                  <a:srgbClr val="FFFFFF"/>
                </a:solidFill>
                <a:latin typeface="Meiryo UI"/>
                <a:ea typeface="Meiryo UI"/>
                <a:cs typeface="Meiryo UI"/>
              </a:rPr>
              <a:t>POINT</a:t>
            </a:r>
            <a:r>
              <a:rPr lang="ja-JP" altLang="en-US" sz="800" b="1" dirty="0">
                <a:solidFill>
                  <a:srgbClr val="FFFFFF"/>
                </a:solidFill>
                <a:latin typeface="Meiryo UI"/>
                <a:ea typeface="Meiryo UI"/>
                <a:cs typeface="Meiryo UI"/>
              </a:rPr>
              <a:t>　見出し</a:t>
            </a:r>
            <a:endParaRPr lang="ja-JP" altLang="en-US" sz="800" dirty="0">
              <a:latin typeface="Meiryo UI"/>
              <a:ea typeface="Meiryo UI"/>
            </a:endParaRPr>
          </a:p>
        </xdr:txBody>
      </xdr:sp>
    </xdr:grpSp>
    <xdr:clientData/>
  </xdr:twoCellAnchor>
  <xdr:twoCellAnchor editAs="oneCell">
    <xdr:from>
      <xdr:col>55</xdr:col>
      <xdr:colOff>0</xdr:colOff>
      <xdr:row>134</xdr:row>
      <xdr:rowOff>0</xdr:rowOff>
    </xdr:from>
    <xdr:to>
      <xdr:col>63</xdr:col>
      <xdr:colOff>0</xdr:colOff>
      <xdr:row>138</xdr:row>
      <xdr:rowOff>0</xdr:rowOff>
    </xdr:to>
    <xdr:grpSp>
      <xdr:nvGrpSpPr>
        <xdr:cNvPr id="561" name="コメント: ポイント（ルートD）">
          <a:extLst>
            <a:ext uri="{FF2B5EF4-FFF2-40B4-BE49-F238E27FC236}">
              <a16:creationId xmlns:a16="http://schemas.microsoft.com/office/drawing/2014/main" id="{921247AA-A20C-4057-8A09-927D6A26E58E}"/>
            </a:ext>
          </a:extLst>
        </xdr:cNvPr>
        <xdr:cNvGrpSpPr/>
      </xdr:nvGrpSpPr>
      <xdr:grpSpPr>
        <a:xfrm>
          <a:off x="10477500" y="25527000"/>
          <a:ext cx="1524000" cy="762000"/>
          <a:chOff x="10477500" y="25527000"/>
          <a:chExt cx="1524000" cy="762000"/>
        </a:xfrm>
      </xdr:grpSpPr>
      <xdr:sp macro="" textlink="">
        <xdr:nvSpPr>
          <xdr:cNvPr id="562" name="本文">
            <a:extLst>
              <a:ext uri="{FF2B5EF4-FFF2-40B4-BE49-F238E27FC236}">
                <a16:creationId xmlns:a16="http://schemas.microsoft.com/office/drawing/2014/main" id="{EBD580EC-28B6-435E-BA2E-555A2A3411DC}"/>
              </a:ext>
            </a:extLst>
          </xdr:cNvPr>
          <xdr:cNvSpPr/>
        </xdr:nvSpPr>
        <xdr:spPr>
          <a:xfrm>
            <a:off x="10477500" y="25527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AF6FD"/>
          </a:solidFill>
          <a:ln w="9525" cap="flat">
            <a:solidFill>
              <a:srgbClr val="DBCCEB"/>
            </a:solidFill>
            <a:round/>
          </a:ln>
        </xdr:spPr>
        <xdr:txBody>
          <a:bodyPr vertOverflow="overflow" horzOverflow="overflow" wrap="square" lIns="76200" tIns="228600" rIns="76200" bIns="38100" rtlCol="0" anchor="t">
            <a:noAutofit/>
          </a:bodyPr>
          <a:lstStyle/>
          <a:p>
            <a:pPr algn="l">
              <a:lnSpc>
                <a:spcPct val="100000"/>
              </a:lnSpc>
            </a:pPr>
            <a:r>
              <a:rPr lang="ja-JP" altLang="en-US" sz="800" b="0" dirty="0">
                <a:solidFill>
                  <a:srgbClr val="404040"/>
                </a:solidFill>
                <a:latin typeface="Meiryo UI"/>
                <a:ea typeface="Meiryo UI"/>
                <a:cs typeface="Meiryo UI"/>
              </a:rPr>
              <a:t>ポイントを記入</a:t>
            </a:r>
            <a:endParaRPr lang="ja-JP" altLang="en-US" sz="800" dirty="0">
              <a:latin typeface="Meiryo UI"/>
              <a:ea typeface="Meiryo UI"/>
            </a:endParaRPr>
          </a:p>
          <a:p>
            <a:pPr algn="l">
              <a:lnSpc>
                <a:spcPct val="100000"/>
              </a:lnSpc>
              <a:spcBef>
                <a:spcPts val="100"/>
              </a:spcBef>
            </a:pPr>
            <a:r>
              <a:rPr lang="ja-JP" altLang="en-US" sz="800" b="0" dirty="0">
                <a:solidFill>
                  <a:srgbClr val="404040"/>
                </a:solidFill>
                <a:latin typeface="Meiryo UI"/>
                <a:ea typeface="Meiryo UI"/>
                <a:cs typeface="Meiryo UI"/>
              </a:rPr>
              <a:t>重要な設計判断・注意点</a:t>
            </a:r>
            <a:endParaRPr lang="ja-JP" altLang="en-US" sz="800" dirty="0">
              <a:latin typeface="Meiryo UI"/>
              <a:ea typeface="Meiryo UI"/>
            </a:endParaRPr>
          </a:p>
        </xdr:txBody>
      </xdr:sp>
      <xdr:sp macro="" textlink="">
        <xdr:nvSpPr>
          <xdr:cNvPr id="563" name="見出し">
            <a:extLst>
              <a:ext uri="{FF2B5EF4-FFF2-40B4-BE49-F238E27FC236}">
                <a16:creationId xmlns:a16="http://schemas.microsoft.com/office/drawing/2014/main" id="{ACA6740C-02CA-458C-98F4-CA476E417244}"/>
              </a:ext>
            </a:extLst>
          </xdr:cNvPr>
          <xdr:cNvSpPr/>
        </xdr:nvSpPr>
        <xdr:spPr>
          <a:xfrm>
            <a:off x="10477500" y="25527000"/>
            <a:ext cx="1524000" cy="190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876BA6"/>
          </a:solidFill>
          <a:ln w="9525" cap="flat">
            <a:solidFill>
              <a:srgbClr val="876BA6"/>
            </a:solidFill>
            <a:round/>
          </a:ln>
        </xdr:spPr>
        <xdr:txBody>
          <a:bodyPr vertOverflow="overflow" horzOverflow="overflow" wrap="none" lIns="76200" tIns="0" rIns="76200" bIns="0" rtlCol="0" anchor="ctr">
            <a:noAutofit/>
          </a:bodyPr>
          <a:lstStyle/>
          <a:p>
            <a:pPr algn="l"/>
            <a:r>
              <a:rPr lang="ja-JP" altLang="en-US" sz="750" b="1" dirty="0">
                <a:solidFill>
                  <a:srgbClr val="FFFFFF"/>
                </a:solidFill>
                <a:latin typeface="Meiryo UI"/>
                <a:ea typeface="Meiryo UI"/>
                <a:cs typeface="Meiryo UI"/>
              </a:rPr>
              <a:t>POINT</a:t>
            </a:r>
            <a:r>
              <a:rPr lang="ja-JP" altLang="en-US" sz="800" b="1" dirty="0">
                <a:solidFill>
                  <a:srgbClr val="FFFFFF"/>
                </a:solidFill>
                <a:latin typeface="Meiryo UI"/>
                <a:ea typeface="Meiryo UI"/>
                <a:cs typeface="Meiryo UI"/>
              </a:rPr>
              <a:t>　見出し</a:t>
            </a:r>
            <a:endParaRPr lang="ja-JP" altLang="en-US" sz="800" dirty="0">
              <a:latin typeface="Meiryo UI"/>
              <a:ea typeface="Meiryo UI"/>
            </a:endParaRPr>
          </a:p>
        </xdr:txBody>
      </xdr:sp>
    </xdr:grpSp>
    <xdr:clientData/>
  </xdr:twoCellAnchor>
  <xdr:twoCellAnchor editAs="oneCell">
    <xdr:from>
      <xdr:col>66</xdr:col>
      <xdr:colOff>0</xdr:colOff>
      <xdr:row>134</xdr:row>
      <xdr:rowOff>0</xdr:rowOff>
    </xdr:from>
    <xdr:to>
      <xdr:col>74</xdr:col>
      <xdr:colOff>0</xdr:colOff>
      <xdr:row>138</xdr:row>
      <xdr:rowOff>0</xdr:rowOff>
    </xdr:to>
    <xdr:grpSp>
      <xdr:nvGrpSpPr>
        <xdr:cNvPr id="564" name="コメント: ポイント（ルートE）">
          <a:extLst>
            <a:ext uri="{FF2B5EF4-FFF2-40B4-BE49-F238E27FC236}">
              <a16:creationId xmlns:a16="http://schemas.microsoft.com/office/drawing/2014/main" id="{DE5AB438-3DF9-4F52-A781-656693A18623}"/>
            </a:ext>
          </a:extLst>
        </xdr:cNvPr>
        <xdr:cNvGrpSpPr/>
      </xdr:nvGrpSpPr>
      <xdr:grpSpPr>
        <a:xfrm>
          <a:off x="12573000" y="25527000"/>
          <a:ext cx="1524000" cy="762000"/>
          <a:chOff x="12573000" y="25527000"/>
          <a:chExt cx="1524000" cy="762000"/>
        </a:xfrm>
      </xdr:grpSpPr>
      <xdr:sp macro="" textlink="">
        <xdr:nvSpPr>
          <xdr:cNvPr id="565" name="本文">
            <a:extLst>
              <a:ext uri="{FF2B5EF4-FFF2-40B4-BE49-F238E27FC236}">
                <a16:creationId xmlns:a16="http://schemas.microsoft.com/office/drawing/2014/main" id="{A04D0BD3-47B3-4EF0-B29E-47D143E83051}"/>
              </a:ext>
            </a:extLst>
          </xdr:cNvPr>
          <xdr:cNvSpPr/>
        </xdr:nvSpPr>
        <xdr:spPr>
          <a:xfrm>
            <a:off x="12573000" y="25527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FF5F7"/>
          </a:solidFill>
          <a:ln w="9525" cap="flat">
            <a:solidFill>
              <a:srgbClr val="F3C6CF"/>
            </a:solidFill>
            <a:round/>
          </a:ln>
        </xdr:spPr>
        <xdr:txBody>
          <a:bodyPr vertOverflow="overflow" horzOverflow="overflow" wrap="square" lIns="76200" tIns="228600" rIns="76200" bIns="38100" rtlCol="0" anchor="t">
            <a:noAutofit/>
          </a:bodyPr>
          <a:lstStyle/>
          <a:p>
            <a:pPr algn="l">
              <a:lnSpc>
                <a:spcPct val="100000"/>
              </a:lnSpc>
            </a:pPr>
            <a:r>
              <a:rPr lang="ja-JP" altLang="en-US" sz="800" b="0" dirty="0">
                <a:solidFill>
                  <a:srgbClr val="404040"/>
                </a:solidFill>
                <a:latin typeface="Meiryo UI"/>
                <a:ea typeface="Meiryo UI"/>
                <a:cs typeface="Meiryo UI"/>
              </a:rPr>
              <a:t>ポイントを記入</a:t>
            </a:r>
            <a:endParaRPr lang="ja-JP" altLang="en-US" sz="800" dirty="0">
              <a:latin typeface="Meiryo UI"/>
              <a:ea typeface="Meiryo UI"/>
            </a:endParaRPr>
          </a:p>
          <a:p>
            <a:pPr algn="l">
              <a:lnSpc>
                <a:spcPct val="100000"/>
              </a:lnSpc>
              <a:spcBef>
                <a:spcPts val="100"/>
              </a:spcBef>
            </a:pPr>
            <a:r>
              <a:rPr lang="ja-JP" altLang="en-US" sz="800" b="0" dirty="0">
                <a:solidFill>
                  <a:srgbClr val="404040"/>
                </a:solidFill>
                <a:latin typeface="Meiryo UI"/>
                <a:ea typeface="Meiryo UI"/>
                <a:cs typeface="Meiryo UI"/>
              </a:rPr>
              <a:t>重要な設計判断・注意点</a:t>
            </a:r>
            <a:endParaRPr lang="ja-JP" altLang="en-US" sz="800" dirty="0">
              <a:latin typeface="Meiryo UI"/>
              <a:ea typeface="Meiryo UI"/>
            </a:endParaRPr>
          </a:p>
        </xdr:txBody>
      </xdr:sp>
      <xdr:sp macro="" textlink="">
        <xdr:nvSpPr>
          <xdr:cNvPr id="566" name="見出し">
            <a:extLst>
              <a:ext uri="{FF2B5EF4-FFF2-40B4-BE49-F238E27FC236}">
                <a16:creationId xmlns:a16="http://schemas.microsoft.com/office/drawing/2014/main" id="{36ADF2A9-E42D-41F3-84D8-8DCC71563F0C}"/>
              </a:ext>
            </a:extLst>
          </xdr:cNvPr>
          <xdr:cNvSpPr/>
        </xdr:nvSpPr>
        <xdr:spPr>
          <a:xfrm>
            <a:off x="12573000" y="25527000"/>
            <a:ext cx="1524000" cy="190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B04B68"/>
          </a:solidFill>
          <a:ln w="9525" cap="flat">
            <a:solidFill>
              <a:srgbClr val="B04B68"/>
            </a:solidFill>
            <a:round/>
          </a:ln>
        </xdr:spPr>
        <xdr:txBody>
          <a:bodyPr vertOverflow="overflow" horzOverflow="overflow" wrap="none" lIns="76200" tIns="0" rIns="76200" bIns="0" rtlCol="0" anchor="ctr">
            <a:noAutofit/>
          </a:bodyPr>
          <a:lstStyle/>
          <a:p>
            <a:pPr algn="l"/>
            <a:r>
              <a:rPr lang="ja-JP" altLang="en-US" sz="750" b="1" dirty="0">
                <a:solidFill>
                  <a:srgbClr val="FFFFFF"/>
                </a:solidFill>
                <a:latin typeface="Meiryo UI"/>
                <a:ea typeface="Meiryo UI"/>
                <a:cs typeface="Meiryo UI"/>
              </a:rPr>
              <a:t>POINT</a:t>
            </a:r>
            <a:r>
              <a:rPr lang="ja-JP" altLang="en-US" sz="800" b="1" dirty="0">
                <a:solidFill>
                  <a:srgbClr val="FFFFFF"/>
                </a:solidFill>
                <a:latin typeface="Meiryo UI"/>
                <a:ea typeface="Meiryo UI"/>
                <a:cs typeface="Meiryo UI"/>
              </a:rPr>
              <a:t>　見出し</a:t>
            </a:r>
            <a:endParaRPr lang="ja-JP" altLang="en-US" sz="800" dirty="0">
              <a:latin typeface="Meiryo UI"/>
              <a:ea typeface="Meiryo UI"/>
            </a:endParaRPr>
          </a:p>
        </xdr:txBody>
      </xdr:sp>
    </xdr:grpSp>
    <xdr:clientData/>
  </xdr:twoCellAnchor>
  <xdr:twoCellAnchor editAs="oneCell">
    <xdr:from>
      <xdr:col>77</xdr:col>
      <xdr:colOff>0</xdr:colOff>
      <xdr:row>134</xdr:row>
      <xdr:rowOff>0</xdr:rowOff>
    </xdr:from>
    <xdr:to>
      <xdr:col>85</xdr:col>
      <xdr:colOff>0</xdr:colOff>
      <xdr:row>138</xdr:row>
      <xdr:rowOff>0</xdr:rowOff>
    </xdr:to>
    <xdr:grpSp>
      <xdr:nvGrpSpPr>
        <xdr:cNvPr id="567" name="コメント: ポイント（ルートF）">
          <a:extLst>
            <a:ext uri="{FF2B5EF4-FFF2-40B4-BE49-F238E27FC236}">
              <a16:creationId xmlns:a16="http://schemas.microsoft.com/office/drawing/2014/main" id="{BFEA3691-DA29-4BB8-87C2-A88B7C16EA53}"/>
            </a:ext>
          </a:extLst>
        </xdr:cNvPr>
        <xdr:cNvGrpSpPr/>
      </xdr:nvGrpSpPr>
      <xdr:grpSpPr>
        <a:xfrm>
          <a:off x="14668500" y="25527000"/>
          <a:ext cx="1524000" cy="762000"/>
          <a:chOff x="14668500" y="25527000"/>
          <a:chExt cx="1524000" cy="762000"/>
        </a:xfrm>
      </xdr:grpSpPr>
      <xdr:sp macro="" textlink="">
        <xdr:nvSpPr>
          <xdr:cNvPr id="568" name="本文">
            <a:extLst>
              <a:ext uri="{FF2B5EF4-FFF2-40B4-BE49-F238E27FC236}">
                <a16:creationId xmlns:a16="http://schemas.microsoft.com/office/drawing/2014/main" id="{41C19BE5-FC3D-45B0-9CDC-90914B37876E}"/>
              </a:ext>
            </a:extLst>
          </xdr:cNvPr>
          <xdr:cNvSpPr/>
        </xdr:nvSpPr>
        <xdr:spPr>
          <a:xfrm>
            <a:off x="14668500" y="25527000"/>
            <a:ext cx="1524000" cy="762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AF8F1"/>
          </a:solidFill>
          <a:ln w="9525" cap="flat">
            <a:solidFill>
              <a:srgbClr val="D9D2B1"/>
            </a:solidFill>
            <a:round/>
          </a:ln>
        </xdr:spPr>
        <xdr:txBody>
          <a:bodyPr vertOverflow="overflow" horzOverflow="overflow" wrap="square" lIns="76200" tIns="228600" rIns="76200" bIns="38100" rtlCol="0" anchor="t">
            <a:noAutofit/>
          </a:bodyPr>
          <a:lstStyle/>
          <a:p>
            <a:pPr algn="l">
              <a:lnSpc>
                <a:spcPct val="100000"/>
              </a:lnSpc>
            </a:pPr>
            <a:r>
              <a:rPr lang="ja-JP" altLang="en-US" sz="800" b="0" dirty="0">
                <a:solidFill>
                  <a:srgbClr val="404040"/>
                </a:solidFill>
                <a:latin typeface="Meiryo UI"/>
                <a:ea typeface="Meiryo UI"/>
                <a:cs typeface="Meiryo UI"/>
              </a:rPr>
              <a:t>ポイントを記入</a:t>
            </a:r>
            <a:endParaRPr lang="ja-JP" altLang="en-US" sz="800" dirty="0">
              <a:latin typeface="Meiryo UI"/>
              <a:ea typeface="Meiryo UI"/>
            </a:endParaRPr>
          </a:p>
          <a:p>
            <a:pPr algn="l">
              <a:lnSpc>
                <a:spcPct val="100000"/>
              </a:lnSpc>
              <a:spcBef>
                <a:spcPts val="100"/>
              </a:spcBef>
            </a:pPr>
            <a:r>
              <a:rPr lang="ja-JP" altLang="en-US" sz="800" b="0" dirty="0">
                <a:solidFill>
                  <a:srgbClr val="404040"/>
                </a:solidFill>
                <a:latin typeface="Meiryo UI"/>
                <a:ea typeface="Meiryo UI"/>
                <a:cs typeface="Meiryo UI"/>
              </a:rPr>
              <a:t>重要な設計判断・注意点</a:t>
            </a:r>
            <a:endParaRPr lang="ja-JP" altLang="en-US" sz="800" dirty="0">
              <a:latin typeface="Meiryo UI"/>
              <a:ea typeface="Meiryo UI"/>
            </a:endParaRPr>
          </a:p>
        </xdr:txBody>
      </xdr:sp>
      <xdr:sp macro="" textlink="">
        <xdr:nvSpPr>
          <xdr:cNvPr id="569" name="見出し">
            <a:extLst>
              <a:ext uri="{FF2B5EF4-FFF2-40B4-BE49-F238E27FC236}">
                <a16:creationId xmlns:a16="http://schemas.microsoft.com/office/drawing/2014/main" id="{0D5BCD74-698A-444D-A1C3-48AABDD37609}"/>
              </a:ext>
            </a:extLst>
          </xdr:cNvPr>
          <xdr:cNvSpPr/>
        </xdr:nvSpPr>
        <xdr:spPr>
          <a:xfrm>
            <a:off x="14668500" y="25527000"/>
            <a:ext cx="1524000" cy="190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6B651D"/>
          </a:solidFill>
          <a:ln w="9525" cap="flat">
            <a:solidFill>
              <a:srgbClr val="6B651D"/>
            </a:solidFill>
            <a:round/>
          </a:ln>
        </xdr:spPr>
        <xdr:txBody>
          <a:bodyPr vertOverflow="overflow" horzOverflow="overflow" wrap="none" lIns="76200" tIns="0" rIns="76200" bIns="0" rtlCol="0" anchor="ctr">
            <a:noAutofit/>
          </a:bodyPr>
          <a:lstStyle/>
          <a:p>
            <a:pPr algn="l"/>
            <a:r>
              <a:rPr lang="ja-JP" altLang="en-US" sz="750" b="1" dirty="0">
                <a:solidFill>
                  <a:srgbClr val="FFFFFF"/>
                </a:solidFill>
                <a:latin typeface="Meiryo UI"/>
                <a:ea typeface="Meiryo UI"/>
                <a:cs typeface="Meiryo UI"/>
              </a:rPr>
              <a:t>POINT</a:t>
            </a:r>
            <a:r>
              <a:rPr lang="ja-JP" altLang="en-US" sz="800" b="1" dirty="0">
                <a:solidFill>
                  <a:srgbClr val="FFFFFF"/>
                </a:solidFill>
                <a:latin typeface="Meiryo UI"/>
                <a:ea typeface="Meiryo UI"/>
                <a:cs typeface="Meiryo UI"/>
              </a:rPr>
              <a:t>　見出し</a:t>
            </a:r>
            <a:endParaRPr lang="ja-JP" altLang="en-US" sz="800" dirty="0">
              <a:latin typeface="Meiryo UI"/>
              <a:ea typeface="Meiryo UI"/>
            </a:endParaRPr>
          </a:p>
        </xdr:txBody>
      </xdr:sp>
    </xdr:grpSp>
    <xdr:clientData/>
  </xdr:twoCellAnchor>
  <xdr:twoCellAnchor editAs="oneCell">
    <xdr:from>
      <xdr:col>11</xdr:col>
      <xdr:colOff>0</xdr:colOff>
      <xdr:row>140</xdr:row>
      <xdr:rowOff>0</xdr:rowOff>
    </xdr:from>
    <xdr:to>
      <xdr:col>19</xdr:col>
      <xdr:colOff>0</xdr:colOff>
      <xdr:row>143</xdr:row>
      <xdr:rowOff>0</xdr:rowOff>
    </xdr:to>
    <xdr:grpSp>
      <xdr:nvGrpSpPr>
        <xdr:cNvPr id="570" name="コメント: 付記（共通）">
          <a:extLst>
            <a:ext uri="{FF2B5EF4-FFF2-40B4-BE49-F238E27FC236}">
              <a16:creationId xmlns:a16="http://schemas.microsoft.com/office/drawing/2014/main" id="{918E413F-EE8B-4120-8758-383491CA0A18}"/>
            </a:ext>
          </a:extLst>
        </xdr:cNvPr>
        <xdr:cNvGrpSpPr/>
      </xdr:nvGrpSpPr>
      <xdr:grpSpPr>
        <a:xfrm>
          <a:off x="2095500" y="26670000"/>
          <a:ext cx="1524000" cy="571500"/>
          <a:chOff x="2095500" y="26670000"/>
          <a:chExt cx="1524000" cy="571500"/>
        </a:xfrm>
      </xdr:grpSpPr>
      <xdr:sp macro="" textlink="">
        <xdr:nvSpPr>
          <xdr:cNvPr id="571" name="本文">
            <a:extLst>
              <a:ext uri="{FF2B5EF4-FFF2-40B4-BE49-F238E27FC236}">
                <a16:creationId xmlns:a16="http://schemas.microsoft.com/office/drawing/2014/main" id="{E6F9C993-72AD-4A92-8754-AA1B6AA3C78F}"/>
              </a:ext>
            </a:extLst>
          </xdr:cNvPr>
          <xdr:cNvSpPr/>
        </xdr:nvSpPr>
        <xdr:spPr>
          <a:xfrm>
            <a:off x="2095500" y="26670000"/>
            <a:ext cx="1524000" cy="571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7F7F7"/>
          </a:solidFill>
          <a:ln>
            <a:noFill/>
          </a:ln>
        </xdr:spPr>
        <xdr:txBody>
          <a:bodyPr vertOverflow="overflow" horzOverflow="overflow" wrap="square" lIns="114300" tIns="50800" rIns="76200" bIns="38100" rtlCol="0" anchor="t">
            <a:noAutofit/>
          </a:bodyPr>
          <a:lstStyle/>
          <a:p>
            <a:pPr algn="l"/>
            <a:r>
              <a:rPr lang="ja-JP" altLang="en-US" sz="800" b="1" dirty="0">
                <a:solidFill>
                  <a:srgbClr val="262626"/>
                </a:solidFill>
                <a:latin typeface="Meiryo UI"/>
                <a:ea typeface="Meiryo UI"/>
                <a:cs typeface="Meiryo UI"/>
              </a:rPr>
              <a:t>付記</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前提・制約・補足</a:t>
            </a:r>
            <a:endParaRPr lang="ja-JP" altLang="en-US" sz="800" dirty="0">
              <a:latin typeface="Meiryo UI"/>
              <a:ea typeface="Meiryo UI"/>
            </a:endParaRPr>
          </a:p>
        </xdr:txBody>
      </xdr:sp>
      <xdr:sp macro="" textlink="">
        <xdr:nvSpPr>
          <xdr:cNvPr id="572" name="左ライン">
            <a:extLst>
              <a:ext uri="{FF2B5EF4-FFF2-40B4-BE49-F238E27FC236}">
                <a16:creationId xmlns:a16="http://schemas.microsoft.com/office/drawing/2014/main" id="{EEDCAAEC-D0F0-4AAE-AF7B-FDC8E9F8461C}"/>
              </a:ext>
            </a:extLst>
          </xdr:cNvPr>
          <xdr:cNvSpPr/>
        </xdr:nvSpPr>
        <xdr:spPr>
          <a:xfrm>
            <a:off x="2095500" y="26670000"/>
            <a:ext cx="38100" cy="571500"/>
          </a:xfrm>
          <a:prstGeom prst="rect">
            <a:avLst/>
          </a:prstGeom>
          <a:solidFill>
            <a:srgbClr val="404040"/>
          </a:solidFill>
          <a:ln>
            <a:noFill/>
          </a:ln>
        </xdr:spPr>
        <xdr:txBody>
          <a:bodyPr vertOverflow="overflow" horzOverflow="overflow" wrap="square" lIns="38100" tIns="19050" rIns="38100" bIns="19050" rtlCol="0" anchor="ctr">
            <a:noAutofit/>
          </a:bodyPr>
          <a:lstStyle/>
          <a:p>
            <a:pPr algn="l"/>
            <a:endParaRPr lang="ja-JP" altLang="en-US" sz="600" dirty="0">
              <a:latin typeface="Meiryo UI"/>
              <a:ea typeface="Meiryo UI"/>
            </a:endParaRPr>
          </a:p>
        </xdr:txBody>
      </xdr:sp>
    </xdr:grpSp>
    <xdr:clientData/>
  </xdr:twoCellAnchor>
  <xdr:twoCellAnchor editAs="oneCell">
    <xdr:from>
      <xdr:col>22</xdr:col>
      <xdr:colOff>0</xdr:colOff>
      <xdr:row>140</xdr:row>
      <xdr:rowOff>0</xdr:rowOff>
    </xdr:from>
    <xdr:to>
      <xdr:col>30</xdr:col>
      <xdr:colOff>0</xdr:colOff>
      <xdr:row>143</xdr:row>
      <xdr:rowOff>0</xdr:rowOff>
    </xdr:to>
    <xdr:grpSp>
      <xdr:nvGrpSpPr>
        <xdr:cNvPr id="573" name="コメント: 付記（ルートA）">
          <a:extLst>
            <a:ext uri="{FF2B5EF4-FFF2-40B4-BE49-F238E27FC236}">
              <a16:creationId xmlns:a16="http://schemas.microsoft.com/office/drawing/2014/main" id="{EFE7F1F2-9AB7-4990-A0CF-7F6CCB8188D6}"/>
            </a:ext>
          </a:extLst>
        </xdr:cNvPr>
        <xdr:cNvGrpSpPr/>
      </xdr:nvGrpSpPr>
      <xdr:grpSpPr>
        <a:xfrm>
          <a:off x="4191000" y="26670000"/>
          <a:ext cx="1524000" cy="571500"/>
          <a:chOff x="4191000" y="26670000"/>
          <a:chExt cx="1524000" cy="571500"/>
        </a:xfrm>
      </xdr:grpSpPr>
      <xdr:sp macro="" textlink="">
        <xdr:nvSpPr>
          <xdr:cNvPr id="574" name="本文">
            <a:extLst>
              <a:ext uri="{FF2B5EF4-FFF2-40B4-BE49-F238E27FC236}">
                <a16:creationId xmlns:a16="http://schemas.microsoft.com/office/drawing/2014/main" id="{83F44C76-5CB6-420D-B1EA-AEDD13CE3A24}"/>
              </a:ext>
            </a:extLst>
          </xdr:cNvPr>
          <xdr:cNvSpPr/>
        </xdr:nvSpPr>
        <xdr:spPr>
          <a:xfrm>
            <a:off x="4191000" y="26670000"/>
            <a:ext cx="1524000" cy="571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3F8FF"/>
          </a:solidFill>
          <a:ln>
            <a:noFill/>
          </a:ln>
        </xdr:spPr>
        <xdr:txBody>
          <a:bodyPr vertOverflow="overflow" horzOverflow="overflow" wrap="square" lIns="114300" tIns="50800" rIns="76200" bIns="38100" rtlCol="0" anchor="t">
            <a:noAutofit/>
          </a:bodyPr>
          <a:lstStyle/>
          <a:p>
            <a:pPr algn="l"/>
            <a:r>
              <a:rPr lang="ja-JP" altLang="en-US" sz="800" b="1" dirty="0">
                <a:solidFill>
                  <a:srgbClr val="113866"/>
                </a:solidFill>
                <a:latin typeface="Meiryo UI"/>
                <a:ea typeface="Meiryo UI"/>
                <a:cs typeface="Meiryo UI"/>
              </a:rPr>
              <a:t>付記</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前提・制約・補足</a:t>
            </a:r>
            <a:endParaRPr lang="ja-JP" altLang="en-US" sz="800" dirty="0">
              <a:latin typeface="Meiryo UI"/>
              <a:ea typeface="Meiryo UI"/>
            </a:endParaRPr>
          </a:p>
        </xdr:txBody>
      </xdr:sp>
      <xdr:sp macro="" textlink="">
        <xdr:nvSpPr>
          <xdr:cNvPr id="575" name="左ライン">
            <a:extLst>
              <a:ext uri="{FF2B5EF4-FFF2-40B4-BE49-F238E27FC236}">
                <a16:creationId xmlns:a16="http://schemas.microsoft.com/office/drawing/2014/main" id="{E53DA1CA-6F59-49F0-BCB6-6E13B6FBE3E3}"/>
              </a:ext>
            </a:extLst>
          </xdr:cNvPr>
          <xdr:cNvSpPr/>
        </xdr:nvSpPr>
        <xdr:spPr>
          <a:xfrm>
            <a:off x="4191000" y="26670000"/>
            <a:ext cx="38100" cy="571500"/>
          </a:xfrm>
          <a:prstGeom prst="rect">
            <a:avLst/>
          </a:prstGeom>
          <a:solidFill>
            <a:srgbClr val="315C92"/>
          </a:solidFill>
          <a:ln>
            <a:noFill/>
          </a:ln>
        </xdr:spPr>
        <xdr:txBody>
          <a:bodyPr vertOverflow="overflow" horzOverflow="overflow" wrap="square" lIns="38100" tIns="19050" rIns="38100" bIns="19050" rtlCol="0" anchor="ctr">
            <a:noAutofit/>
          </a:bodyPr>
          <a:lstStyle/>
          <a:p>
            <a:pPr algn="l"/>
            <a:endParaRPr lang="ja-JP" altLang="en-US" sz="600" dirty="0">
              <a:latin typeface="Meiryo UI"/>
              <a:ea typeface="Meiryo UI"/>
            </a:endParaRPr>
          </a:p>
        </xdr:txBody>
      </xdr:sp>
    </xdr:grpSp>
    <xdr:clientData/>
  </xdr:twoCellAnchor>
  <xdr:twoCellAnchor editAs="oneCell">
    <xdr:from>
      <xdr:col>33</xdr:col>
      <xdr:colOff>0</xdr:colOff>
      <xdr:row>140</xdr:row>
      <xdr:rowOff>0</xdr:rowOff>
    </xdr:from>
    <xdr:to>
      <xdr:col>41</xdr:col>
      <xdr:colOff>0</xdr:colOff>
      <xdr:row>143</xdr:row>
      <xdr:rowOff>0</xdr:rowOff>
    </xdr:to>
    <xdr:grpSp>
      <xdr:nvGrpSpPr>
        <xdr:cNvPr id="576" name="コメント: 付記（ルートB）">
          <a:extLst>
            <a:ext uri="{FF2B5EF4-FFF2-40B4-BE49-F238E27FC236}">
              <a16:creationId xmlns:a16="http://schemas.microsoft.com/office/drawing/2014/main" id="{62FF81D7-03FB-4EB0-BB93-D52F0EB723E4}"/>
            </a:ext>
          </a:extLst>
        </xdr:cNvPr>
        <xdr:cNvGrpSpPr/>
      </xdr:nvGrpSpPr>
      <xdr:grpSpPr>
        <a:xfrm>
          <a:off x="6286500" y="26670000"/>
          <a:ext cx="1524000" cy="571500"/>
          <a:chOff x="6286500" y="26670000"/>
          <a:chExt cx="1524000" cy="571500"/>
        </a:xfrm>
      </xdr:grpSpPr>
      <xdr:sp macro="" textlink="">
        <xdr:nvSpPr>
          <xdr:cNvPr id="577" name="本文">
            <a:extLst>
              <a:ext uri="{FF2B5EF4-FFF2-40B4-BE49-F238E27FC236}">
                <a16:creationId xmlns:a16="http://schemas.microsoft.com/office/drawing/2014/main" id="{4C3CFA06-9E4E-47A0-A92A-B6F217FEF8D1}"/>
              </a:ext>
            </a:extLst>
          </xdr:cNvPr>
          <xdr:cNvSpPr/>
        </xdr:nvSpPr>
        <xdr:spPr>
          <a:xfrm>
            <a:off x="6286500" y="26670000"/>
            <a:ext cx="1524000" cy="571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1FAF7"/>
          </a:solidFill>
          <a:ln>
            <a:noFill/>
          </a:ln>
        </xdr:spPr>
        <xdr:txBody>
          <a:bodyPr vertOverflow="overflow" horzOverflow="overflow" wrap="square" lIns="114300" tIns="50800" rIns="76200" bIns="38100" rtlCol="0" anchor="t">
            <a:noAutofit/>
          </a:bodyPr>
          <a:lstStyle/>
          <a:p>
            <a:pPr algn="l"/>
            <a:r>
              <a:rPr lang="ja-JP" altLang="en-US" sz="800" b="1" dirty="0">
                <a:solidFill>
                  <a:srgbClr val="005243"/>
                </a:solidFill>
                <a:latin typeface="Meiryo UI"/>
                <a:ea typeface="Meiryo UI"/>
                <a:cs typeface="Meiryo UI"/>
              </a:rPr>
              <a:t>付記</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前提・制約・補足</a:t>
            </a:r>
            <a:endParaRPr lang="ja-JP" altLang="en-US" sz="800" dirty="0">
              <a:latin typeface="Meiryo UI"/>
              <a:ea typeface="Meiryo UI"/>
            </a:endParaRPr>
          </a:p>
        </xdr:txBody>
      </xdr:sp>
      <xdr:sp macro="" textlink="">
        <xdr:nvSpPr>
          <xdr:cNvPr id="578" name="左ライン">
            <a:extLst>
              <a:ext uri="{FF2B5EF4-FFF2-40B4-BE49-F238E27FC236}">
                <a16:creationId xmlns:a16="http://schemas.microsoft.com/office/drawing/2014/main" id="{C5F18BF8-A544-4E1B-909E-9C937367234F}"/>
              </a:ext>
            </a:extLst>
          </xdr:cNvPr>
          <xdr:cNvSpPr/>
        </xdr:nvSpPr>
        <xdr:spPr>
          <a:xfrm>
            <a:off x="6286500" y="26670000"/>
            <a:ext cx="38100" cy="571500"/>
          </a:xfrm>
          <a:prstGeom prst="rect">
            <a:avLst/>
          </a:prstGeom>
          <a:solidFill>
            <a:srgbClr val="247966"/>
          </a:solidFill>
          <a:ln>
            <a:noFill/>
          </a:ln>
        </xdr:spPr>
        <xdr:txBody>
          <a:bodyPr vertOverflow="overflow" horzOverflow="overflow" wrap="square" lIns="38100" tIns="19050" rIns="38100" bIns="19050" rtlCol="0" anchor="ctr">
            <a:noAutofit/>
          </a:bodyPr>
          <a:lstStyle/>
          <a:p>
            <a:pPr algn="l"/>
            <a:endParaRPr lang="ja-JP" altLang="en-US" sz="600" dirty="0">
              <a:latin typeface="Meiryo UI"/>
              <a:ea typeface="Meiryo UI"/>
            </a:endParaRPr>
          </a:p>
        </xdr:txBody>
      </xdr:sp>
    </xdr:grpSp>
    <xdr:clientData/>
  </xdr:twoCellAnchor>
  <xdr:twoCellAnchor editAs="oneCell">
    <xdr:from>
      <xdr:col>44</xdr:col>
      <xdr:colOff>0</xdr:colOff>
      <xdr:row>140</xdr:row>
      <xdr:rowOff>0</xdr:rowOff>
    </xdr:from>
    <xdr:to>
      <xdr:col>52</xdr:col>
      <xdr:colOff>0</xdr:colOff>
      <xdr:row>143</xdr:row>
      <xdr:rowOff>0</xdr:rowOff>
    </xdr:to>
    <xdr:grpSp>
      <xdr:nvGrpSpPr>
        <xdr:cNvPr id="579" name="コメント: 付記（ルートC）">
          <a:extLst>
            <a:ext uri="{FF2B5EF4-FFF2-40B4-BE49-F238E27FC236}">
              <a16:creationId xmlns:a16="http://schemas.microsoft.com/office/drawing/2014/main" id="{DD9BA86C-9574-4879-A825-2266D95FA846}"/>
            </a:ext>
          </a:extLst>
        </xdr:cNvPr>
        <xdr:cNvGrpSpPr/>
      </xdr:nvGrpSpPr>
      <xdr:grpSpPr>
        <a:xfrm>
          <a:off x="8382000" y="26670000"/>
          <a:ext cx="1524000" cy="571500"/>
          <a:chOff x="8382000" y="26670000"/>
          <a:chExt cx="1524000" cy="571500"/>
        </a:xfrm>
      </xdr:grpSpPr>
      <xdr:sp macro="" textlink="">
        <xdr:nvSpPr>
          <xdr:cNvPr id="580" name="本文">
            <a:extLst>
              <a:ext uri="{FF2B5EF4-FFF2-40B4-BE49-F238E27FC236}">
                <a16:creationId xmlns:a16="http://schemas.microsoft.com/office/drawing/2014/main" id="{E0D29973-7637-4A65-AF59-A90B3B7579AC}"/>
              </a:ext>
            </a:extLst>
          </xdr:cNvPr>
          <xdr:cNvSpPr/>
        </xdr:nvSpPr>
        <xdr:spPr>
          <a:xfrm>
            <a:off x="8382000" y="26670000"/>
            <a:ext cx="1524000" cy="571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EF6F2"/>
          </a:solidFill>
          <a:ln>
            <a:noFill/>
          </a:ln>
        </xdr:spPr>
        <xdr:txBody>
          <a:bodyPr vertOverflow="overflow" horzOverflow="overflow" wrap="square" lIns="114300" tIns="50800" rIns="76200" bIns="38100" rtlCol="0" anchor="t">
            <a:noAutofit/>
          </a:bodyPr>
          <a:lstStyle/>
          <a:p>
            <a:pPr algn="l"/>
            <a:r>
              <a:rPr lang="ja-JP" altLang="en-US" sz="800" b="1" dirty="0">
                <a:solidFill>
                  <a:srgbClr val="954717"/>
                </a:solidFill>
                <a:latin typeface="Meiryo UI"/>
                <a:ea typeface="Meiryo UI"/>
                <a:cs typeface="Meiryo UI"/>
              </a:rPr>
              <a:t>付記</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前提・制約・補足</a:t>
            </a:r>
            <a:endParaRPr lang="ja-JP" altLang="en-US" sz="800" dirty="0">
              <a:latin typeface="Meiryo UI"/>
              <a:ea typeface="Meiryo UI"/>
            </a:endParaRPr>
          </a:p>
        </xdr:txBody>
      </xdr:sp>
      <xdr:sp macro="" textlink="">
        <xdr:nvSpPr>
          <xdr:cNvPr id="581" name="左ライン">
            <a:extLst>
              <a:ext uri="{FF2B5EF4-FFF2-40B4-BE49-F238E27FC236}">
                <a16:creationId xmlns:a16="http://schemas.microsoft.com/office/drawing/2014/main" id="{490D433E-D763-4398-867F-18B7EFE00200}"/>
              </a:ext>
            </a:extLst>
          </xdr:cNvPr>
          <xdr:cNvSpPr/>
        </xdr:nvSpPr>
        <xdr:spPr>
          <a:xfrm>
            <a:off x="8382000" y="26670000"/>
            <a:ext cx="38100" cy="571500"/>
          </a:xfrm>
          <a:prstGeom prst="rect">
            <a:avLst/>
          </a:prstGeom>
          <a:solidFill>
            <a:srgbClr val="C46B39"/>
          </a:solidFill>
          <a:ln>
            <a:noFill/>
          </a:ln>
        </xdr:spPr>
        <xdr:txBody>
          <a:bodyPr vertOverflow="overflow" horzOverflow="overflow" wrap="square" lIns="38100" tIns="19050" rIns="38100" bIns="19050" rtlCol="0" anchor="ctr">
            <a:noAutofit/>
          </a:bodyPr>
          <a:lstStyle/>
          <a:p>
            <a:pPr algn="l"/>
            <a:endParaRPr lang="ja-JP" altLang="en-US" sz="600" dirty="0">
              <a:latin typeface="Meiryo UI"/>
              <a:ea typeface="Meiryo UI"/>
            </a:endParaRPr>
          </a:p>
        </xdr:txBody>
      </xdr:sp>
    </xdr:grpSp>
    <xdr:clientData/>
  </xdr:twoCellAnchor>
  <xdr:twoCellAnchor editAs="oneCell">
    <xdr:from>
      <xdr:col>55</xdr:col>
      <xdr:colOff>0</xdr:colOff>
      <xdr:row>140</xdr:row>
      <xdr:rowOff>0</xdr:rowOff>
    </xdr:from>
    <xdr:to>
      <xdr:col>63</xdr:col>
      <xdr:colOff>0</xdr:colOff>
      <xdr:row>143</xdr:row>
      <xdr:rowOff>0</xdr:rowOff>
    </xdr:to>
    <xdr:grpSp>
      <xdr:nvGrpSpPr>
        <xdr:cNvPr id="582" name="コメント: 付記（ルートD）">
          <a:extLst>
            <a:ext uri="{FF2B5EF4-FFF2-40B4-BE49-F238E27FC236}">
              <a16:creationId xmlns:a16="http://schemas.microsoft.com/office/drawing/2014/main" id="{93FBD88D-62C9-46AD-A59B-FE0AE008AF1F}"/>
            </a:ext>
          </a:extLst>
        </xdr:cNvPr>
        <xdr:cNvGrpSpPr/>
      </xdr:nvGrpSpPr>
      <xdr:grpSpPr>
        <a:xfrm>
          <a:off x="10477500" y="26670000"/>
          <a:ext cx="1524000" cy="571500"/>
          <a:chOff x="10477500" y="26670000"/>
          <a:chExt cx="1524000" cy="571500"/>
        </a:xfrm>
      </xdr:grpSpPr>
      <xdr:sp macro="" textlink="">
        <xdr:nvSpPr>
          <xdr:cNvPr id="583" name="本文">
            <a:extLst>
              <a:ext uri="{FF2B5EF4-FFF2-40B4-BE49-F238E27FC236}">
                <a16:creationId xmlns:a16="http://schemas.microsoft.com/office/drawing/2014/main" id="{B782F8F7-BC07-4F77-8FD0-89BDF310858D}"/>
              </a:ext>
            </a:extLst>
          </xdr:cNvPr>
          <xdr:cNvSpPr/>
        </xdr:nvSpPr>
        <xdr:spPr>
          <a:xfrm>
            <a:off x="10477500" y="26670000"/>
            <a:ext cx="1524000" cy="571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AF6FD"/>
          </a:solidFill>
          <a:ln>
            <a:noFill/>
          </a:ln>
        </xdr:spPr>
        <xdr:txBody>
          <a:bodyPr vertOverflow="overflow" horzOverflow="overflow" wrap="square" lIns="114300" tIns="50800" rIns="76200" bIns="38100" rtlCol="0" anchor="t">
            <a:noAutofit/>
          </a:bodyPr>
          <a:lstStyle/>
          <a:p>
            <a:pPr algn="l"/>
            <a:r>
              <a:rPr lang="ja-JP" altLang="en-US" sz="800" b="1" dirty="0">
                <a:solidFill>
                  <a:srgbClr val="5D4578"/>
                </a:solidFill>
                <a:latin typeface="Meiryo UI"/>
                <a:ea typeface="Meiryo UI"/>
                <a:cs typeface="Meiryo UI"/>
              </a:rPr>
              <a:t>付記</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前提・制約・補足</a:t>
            </a:r>
            <a:endParaRPr lang="ja-JP" altLang="en-US" sz="800" dirty="0">
              <a:latin typeface="Meiryo UI"/>
              <a:ea typeface="Meiryo UI"/>
            </a:endParaRPr>
          </a:p>
        </xdr:txBody>
      </xdr:sp>
      <xdr:sp macro="" textlink="">
        <xdr:nvSpPr>
          <xdr:cNvPr id="584" name="左ライン">
            <a:extLst>
              <a:ext uri="{FF2B5EF4-FFF2-40B4-BE49-F238E27FC236}">
                <a16:creationId xmlns:a16="http://schemas.microsoft.com/office/drawing/2014/main" id="{2027548C-5FA0-4082-BDF1-1223D34BE880}"/>
              </a:ext>
            </a:extLst>
          </xdr:cNvPr>
          <xdr:cNvSpPr/>
        </xdr:nvSpPr>
        <xdr:spPr>
          <a:xfrm>
            <a:off x="10477500" y="26670000"/>
            <a:ext cx="38100" cy="571500"/>
          </a:xfrm>
          <a:prstGeom prst="rect">
            <a:avLst/>
          </a:prstGeom>
          <a:solidFill>
            <a:srgbClr val="876BA6"/>
          </a:solidFill>
          <a:ln>
            <a:noFill/>
          </a:ln>
        </xdr:spPr>
        <xdr:txBody>
          <a:bodyPr vertOverflow="overflow" horzOverflow="overflow" wrap="square" lIns="38100" tIns="19050" rIns="38100" bIns="19050" rtlCol="0" anchor="ctr">
            <a:noAutofit/>
          </a:bodyPr>
          <a:lstStyle/>
          <a:p>
            <a:pPr algn="l"/>
            <a:endParaRPr lang="ja-JP" altLang="en-US" sz="600" dirty="0">
              <a:latin typeface="Meiryo UI"/>
              <a:ea typeface="Meiryo UI"/>
            </a:endParaRPr>
          </a:p>
        </xdr:txBody>
      </xdr:sp>
    </xdr:grpSp>
    <xdr:clientData/>
  </xdr:twoCellAnchor>
  <xdr:twoCellAnchor editAs="oneCell">
    <xdr:from>
      <xdr:col>66</xdr:col>
      <xdr:colOff>0</xdr:colOff>
      <xdr:row>140</xdr:row>
      <xdr:rowOff>0</xdr:rowOff>
    </xdr:from>
    <xdr:to>
      <xdr:col>74</xdr:col>
      <xdr:colOff>0</xdr:colOff>
      <xdr:row>143</xdr:row>
      <xdr:rowOff>0</xdr:rowOff>
    </xdr:to>
    <xdr:grpSp>
      <xdr:nvGrpSpPr>
        <xdr:cNvPr id="585" name="コメント: 付記（ルートE）">
          <a:extLst>
            <a:ext uri="{FF2B5EF4-FFF2-40B4-BE49-F238E27FC236}">
              <a16:creationId xmlns:a16="http://schemas.microsoft.com/office/drawing/2014/main" id="{8C02B20D-3361-4A53-A7C7-97F024974F2F}"/>
            </a:ext>
          </a:extLst>
        </xdr:cNvPr>
        <xdr:cNvGrpSpPr/>
      </xdr:nvGrpSpPr>
      <xdr:grpSpPr>
        <a:xfrm>
          <a:off x="12573000" y="26670000"/>
          <a:ext cx="1524000" cy="571500"/>
          <a:chOff x="12573000" y="26670000"/>
          <a:chExt cx="1524000" cy="571500"/>
        </a:xfrm>
      </xdr:grpSpPr>
      <xdr:sp macro="" textlink="">
        <xdr:nvSpPr>
          <xdr:cNvPr id="586" name="本文">
            <a:extLst>
              <a:ext uri="{FF2B5EF4-FFF2-40B4-BE49-F238E27FC236}">
                <a16:creationId xmlns:a16="http://schemas.microsoft.com/office/drawing/2014/main" id="{6B31C105-8B0A-40CD-B85B-66A8E4F6C21D}"/>
              </a:ext>
            </a:extLst>
          </xdr:cNvPr>
          <xdr:cNvSpPr/>
        </xdr:nvSpPr>
        <xdr:spPr>
          <a:xfrm>
            <a:off x="12573000" y="26670000"/>
            <a:ext cx="1524000" cy="571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FF5F7"/>
          </a:solidFill>
          <a:ln>
            <a:noFill/>
          </a:ln>
        </xdr:spPr>
        <xdr:txBody>
          <a:bodyPr vertOverflow="overflow" horzOverflow="overflow" wrap="square" lIns="114300" tIns="50800" rIns="76200" bIns="38100" rtlCol="0" anchor="t">
            <a:noAutofit/>
          </a:bodyPr>
          <a:lstStyle/>
          <a:p>
            <a:pPr algn="l"/>
            <a:r>
              <a:rPr lang="ja-JP" altLang="en-US" sz="800" b="1" dirty="0">
                <a:solidFill>
                  <a:srgbClr val="7E2643"/>
                </a:solidFill>
                <a:latin typeface="Meiryo UI"/>
                <a:ea typeface="Meiryo UI"/>
                <a:cs typeface="Meiryo UI"/>
              </a:rPr>
              <a:t>付記</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前提・制約・補足</a:t>
            </a:r>
            <a:endParaRPr lang="ja-JP" altLang="en-US" sz="800" dirty="0">
              <a:latin typeface="Meiryo UI"/>
              <a:ea typeface="Meiryo UI"/>
            </a:endParaRPr>
          </a:p>
        </xdr:txBody>
      </xdr:sp>
      <xdr:sp macro="" textlink="">
        <xdr:nvSpPr>
          <xdr:cNvPr id="587" name="左ライン">
            <a:extLst>
              <a:ext uri="{FF2B5EF4-FFF2-40B4-BE49-F238E27FC236}">
                <a16:creationId xmlns:a16="http://schemas.microsoft.com/office/drawing/2014/main" id="{66B41E0D-4A16-4B3E-BC03-98A4AEFF8161}"/>
              </a:ext>
            </a:extLst>
          </xdr:cNvPr>
          <xdr:cNvSpPr/>
        </xdr:nvSpPr>
        <xdr:spPr>
          <a:xfrm>
            <a:off x="12573000" y="26670000"/>
            <a:ext cx="38100" cy="571500"/>
          </a:xfrm>
          <a:prstGeom prst="rect">
            <a:avLst/>
          </a:prstGeom>
          <a:solidFill>
            <a:srgbClr val="B04B68"/>
          </a:solidFill>
          <a:ln>
            <a:noFill/>
          </a:ln>
        </xdr:spPr>
        <xdr:txBody>
          <a:bodyPr vertOverflow="overflow" horzOverflow="overflow" wrap="square" lIns="38100" tIns="19050" rIns="38100" bIns="19050" rtlCol="0" anchor="ctr">
            <a:noAutofit/>
          </a:bodyPr>
          <a:lstStyle/>
          <a:p>
            <a:pPr algn="l"/>
            <a:endParaRPr lang="ja-JP" altLang="en-US" sz="600" dirty="0">
              <a:latin typeface="Meiryo UI"/>
              <a:ea typeface="Meiryo UI"/>
            </a:endParaRPr>
          </a:p>
        </xdr:txBody>
      </xdr:sp>
    </xdr:grpSp>
    <xdr:clientData/>
  </xdr:twoCellAnchor>
  <xdr:twoCellAnchor editAs="oneCell">
    <xdr:from>
      <xdr:col>77</xdr:col>
      <xdr:colOff>0</xdr:colOff>
      <xdr:row>140</xdr:row>
      <xdr:rowOff>0</xdr:rowOff>
    </xdr:from>
    <xdr:to>
      <xdr:col>85</xdr:col>
      <xdr:colOff>0</xdr:colOff>
      <xdr:row>143</xdr:row>
      <xdr:rowOff>0</xdr:rowOff>
    </xdr:to>
    <xdr:grpSp>
      <xdr:nvGrpSpPr>
        <xdr:cNvPr id="588" name="コメント: 付記（ルートF）">
          <a:extLst>
            <a:ext uri="{FF2B5EF4-FFF2-40B4-BE49-F238E27FC236}">
              <a16:creationId xmlns:a16="http://schemas.microsoft.com/office/drawing/2014/main" id="{90111DFE-9D99-484F-AD42-CD1D4DDF76C2}"/>
            </a:ext>
          </a:extLst>
        </xdr:cNvPr>
        <xdr:cNvGrpSpPr/>
      </xdr:nvGrpSpPr>
      <xdr:grpSpPr>
        <a:xfrm>
          <a:off x="14668500" y="26670000"/>
          <a:ext cx="1524000" cy="571500"/>
          <a:chOff x="14668500" y="26670000"/>
          <a:chExt cx="1524000" cy="571500"/>
        </a:xfrm>
      </xdr:grpSpPr>
      <xdr:sp macro="" textlink="">
        <xdr:nvSpPr>
          <xdr:cNvPr id="589" name="本文">
            <a:extLst>
              <a:ext uri="{FF2B5EF4-FFF2-40B4-BE49-F238E27FC236}">
                <a16:creationId xmlns:a16="http://schemas.microsoft.com/office/drawing/2014/main" id="{2CABB8F3-53C1-42B8-BA5D-BC1DF156AE34}"/>
              </a:ext>
            </a:extLst>
          </xdr:cNvPr>
          <xdr:cNvSpPr/>
        </xdr:nvSpPr>
        <xdr:spPr>
          <a:xfrm>
            <a:off x="14668500" y="26670000"/>
            <a:ext cx="1524000" cy="5715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AF8F1"/>
          </a:solidFill>
          <a:ln>
            <a:noFill/>
          </a:ln>
        </xdr:spPr>
        <xdr:txBody>
          <a:bodyPr vertOverflow="overflow" horzOverflow="overflow" wrap="square" lIns="114300" tIns="50800" rIns="76200" bIns="38100" rtlCol="0" anchor="t">
            <a:noAutofit/>
          </a:bodyPr>
          <a:lstStyle/>
          <a:p>
            <a:pPr algn="l"/>
            <a:r>
              <a:rPr lang="ja-JP" altLang="en-US" sz="800" b="1" dirty="0">
                <a:solidFill>
                  <a:srgbClr val="433F00"/>
                </a:solidFill>
                <a:latin typeface="Meiryo UI"/>
                <a:ea typeface="Meiryo UI"/>
                <a:cs typeface="Meiryo UI"/>
              </a:rPr>
              <a:t>付記</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前提・制約・補足</a:t>
            </a:r>
            <a:endParaRPr lang="ja-JP" altLang="en-US" sz="800" dirty="0">
              <a:latin typeface="Meiryo UI"/>
              <a:ea typeface="Meiryo UI"/>
            </a:endParaRPr>
          </a:p>
        </xdr:txBody>
      </xdr:sp>
      <xdr:sp macro="" textlink="">
        <xdr:nvSpPr>
          <xdr:cNvPr id="590" name="左ライン">
            <a:extLst>
              <a:ext uri="{FF2B5EF4-FFF2-40B4-BE49-F238E27FC236}">
                <a16:creationId xmlns:a16="http://schemas.microsoft.com/office/drawing/2014/main" id="{0F2827B6-F7FD-4308-A61B-024D1C045F93}"/>
              </a:ext>
            </a:extLst>
          </xdr:cNvPr>
          <xdr:cNvSpPr/>
        </xdr:nvSpPr>
        <xdr:spPr>
          <a:xfrm>
            <a:off x="14668500" y="26670000"/>
            <a:ext cx="38100" cy="571500"/>
          </a:xfrm>
          <a:prstGeom prst="rect">
            <a:avLst/>
          </a:prstGeom>
          <a:solidFill>
            <a:srgbClr val="6B651D"/>
          </a:solidFill>
          <a:ln>
            <a:noFill/>
          </a:ln>
        </xdr:spPr>
        <xdr:txBody>
          <a:bodyPr vertOverflow="overflow" horzOverflow="overflow" wrap="square" lIns="38100" tIns="19050" rIns="38100" bIns="19050" rtlCol="0" anchor="ctr">
            <a:noAutofit/>
          </a:bodyPr>
          <a:lstStyle/>
          <a:p>
            <a:pPr algn="l"/>
            <a:endParaRPr lang="ja-JP" altLang="en-US" sz="600" dirty="0">
              <a:latin typeface="Meiryo UI"/>
              <a:ea typeface="Meiryo UI"/>
            </a:endParaRPr>
          </a:p>
        </xdr:txBody>
      </xdr:sp>
    </xdr:grpSp>
    <xdr:clientData/>
  </xdr:twoCellAnchor>
  <xdr:twoCellAnchor editAs="oneCell">
    <xdr:from>
      <xdr:col>11</xdr:col>
      <xdr:colOff>0</xdr:colOff>
      <xdr:row>145</xdr:row>
      <xdr:rowOff>0</xdr:rowOff>
    </xdr:from>
    <xdr:to>
      <xdr:col>19</xdr:col>
      <xdr:colOff>0</xdr:colOff>
      <xdr:row>148</xdr:row>
      <xdr:rowOff>0</xdr:rowOff>
    </xdr:to>
    <xdr:sp macro="" textlink="">
      <xdr:nvSpPr>
        <xdr:cNvPr id="591" name="コメント: 吹き出し（共通）">
          <a:extLst>
            <a:ext uri="{FF2B5EF4-FFF2-40B4-BE49-F238E27FC236}">
              <a16:creationId xmlns:a16="http://schemas.microsoft.com/office/drawing/2014/main" id="{DD0E6176-7A47-450D-A3F7-6E05842569C2}"/>
            </a:ext>
          </a:extLst>
        </xdr:cNvPr>
        <xdr:cNvSpPr/>
      </xdr:nvSpPr>
      <xdr:spPr>
        <a:xfrm>
          <a:off x="2095500" y="27622500"/>
          <a:ext cx="1524000" cy="571500"/>
        </a:xfrm>
        <a:prstGeom prst="wedgeRoundRectCallout">
          <a:avLst>
            <a:gd name="adj1" fmla="val -30000"/>
            <a:gd name="adj2" fmla="val 85000"/>
            <a:gd name="adj3" fmla="val 16667"/>
          </a:avLst>
        </a:prstGeom>
        <a:solidFill>
          <a:srgbClr val="FFFFFF"/>
        </a:solidFill>
        <a:ln w="12700" cap="flat">
          <a:solidFill>
            <a:srgbClr val="404040"/>
          </a:solidFill>
          <a:round/>
        </a:ln>
      </xdr:spPr>
      <xdr:txBody>
        <a:bodyPr vertOverflow="overflow" horzOverflow="overflow" wrap="square" lIns="63500" tIns="25400" rIns="63500" bIns="25400" rtlCol="0" anchor="ctr">
          <a:noAutofit/>
        </a:bodyPr>
        <a:lstStyle/>
        <a:p>
          <a:pPr algn="l"/>
          <a:r>
            <a:rPr lang="ja-JP" altLang="en-US" sz="800" b="0" dirty="0">
              <a:solidFill>
                <a:srgbClr val="404040"/>
              </a:solidFill>
              <a:latin typeface="Meiryo UI"/>
              <a:ea typeface="Meiryo UI"/>
              <a:cs typeface="Meiryo UI"/>
            </a:rPr>
            <a:t>図形・線への短い指摘</a:t>
          </a:r>
          <a:endParaRPr lang="ja-JP" altLang="en-US" sz="800" dirty="0">
            <a:latin typeface="Meiryo UI"/>
            <a:ea typeface="Meiryo UI"/>
          </a:endParaRPr>
        </a:p>
      </xdr:txBody>
    </xdr:sp>
    <xdr:clientData/>
  </xdr:twoCellAnchor>
  <xdr:twoCellAnchor editAs="oneCell">
    <xdr:from>
      <xdr:col>22</xdr:col>
      <xdr:colOff>0</xdr:colOff>
      <xdr:row>145</xdr:row>
      <xdr:rowOff>0</xdr:rowOff>
    </xdr:from>
    <xdr:to>
      <xdr:col>30</xdr:col>
      <xdr:colOff>0</xdr:colOff>
      <xdr:row>148</xdr:row>
      <xdr:rowOff>0</xdr:rowOff>
    </xdr:to>
    <xdr:sp macro="" textlink="">
      <xdr:nvSpPr>
        <xdr:cNvPr id="592" name="コメント: 吹き出し（ルートA）">
          <a:extLst>
            <a:ext uri="{FF2B5EF4-FFF2-40B4-BE49-F238E27FC236}">
              <a16:creationId xmlns:a16="http://schemas.microsoft.com/office/drawing/2014/main" id="{E306EC13-82C1-438B-AC66-DF7FA110CECD}"/>
            </a:ext>
          </a:extLst>
        </xdr:cNvPr>
        <xdr:cNvSpPr/>
      </xdr:nvSpPr>
      <xdr:spPr>
        <a:xfrm>
          <a:off x="4191000" y="27622500"/>
          <a:ext cx="1524000" cy="571500"/>
        </a:xfrm>
        <a:prstGeom prst="wedgeRoundRectCallout">
          <a:avLst>
            <a:gd name="adj1" fmla="val -30000"/>
            <a:gd name="adj2" fmla="val 85000"/>
            <a:gd name="adj3" fmla="val 16667"/>
          </a:avLst>
        </a:prstGeom>
        <a:solidFill>
          <a:srgbClr val="FFFFFF"/>
        </a:solidFill>
        <a:ln w="12700" cap="flat">
          <a:solidFill>
            <a:srgbClr val="315C92"/>
          </a:solidFill>
          <a:round/>
        </a:ln>
      </xdr:spPr>
      <xdr:txBody>
        <a:bodyPr vertOverflow="overflow" horzOverflow="overflow" wrap="square" lIns="63500" tIns="25400" rIns="63500" bIns="25400" rtlCol="0" anchor="ctr">
          <a:noAutofit/>
        </a:bodyPr>
        <a:lstStyle/>
        <a:p>
          <a:pPr algn="l"/>
          <a:r>
            <a:rPr lang="ja-JP" altLang="en-US" sz="800" b="0" dirty="0">
              <a:solidFill>
                <a:srgbClr val="404040"/>
              </a:solidFill>
              <a:latin typeface="Meiryo UI"/>
              <a:ea typeface="Meiryo UI"/>
              <a:cs typeface="Meiryo UI"/>
            </a:rPr>
            <a:t>図形・線への短い指摘</a:t>
          </a:r>
          <a:endParaRPr lang="ja-JP" altLang="en-US" sz="800" dirty="0">
            <a:latin typeface="Meiryo UI"/>
            <a:ea typeface="Meiryo UI"/>
          </a:endParaRPr>
        </a:p>
      </xdr:txBody>
    </xdr:sp>
    <xdr:clientData/>
  </xdr:twoCellAnchor>
  <xdr:twoCellAnchor editAs="oneCell">
    <xdr:from>
      <xdr:col>33</xdr:col>
      <xdr:colOff>0</xdr:colOff>
      <xdr:row>145</xdr:row>
      <xdr:rowOff>0</xdr:rowOff>
    </xdr:from>
    <xdr:to>
      <xdr:col>41</xdr:col>
      <xdr:colOff>0</xdr:colOff>
      <xdr:row>148</xdr:row>
      <xdr:rowOff>0</xdr:rowOff>
    </xdr:to>
    <xdr:sp macro="" textlink="">
      <xdr:nvSpPr>
        <xdr:cNvPr id="593" name="コメント: 吹き出し（ルートB）">
          <a:extLst>
            <a:ext uri="{FF2B5EF4-FFF2-40B4-BE49-F238E27FC236}">
              <a16:creationId xmlns:a16="http://schemas.microsoft.com/office/drawing/2014/main" id="{EB094E30-7A68-43CA-9C26-493E89B8801B}"/>
            </a:ext>
          </a:extLst>
        </xdr:cNvPr>
        <xdr:cNvSpPr/>
      </xdr:nvSpPr>
      <xdr:spPr>
        <a:xfrm>
          <a:off x="6286500" y="27622500"/>
          <a:ext cx="1524000" cy="571500"/>
        </a:xfrm>
        <a:prstGeom prst="wedgeRoundRectCallout">
          <a:avLst>
            <a:gd name="adj1" fmla="val -30000"/>
            <a:gd name="adj2" fmla="val 85000"/>
            <a:gd name="adj3" fmla="val 16667"/>
          </a:avLst>
        </a:prstGeom>
        <a:solidFill>
          <a:srgbClr val="FFFFFF"/>
        </a:solidFill>
        <a:ln w="12700" cap="flat">
          <a:solidFill>
            <a:srgbClr val="247966"/>
          </a:solidFill>
          <a:round/>
        </a:ln>
      </xdr:spPr>
      <xdr:txBody>
        <a:bodyPr vertOverflow="overflow" horzOverflow="overflow" wrap="square" lIns="63500" tIns="25400" rIns="63500" bIns="25400" rtlCol="0" anchor="ctr">
          <a:noAutofit/>
        </a:bodyPr>
        <a:lstStyle/>
        <a:p>
          <a:pPr algn="l"/>
          <a:r>
            <a:rPr lang="ja-JP" altLang="en-US" sz="800" b="0" dirty="0">
              <a:solidFill>
                <a:srgbClr val="404040"/>
              </a:solidFill>
              <a:latin typeface="Meiryo UI"/>
              <a:ea typeface="Meiryo UI"/>
              <a:cs typeface="Meiryo UI"/>
            </a:rPr>
            <a:t>図形・線への短い指摘</a:t>
          </a:r>
          <a:endParaRPr lang="ja-JP" altLang="en-US" sz="800" dirty="0">
            <a:latin typeface="Meiryo UI"/>
            <a:ea typeface="Meiryo UI"/>
          </a:endParaRPr>
        </a:p>
      </xdr:txBody>
    </xdr:sp>
    <xdr:clientData/>
  </xdr:twoCellAnchor>
  <xdr:twoCellAnchor editAs="oneCell">
    <xdr:from>
      <xdr:col>44</xdr:col>
      <xdr:colOff>0</xdr:colOff>
      <xdr:row>145</xdr:row>
      <xdr:rowOff>0</xdr:rowOff>
    </xdr:from>
    <xdr:to>
      <xdr:col>52</xdr:col>
      <xdr:colOff>0</xdr:colOff>
      <xdr:row>148</xdr:row>
      <xdr:rowOff>0</xdr:rowOff>
    </xdr:to>
    <xdr:sp macro="" textlink="">
      <xdr:nvSpPr>
        <xdr:cNvPr id="594" name="コメント: 吹き出し（ルートC）">
          <a:extLst>
            <a:ext uri="{FF2B5EF4-FFF2-40B4-BE49-F238E27FC236}">
              <a16:creationId xmlns:a16="http://schemas.microsoft.com/office/drawing/2014/main" id="{4222720C-ACF7-4688-9B09-65BB22B283F8}"/>
            </a:ext>
          </a:extLst>
        </xdr:cNvPr>
        <xdr:cNvSpPr/>
      </xdr:nvSpPr>
      <xdr:spPr>
        <a:xfrm>
          <a:off x="8382000" y="27622500"/>
          <a:ext cx="1524000" cy="571500"/>
        </a:xfrm>
        <a:prstGeom prst="wedgeRoundRectCallout">
          <a:avLst>
            <a:gd name="adj1" fmla="val -30000"/>
            <a:gd name="adj2" fmla="val 85000"/>
            <a:gd name="adj3" fmla="val 16667"/>
          </a:avLst>
        </a:prstGeom>
        <a:solidFill>
          <a:srgbClr val="FFFFFF"/>
        </a:solidFill>
        <a:ln w="12700" cap="flat">
          <a:solidFill>
            <a:srgbClr val="C46B39"/>
          </a:solidFill>
          <a:round/>
        </a:ln>
      </xdr:spPr>
      <xdr:txBody>
        <a:bodyPr vertOverflow="overflow" horzOverflow="overflow" wrap="square" lIns="63500" tIns="25400" rIns="63500" bIns="25400" rtlCol="0" anchor="ctr">
          <a:noAutofit/>
        </a:bodyPr>
        <a:lstStyle/>
        <a:p>
          <a:pPr algn="l"/>
          <a:r>
            <a:rPr lang="ja-JP" altLang="en-US" sz="800" b="0" dirty="0">
              <a:solidFill>
                <a:srgbClr val="404040"/>
              </a:solidFill>
              <a:latin typeface="Meiryo UI"/>
              <a:ea typeface="Meiryo UI"/>
              <a:cs typeface="Meiryo UI"/>
            </a:rPr>
            <a:t>図形・線への短い指摘</a:t>
          </a:r>
          <a:endParaRPr lang="ja-JP" altLang="en-US" sz="800" dirty="0">
            <a:latin typeface="Meiryo UI"/>
            <a:ea typeface="Meiryo UI"/>
          </a:endParaRPr>
        </a:p>
      </xdr:txBody>
    </xdr:sp>
    <xdr:clientData/>
  </xdr:twoCellAnchor>
  <xdr:twoCellAnchor editAs="oneCell">
    <xdr:from>
      <xdr:col>55</xdr:col>
      <xdr:colOff>0</xdr:colOff>
      <xdr:row>145</xdr:row>
      <xdr:rowOff>0</xdr:rowOff>
    </xdr:from>
    <xdr:to>
      <xdr:col>63</xdr:col>
      <xdr:colOff>0</xdr:colOff>
      <xdr:row>148</xdr:row>
      <xdr:rowOff>0</xdr:rowOff>
    </xdr:to>
    <xdr:sp macro="" textlink="">
      <xdr:nvSpPr>
        <xdr:cNvPr id="595" name="コメント: 吹き出し（ルートD）">
          <a:extLst>
            <a:ext uri="{FF2B5EF4-FFF2-40B4-BE49-F238E27FC236}">
              <a16:creationId xmlns:a16="http://schemas.microsoft.com/office/drawing/2014/main" id="{74EF3002-FC1E-4936-A9B9-F011B64A3614}"/>
            </a:ext>
          </a:extLst>
        </xdr:cNvPr>
        <xdr:cNvSpPr/>
      </xdr:nvSpPr>
      <xdr:spPr>
        <a:xfrm>
          <a:off x="10477500" y="27622500"/>
          <a:ext cx="1524000" cy="571500"/>
        </a:xfrm>
        <a:prstGeom prst="wedgeRoundRectCallout">
          <a:avLst>
            <a:gd name="adj1" fmla="val -30000"/>
            <a:gd name="adj2" fmla="val 85000"/>
            <a:gd name="adj3" fmla="val 16667"/>
          </a:avLst>
        </a:prstGeom>
        <a:solidFill>
          <a:srgbClr val="FFFFFF"/>
        </a:solidFill>
        <a:ln w="12700" cap="flat">
          <a:solidFill>
            <a:srgbClr val="876BA6"/>
          </a:solidFill>
          <a:round/>
        </a:ln>
      </xdr:spPr>
      <xdr:txBody>
        <a:bodyPr vertOverflow="overflow" horzOverflow="overflow" wrap="square" lIns="63500" tIns="25400" rIns="63500" bIns="25400" rtlCol="0" anchor="ctr">
          <a:noAutofit/>
        </a:bodyPr>
        <a:lstStyle/>
        <a:p>
          <a:pPr algn="l"/>
          <a:r>
            <a:rPr lang="ja-JP" altLang="en-US" sz="800" b="0" dirty="0">
              <a:solidFill>
                <a:srgbClr val="404040"/>
              </a:solidFill>
              <a:latin typeface="Meiryo UI"/>
              <a:ea typeface="Meiryo UI"/>
              <a:cs typeface="Meiryo UI"/>
            </a:rPr>
            <a:t>図形・線への短い指摘</a:t>
          </a:r>
          <a:endParaRPr lang="ja-JP" altLang="en-US" sz="800" dirty="0">
            <a:latin typeface="Meiryo UI"/>
            <a:ea typeface="Meiryo UI"/>
          </a:endParaRPr>
        </a:p>
      </xdr:txBody>
    </xdr:sp>
    <xdr:clientData/>
  </xdr:twoCellAnchor>
  <xdr:twoCellAnchor editAs="oneCell">
    <xdr:from>
      <xdr:col>66</xdr:col>
      <xdr:colOff>0</xdr:colOff>
      <xdr:row>145</xdr:row>
      <xdr:rowOff>0</xdr:rowOff>
    </xdr:from>
    <xdr:to>
      <xdr:col>74</xdr:col>
      <xdr:colOff>0</xdr:colOff>
      <xdr:row>148</xdr:row>
      <xdr:rowOff>0</xdr:rowOff>
    </xdr:to>
    <xdr:sp macro="" textlink="">
      <xdr:nvSpPr>
        <xdr:cNvPr id="596" name="コメント: 吹き出し（ルートE）">
          <a:extLst>
            <a:ext uri="{FF2B5EF4-FFF2-40B4-BE49-F238E27FC236}">
              <a16:creationId xmlns:a16="http://schemas.microsoft.com/office/drawing/2014/main" id="{BF9CF7B6-3F55-48D0-8F99-2B3047E812B4}"/>
            </a:ext>
          </a:extLst>
        </xdr:cNvPr>
        <xdr:cNvSpPr/>
      </xdr:nvSpPr>
      <xdr:spPr>
        <a:xfrm>
          <a:off x="12573000" y="27622500"/>
          <a:ext cx="1524000" cy="571500"/>
        </a:xfrm>
        <a:prstGeom prst="wedgeRoundRectCallout">
          <a:avLst>
            <a:gd name="adj1" fmla="val -30000"/>
            <a:gd name="adj2" fmla="val 85000"/>
            <a:gd name="adj3" fmla="val 16667"/>
          </a:avLst>
        </a:prstGeom>
        <a:solidFill>
          <a:srgbClr val="FFFFFF"/>
        </a:solidFill>
        <a:ln w="12700" cap="flat">
          <a:solidFill>
            <a:srgbClr val="B04B68"/>
          </a:solidFill>
          <a:round/>
        </a:ln>
      </xdr:spPr>
      <xdr:txBody>
        <a:bodyPr vertOverflow="overflow" horzOverflow="overflow" wrap="square" lIns="63500" tIns="25400" rIns="63500" bIns="25400" rtlCol="0" anchor="ctr">
          <a:noAutofit/>
        </a:bodyPr>
        <a:lstStyle/>
        <a:p>
          <a:pPr algn="l"/>
          <a:r>
            <a:rPr lang="ja-JP" altLang="en-US" sz="800" b="0" dirty="0">
              <a:solidFill>
                <a:srgbClr val="404040"/>
              </a:solidFill>
              <a:latin typeface="Meiryo UI"/>
              <a:ea typeface="Meiryo UI"/>
              <a:cs typeface="Meiryo UI"/>
            </a:rPr>
            <a:t>図形・線への短い指摘</a:t>
          </a:r>
          <a:endParaRPr lang="ja-JP" altLang="en-US" sz="800" dirty="0">
            <a:latin typeface="Meiryo UI"/>
            <a:ea typeface="Meiryo UI"/>
          </a:endParaRPr>
        </a:p>
      </xdr:txBody>
    </xdr:sp>
    <xdr:clientData/>
  </xdr:twoCellAnchor>
  <xdr:twoCellAnchor editAs="oneCell">
    <xdr:from>
      <xdr:col>77</xdr:col>
      <xdr:colOff>0</xdr:colOff>
      <xdr:row>145</xdr:row>
      <xdr:rowOff>0</xdr:rowOff>
    </xdr:from>
    <xdr:to>
      <xdr:col>85</xdr:col>
      <xdr:colOff>0</xdr:colOff>
      <xdr:row>148</xdr:row>
      <xdr:rowOff>0</xdr:rowOff>
    </xdr:to>
    <xdr:sp macro="" textlink="">
      <xdr:nvSpPr>
        <xdr:cNvPr id="597" name="コメント: 吹き出し（ルートF）">
          <a:extLst>
            <a:ext uri="{FF2B5EF4-FFF2-40B4-BE49-F238E27FC236}">
              <a16:creationId xmlns:a16="http://schemas.microsoft.com/office/drawing/2014/main" id="{644D1B61-C175-4AD2-8CBE-51E514817B10}"/>
            </a:ext>
          </a:extLst>
        </xdr:cNvPr>
        <xdr:cNvSpPr/>
      </xdr:nvSpPr>
      <xdr:spPr>
        <a:xfrm>
          <a:off x="14668500" y="27622500"/>
          <a:ext cx="1524000" cy="571500"/>
        </a:xfrm>
        <a:prstGeom prst="wedgeRoundRectCallout">
          <a:avLst>
            <a:gd name="adj1" fmla="val -30000"/>
            <a:gd name="adj2" fmla="val 85000"/>
            <a:gd name="adj3" fmla="val 16667"/>
          </a:avLst>
        </a:prstGeom>
        <a:solidFill>
          <a:srgbClr val="FFFFFF"/>
        </a:solidFill>
        <a:ln w="12700" cap="flat">
          <a:solidFill>
            <a:srgbClr val="6B651D"/>
          </a:solidFill>
          <a:round/>
        </a:ln>
      </xdr:spPr>
      <xdr:txBody>
        <a:bodyPr vertOverflow="overflow" horzOverflow="overflow" wrap="square" lIns="63500" tIns="25400" rIns="63500" bIns="25400" rtlCol="0" anchor="ctr">
          <a:noAutofit/>
        </a:bodyPr>
        <a:lstStyle/>
        <a:p>
          <a:pPr algn="l"/>
          <a:r>
            <a:rPr lang="ja-JP" altLang="en-US" sz="800" b="0" dirty="0">
              <a:solidFill>
                <a:srgbClr val="404040"/>
              </a:solidFill>
              <a:latin typeface="Meiryo UI"/>
              <a:ea typeface="Meiryo UI"/>
              <a:cs typeface="Meiryo UI"/>
            </a:rPr>
            <a:t>図形・線への短い指摘</a:t>
          </a:r>
          <a:endParaRPr lang="ja-JP" altLang="en-US" sz="800" dirty="0">
            <a:latin typeface="Meiryo UI"/>
            <a:ea typeface="Meiryo UI"/>
          </a:endParaRPr>
        </a:p>
      </xdr:txBody>
    </xdr:sp>
    <xdr:clientData/>
  </xdr:twoCellAnchor>
  <xdr:twoCellAnchor editAs="oneCell">
    <xdr:from>
      <xdr:col>11</xdr:col>
      <xdr:colOff>0</xdr:colOff>
      <xdr:row>151</xdr:row>
      <xdr:rowOff>0</xdr:rowOff>
    </xdr:from>
    <xdr:to>
      <xdr:col>19</xdr:col>
      <xdr:colOff>0</xdr:colOff>
      <xdr:row>155</xdr:row>
      <xdr:rowOff>0</xdr:rowOff>
    </xdr:to>
    <xdr:sp macro="" textlink="">
      <xdr:nvSpPr>
        <xdr:cNvPr id="598" name="コメント: 付箋（共通）">
          <a:extLst>
            <a:ext uri="{FF2B5EF4-FFF2-40B4-BE49-F238E27FC236}">
              <a16:creationId xmlns:a16="http://schemas.microsoft.com/office/drawing/2014/main" id="{74CE0984-97BD-4D22-87C9-095F4F1BF919}"/>
            </a:ext>
          </a:extLst>
        </xdr:cNvPr>
        <xdr:cNvSpPr/>
      </xdr:nvSpPr>
      <xdr:spPr>
        <a:xfrm>
          <a:off x="2095500" y="28765500"/>
          <a:ext cx="1524000" cy="762000"/>
        </a:xfrm>
        <a:custGeom>
          <a:avLst/>
          <a:gdLst>
            <a:gd name="x1" fmla="*/ w 1 4"/>
            <a:gd name="x2" fmla="*/ w 1 2"/>
            <a:gd name="x3" fmla="*/ w 3 4"/>
            <a:gd name="y1" fmla="*/ h 1 4"/>
            <a:gd name="y2" fmla="*/ h 1 2"/>
            <a:gd name="y3" fmla="*/ h 3 4"/>
            <a:gd name="smin" fmla="min w h"/>
            <a:gd name="fq" fmla="*/ smin 1 4"/>
            <a:gd name="f" fmla="min 114300 fq"/>
            <a:gd name="fx" fmla="+- r 0 f"/>
            <a:gd name="fy" fmla="+- b 0 f"/>
            <a:gd name="d5" fmla="*/ f 1 5"/>
            <a:gd name="x2b" fmla="+- fx d5 0"/>
            <a:gd name="y2b" fmla="+- fy d5 0"/>
            <a:gd name="fh" fmla="*/ f 1 2"/>
            <a:gd name="fmx" fmla="+- fx fh 0"/>
            <a:gd name="fmy" fmla="+- fy fh 0"/>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fmx" y="fmy"/>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stroke="0">
              <a:moveTo>
                <a:pt x="l" y="t"/>
              </a:moveTo>
              <a:lnTo>
                <a:pt x="r" y="t"/>
              </a:lnTo>
              <a:lnTo>
                <a:pt x="r" y="fy"/>
              </a:lnTo>
              <a:lnTo>
                <a:pt x="fx" y="b"/>
              </a:lnTo>
              <a:lnTo>
                <a:pt x="l" y="b"/>
              </a:lnTo>
              <a:close/>
            </a:path>
            <a:path fill="darkenLess" stroke="0" extrusionOk="0">
              <a:moveTo>
                <a:pt x="fx" y="b"/>
              </a:moveTo>
              <a:lnTo>
                <a:pt x="x2b" y="y2b"/>
              </a:lnTo>
              <a:lnTo>
                <a:pt x="r" y="fy"/>
              </a:lnTo>
              <a:close/>
            </a:path>
            <a:path fill="none" extrusionOk="0">
              <a:moveTo>
                <a:pt x="fx" y="b"/>
              </a:moveTo>
              <a:lnTo>
                <a:pt x="x2b" y="y2b"/>
              </a:lnTo>
              <a:lnTo>
                <a:pt x="r" y="fy"/>
              </a:lnTo>
              <a:lnTo>
                <a:pt x="fx" y="b"/>
              </a:lnTo>
              <a:lnTo>
                <a:pt x="l" y="b"/>
              </a:lnTo>
              <a:lnTo>
                <a:pt x="l" y="t"/>
              </a:lnTo>
              <a:lnTo>
                <a:pt x="r" y="t"/>
              </a:lnTo>
              <a:lnTo>
                <a:pt x="r" y="fy"/>
              </a:lnTo>
            </a:path>
          </a:pathLst>
        </a:custGeom>
        <a:solidFill>
          <a:srgbClr val="F2F2F2"/>
        </a:solidFill>
        <a:ln w="9525" cap="flat">
          <a:solidFill>
            <a:srgbClr val="D9D9D9"/>
          </a:solidFill>
          <a:round/>
        </a:ln>
      </xdr:spPr>
      <xdr:txBody>
        <a:bodyPr vertOverflow="overflow" horzOverflow="overflow" wrap="square" lIns="76200" tIns="50800" rIns="76200" bIns="38100" rtlCol="0" anchor="t">
          <a:noAutofit/>
        </a:bodyPr>
        <a:lstStyle/>
        <a:p>
          <a:pPr algn="l"/>
          <a:r>
            <a:rPr lang="ja-JP" altLang="en-US" sz="800" b="1" dirty="0">
              <a:solidFill>
                <a:srgbClr val="262626"/>
              </a:solidFill>
              <a:latin typeface="Meiryo UI"/>
              <a:ea typeface="Meiryo UI"/>
              <a:cs typeface="Meiryo UI"/>
            </a:rPr>
            <a:t>確認事項</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検討中・TODO</a:t>
          </a:r>
          <a:endParaRPr lang="ja-JP" altLang="en-US" sz="800" dirty="0">
            <a:latin typeface="Meiryo UI"/>
            <a:ea typeface="Meiryo UI"/>
          </a:endParaRPr>
        </a:p>
      </xdr:txBody>
    </xdr:sp>
    <xdr:clientData/>
  </xdr:twoCellAnchor>
  <xdr:twoCellAnchor editAs="oneCell">
    <xdr:from>
      <xdr:col>22</xdr:col>
      <xdr:colOff>0</xdr:colOff>
      <xdr:row>151</xdr:row>
      <xdr:rowOff>0</xdr:rowOff>
    </xdr:from>
    <xdr:to>
      <xdr:col>30</xdr:col>
      <xdr:colOff>0</xdr:colOff>
      <xdr:row>155</xdr:row>
      <xdr:rowOff>0</xdr:rowOff>
    </xdr:to>
    <xdr:sp macro="" textlink="">
      <xdr:nvSpPr>
        <xdr:cNvPr id="599" name="コメント: 付箋（ルートA）">
          <a:extLst>
            <a:ext uri="{FF2B5EF4-FFF2-40B4-BE49-F238E27FC236}">
              <a16:creationId xmlns:a16="http://schemas.microsoft.com/office/drawing/2014/main" id="{E58DEE58-936F-40D3-81C4-B9CDF01A9C60}"/>
            </a:ext>
          </a:extLst>
        </xdr:cNvPr>
        <xdr:cNvSpPr/>
      </xdr:nvSpPr>
      <xdr:spPr>
        <a:xfrm>
          <a:off x="4191000" y="28765500"/>
          <a:ext cx="1524000" cy="762000"/>
        </a:xfrm>
        <a:custGeom>
          <a:avLst/>
          <a:gdLst>
            <a:gd name="x1" fmla="*/ w 1 4"/>
            <a:gd name="x2" fmla="*/ w 1 2"/>
            <a:gd name="x3" fmla="*/ w 3 4"/>
            <a:gd name="y1" fmla="*/ h 1 4"/>
            <a:gd name="y2" fmla="*/ h 1 2"/>
            <a:gd name="y3" fmla="*/ h 3 4"/>
            <a:gd name="smin" fmla="min w h"/>
            <a:gd name="fq" fmla="*/ smin 1 4"/>
            <a:gd name="f" fmla="min 114300 fq"/>
            <a:gd name="fx" fmla="+- r 0 f"/>
            <a:gd name="fy" fmla="+- b 0 f"/>
            <a:gd name="d5" fmla="*/ f 1 5"/>
            <a:gd name="x2b" fmla="+- fx d5 0"/>
            <a:gd name="y2b" fmla="+- fy d5 0"/>
            <a:gd name="fh" fmla="*/ f 1 2"/>
            <a:gd name="fmx" fmla="+- fx fh 0"/>
            <a:gd name="fmy" fmla="+- fy fh 0"/>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fmx" y="fmy"/>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stroke="0">
              <a:moveTo>
                <a:pt x="l" y="t"/>
              </a:moveTo>
              <a:lnTo>
                <a:pt x="r" y="t"/>
              </a:lnTo>
              <a:lnTo>
                <a:pt x="r" y="fy"/>
              </a:lnTo>
              <a:lnTo>
                <a:pt x="fx" y="b"/>
              </a:lnTo>
              <a:lnTo>
                <a:pt x="l" y="b"/>
              </a:lnTo>
              <a:close/>
            </a:path>
            <a:path fill="darkenLess" stroke="0" extrusionOk="0">
              <a:moveTo>
                <a:pt x="fx" y="b"/>
              </a:moveTo>
              <a:lnTo>
                <a:pt x="x2b" y="y2b"/>
              </a:lnTo>
              <a:lnTo>
                <a:pt x="r" y="fy"/>
              </a:lnTo>
              <a:close/>
            </a:path>
            <a:path fill="none" extrusionOk="0">
              <a:moveTo>
                <a:pt x="fx" y="b"/>
              </a:moveTo>
              <a:lnTo>
                <a:pt x="x2b" y="y2b"/>
              </a:lnTo>
              <a:lnTo>
                <a:pt x="r" y="fy"/>
              </a:lnTo>
              <a:lnTo>
                <a:pt x="fx" y="b"/>
              </a:lnTo>
              <a:lnTo>
                <a:pt x="l" y="b"/>
              </a:lnTo>
              <a:lnTo>
                <a:pt x="l" y="t"/>
              </a:lnTo>
              <a:lnTo>
                <a:pt x="r" y="t"/>
              </a:lnTo>
              <a:lnTo>
                <a:pt x="r" y="fy"/>
              </a:lnTo>
            </a:path>
          </a:pathLst>
        </a:custGeom>
        <a:solidFill>
          <a:srgbClr val="E7F1FF"/>
        </a:solidFill>
        <a:ln w="9525" cap="flat">
          <a:solidFill>
            <a:srgbClr val="BCD3F2"/>
          </a:solidFill>
          <a:round/>
        </a:ln>
      </xdr:spPr>
      <xdr:txBody>
        <a:bodyPr vertOverflow="overflow" horzOverflow="overflow" wrap="square" lIns="76200" tIns="50800" rIns="76200" bIns="38100" rtlCol="0" anchor="t">
          <a:noAutofit/>
        </a:bodyPr>
        <a:lstStyle/>
        <a:p>
          <a:pPr algn="l"/>
          <a:r>
            <a:rPr lang="ja-JP" altLang="en-US" sz="800" b="1" dirty="0">
              <a:solidFill>
                <a:srgbClr val="113866"/>
              </a:solidFill>
              <a:latin typeface="Meiryo UI"/>
              <a:ea typeface="Meiryo UI"/>
              <a:cs typeface="Meiryo UI"/>
            </a:rPr>
            <a:t>確認事項</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検討中・TODO</a:t>
          </a:r>
          <a:endParaRPr lang="ja-JP" altLang="en-US" sz="800" dirty="0">
            <a:latin typeface="Meiryo UI"/>
            <a:ea typeface="Meiryo UI"/>
          </a:endParaRPr>
        </a:p>
      </xdr:txBody>
    </xdr:sp>
    <xdr:clientData/>
  </xdr:twoCellAnchor>
  <xdr:twoCellAnchor editAs="oneCell">
    <xdr:from>
      <xdr:col>33</xdr:col>
      <xdr:colOff>0</xdr:colOff>
      <xdr:row>151</xdr:row>
      <xdr:rowOff>0</xdr:rowOff>
    </xdr:from>
    <xdr:to>
      <xdr:col>41</xdr:col>
      <xdr:colOff>0</xdr:colOff>
      <xdr:row>155</xdr:row>
      <xdr:rowOff>0</xdr:rowOff>
    </xdr:to>
    <xdr:sp macro="" textlink="">
      <xdr:nvSpPr>
        <xdr:cNvPr id="600" name="コメント: 付箋（ルートB）">
          <a:extLst>
            <a:ext uri="{FF2B5EF4-FFF2-40B4-BE49-F238E27FC236}">
              <a16:creationId xmlns:a16="http://schemas.microsoft.com/office/drawing/2014/main" id="{0D579C13-A2AF-4999-BBA6-9923B9DBA956}"/>
            </a:ext>
          </a:extLst>
        </xdr:cNvPr>
        <xdr:cNvSpPr/>
      </xdr:nvSpPr>
      <xdr:spPr>
        <a:xfrm>
          <a:off x="6286500" y="28765500"/>
          <a:ext cx="1524000" cy="762000"/>
        </a:xfrm>
        <a:custGeom>
          <a:avLst/>
          <a:gdLst>
            <a:gd name="x1" fmla="*/ w 1 4"/>
            <a:gd name="x2" fmla="*/ w 1 2"/>
            <a:gd name="x3" fmla="*/ w 3 4"/>
            <a:gd name="y1" fmla="*/ h 1 4"/>
            <a:gd name="y2" fmla="*/ h 1 2"/>
            <a:gd name="y3" fmla="*/ h 3 4"/>
            <a:gd name="smin" fmla="min w h"/>
            <a:gd name="fq" fmla="*/ smin 1 4"/>
            <a:gd name="f" fmla="min 114300 fq"/>
            <a:gd name="fx" fmla="+- r 0 f"/>
            <a:gd name="fy" fmla="+- b 0 f"/>
            <a:gd name="d5" fmla="*/ f 1 5"/>
            <a:gd name="x2b" fmla="+- fx d5 0"/>
            <a:gd name="y2b" fmla="+- fy d5 0"/>
            <a:gd name="fh" fmla="*/ f 1 2"/>
            <a:gd name="fmx" fmla="+- fx fh 0"/>
            <a:gd name="fmy" fmla="+- fy fh 0"/>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fmx" y="fmy"/>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stroke="0">
              <a:moveTo>
                <a:pt x="l" y="t"/>
              </a:moveTo>
              <a:lnTo>
                <a:pt x="r" y="t"/>
              </a:lnTo>
              <a:lnTo>
                <a:pt x="r" y="fy"/>
              </a:lnTo>
              <a:lnTo>
                <a:pt x="fx" y="b"/>
              </a:lnTo>
              <a:lnTo>
                <a:pt x="l" y="b"/>
              </a:lnTo>
              <a:close/>
            </a:path>
            <a:path fill="darkenLess" stroke="0" extrusionOk="0">
              <a:moveTo>
                <a:pt x="fx" y="b"/>
              </a:moveTo>
              <a:lnTo>
                <a:pt x="x2b" y="y2b"/>
              </a:lnTo>
              <a:lnTo>
                <a:pt x="r" y="fy"/>
              </a:lnTo>
              <a:close/>
            </a:path>
            <a:path fill="none" extrusionOk="0">
              <a:moveTo>
                <a:pt x="fx" y="b"/>
              </a:moveTo>
              <a:lnTo>
                <a:pt x="x2b" y="y2b"/>
              </a:lnTo>
              <a:lnTo>
                <a:pt x="r" y="fy"/>
              </a:lnTo>
              <a:lnTo>
                <a:pt x="fx" y="b"/>
              </a:lnTo>
              <a:lnTo>
                <a:pt x="l" y="b"/>
              </a:lnTo>
              <a:lnTo>
                <a:pt x="l" y="t"/>
              </a:lnTo>
              <a:lnTo>
                <a:pt x="r" y="t"/>
              </a:lnTo>
              <a:lnTo>
                <a:pt x="r" y="fy"/>
              </a:lnTo>
            </a:path>
          </a:pathLst>
        </a:custGeom>
        <a:solidFill>
          <a:srgbClr val="E3F5EF"/>
        </a:solidFill>
        <a:ln w="9525" cap="flat">
          <a:solidFill>
            <a:srgbClr val="B0DCCF"/>
          </a:solidFill>
          <a:round/>
        </a:ln>
      </xdr:spPr>
      <xdr:txBody>
        <a:bodyPr vertOverflow="overflow" horzOverflow="overflow" wrap="square" lIns="76200" tIns="50800" rIns="76200" bIns="38100" rtlCol="0" anchor="t">
          <a:noAutofit/>
        </a:bodyPr>
        <a:lstStyle/>
        <a:p>
          <a:pPr algn="l"/>
          <a:r>
            <a:rPr lang="ja-JP" altLang="en-US" sz="800" b="1" dirty="0">
              <a:solidFill>
                <a:srgbClr val="005243"/>
              </a:solidFill>
              <a:latin typeface="Meiryo UI"/>
              <a:ea typeface="Meiryo UI"/>
              <a:cs typeface="Meiryo UI"/>
            </a:rPr>
            <a:t>確認事項</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検討中・TODO</a:t>
          </a:r>
          <a:endParaRPr lang="ja-JP" altLang="en-US" sz="800" dirty="0">
            <a:latin typeface="Meiryo UI"/>
            <a:ea typeface="Meiryo UI"/>
          </a:endParaRPr>
        </a:p>
      </xdr:txBody>
    </xdr:sp>
    <xdr:clientData/>
  </xdr:twoCellAnchor>
  <xdr:twoCellAnchor editAs="oneCell">
    <xdr:from>
      <xdr:col>44</xdr:col>
      <xdr:colOff>0</xdr:colOff>
      <xdr:row>151</xdr:row>
      <xdr:rowOff>0</xdr:rowOff>
    </xdr:from>
    <xdr:to>
      <xdr:col>52</xdr:col>
      <xdr:colOff>0</xdr:colOff>
      <xdr:row>155</xdr:row>
      <xdr:rowOff>0</xdr:rowOff>
    </xdr:to>
    <xdr:sp macro="" textlink="">
      <xdr:nvSpPr>
        <xdr:cNvPr id="601" name="コメント: 付箋（ルートC）">
          <a:extLst>
            <a:ext uri="{FF2B5EF4-FFF2-40B4-BE49-F238E27FC236}">
              <a16:creationId xmlns:a16="http://schemas.microsoft.com/office/drawing/2014/main" id="{BEC74E9F-2961-4678-AA34-31684C84898D}"/>
            </a:ext>
          </a:extLst>
        </xdr:cNvPr>
        <xdr:cNvSpPr/>
      </xdr:nvSpPr>
      <xdr:spPr>
        <a:xfrm>
          <a:off x="8382000" y="28765500"/>
          <a:ext cx="1524000" cy="762000"/>
        </a:xfrm>
        <a:custGeom>
          <a:avLst/>
          <a:gdLst>
            <a:gd name="x1" fmla="*/ w 1 4"/>
            <a:gd name="x2" fmla="*/ w 1 2"/>
            <a:gd name="x3" fmla="*/ w 3 4"/>
            <a:gd name="y1" fmla="*/ h 1 4"/>
            <a:gd name="y2" fmla="*/ h 1 2"/>
            <a:gd name="y3" fmla="*/ h 3 4"/>
            <a:gd name="smin" fmla="min w h"/>
            <a:gd name="fq" fmla="*/ smin 1 4"/>
            <a:gd name="f" fmla="min 114300 fq"/>
            <a:gd name="fx" fmla="+- r 0 f"/>
            <a:gd name="fy" fmla="+- b 0 f"/>
            <a:gd name="d5" fmla="*/ f 1 5"/>
            <a:gd name="x2b" fmla="+- fx d5 0"/>
            <a:gd name="y2b" fmla="+- fy d5 0"/>
            <a:gd name="fh" fmla="*/ f 1 2"/>
            <a:gd name="fmx" fmla="+- fx fh 0"/>
            <a:gd name="fmy" fmla="+- fy fh 0"/>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fmx" y="fmy"/>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stroke="0">
              <a:moveTo>
                <a:pt x="l" y="t"/>
              </a:moveTo>
              <a:lnTo>
                <a:pt x="r" y="t"/>
              </a:lnTo>
              <a:lnTo>
                <a:pt x="r" y="fy"/>
              </a:lnTo>
              <a:lnTo>
                <a:pt x="fx" y="b"/>
              </a:lnTo>
              <a:lnTo>
                <a:pt x="l" y="b"/>
              </a:lnTo>
              <a:close/>
            </a:path>
            <a:path fill="darkenLess" stroke="0" extrusionOk="0">
              <a:moveTo>
                <a:pt x="fx" y="b"/>
              </a:moveTo>
              <a:lnTo>
                <a:pt x="x2b" y="y2b"/>
              </a:lnTo>
              <a:lnTo>
                <a:pt x="r" y="fy"/>
              </a:lnTo>
              <a:close/>
            </a:path>
            <a:path fill="none" extrusionOk="0">
              <a:moveTo>
                <a:pt x="fx" y="b"/>
              </a:moveTo>
              <a:lnTo>
                <a:pt x="x2b" y="y2b"/>
              </a:lnTo>
              <a:lnTo>
                <a:pt x="r" y="fy"/>
              </a:lnTo>
              <a:lnTo>
                <a:pt x="fx" y="b"/>
              </a:lnTo>
              <a:lnTo>
                <a:pt x="l" y="b"/>
              </a:lnTo>
              <a:lnTo>
                <a:pt x="l" y="t"/>
              </a:lnTo>
              <a:lnTo>
                <a:pt x="r" y="t"/>
              </a:lnTo>
              <a:lnTo>
                <a:pt x="r" y="fy"/>
              </a:lnTo>
            </a:path>
          </a:pathLst>
        </a:custGeom>
        <a:solidFill>
          <a:srgbClr val="FDECE4"/>
        </a:solidFill>
        <a:ln w="9525" cap="flat">
          <a:solidFill>
            <a:srgbClr val="EEC8B5"/>
          </a:solidFill>
          <a:round/>
        </a:ln>
      </xdr:spPr>
      <xdr:txBody>
        <a:bodyPr vertOverflow="overflow" horzOverflow="overflow" wrap="square" lIns="76200" tIns="50800" rIns="76200" bIns="38100" rtlCol="0" anchor="t">
          <a:noAutofit/>
        </a:bodyPr>
        <a:lstStyle/>
        <a:p>
          <a:pPr algn="l"/>
          <a:r>
            <a:rPr lang="ja-JP" altLang="en-US" sz="800" b="1" dirty="0">
              <a:solidFill>
                <a:srgbClr val="954717"/>
              </a:solidFill>
              <a:latin typeface="Meiryo UI"/>
              <a:ea typeface="Meiryo UI"/>
              <a:cs typeface="Meiryo UI"/>
            </a:rPr>
            <a:t>確認事項</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検討中・TODO</a:t>
          </a:r>
          <a:endParaRPr lang="ja-JP" altLang="en-US" sz="800" dirty="0">
            <a:latin typeface="Meiryo UI"/>
            <a:ea typeface="Meiryo UI"/>
          </a:endParaRPr>
        </a:p>
      </xdr:txBody>
    </xdr:sp>
    <xdr:clientData/>
  </xdr:twoCellAnchor>
  <xdr:twoCellAnchor editAs="oneCell">
    <xdr:from>
      <xdr:col>55</xdr:col>
      <xdr:colOff>0</xdr:colOff>
      <xdr:row>151</xdr:row>
      <xdr:rowOff>0</xdr:rowOff>
    </xdr:from>
    <xdr:to>
      <xdr:col>63</xdr:col>
      <xdr:colOff>0</xdr:colOff>
      <xdr:row>155</xdr:row>
      <xdr:rowOff>0</xdr:rowOff>
    </xdr:to>
    <xdr:sp macro="" textlink="">
      <xdr:nvSpPr>
        <xdr:cNvPr id="602" name="コメント: 付箋（ルートD）">
          <a:extLst>
            <a:ext uri="{FF2B5EF4-FFF2-40B4-BE49-F238E27FC236}">
              <a16:creationId xmlns:a16="http://schemas.microsoft.com/office/drawing/2014/main" id="{6CB4A690-2276-49DB-9FFE-F87F6F2853DF}"/>
            </a:ext>
          </a:extLst>
        </xdr:cNvPr>
        <xdr:cNvSpPr/>
      </xdr:nvSpPr>
      <xdr:spPr>
        <a:xfrm>
          <a:off x="10477500" y="28765500"/>
          <a:ext cx="1524000" cy="762000"/>
        </a:xfrm>
        <a:custGeom>
          <a:avLst/>
          <a:gdLst>
            <a:gd name="x1" fmla="*/ w 1 4"/>
            <a:gd name="x2" fmla="*/ w 1 2"/>
            <a:gd name="x3" fmla="*/ w 3 4"/>
            <a:gd name="y1" fmla="*/ h 1 4"/>
            <a:gd name="y2" fmla="*/ h 1 2"/>
            <a:gd name="y3" fmla="*/ h 3 4"/>
            <a:gd name="smin" fmla="min w h"/>
            <a:gd name="fq" fmla="*/ smin 1 4"/>
            <a:gd name="f" fmla="min 114300 fq"/>
            <a:gd name="fx" fmla="+- r 0 f"/>
            <a:gd name="fy" fmla="+- b 0 f"/>
            <a:gd name="d5" fmla="*/ f 1 5"/>
            <a:gd name="x2b" fmla="+- fx d5 0"/>
            <a:gd name="y2b" fmla="+- fy d5 0"/>
            <a:gd name="fh" fmla="*/ f 1 2"/>
            <a:gd name="fmx" fmla="+- fx fh 0"/>
            <a:gd name="fmy" fmla="+- fy fh 0"/>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fmx" y="fmy"/>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stroke="0">
              <a:moveTo>
                <a:pt x="l" y="t"/>
              </a:moveTo>
              <a:lnTo>
                <a:pt x="r" y="t"/>
              </a:lnTo>
              <a:lnTo>
                <a:pt x="r" y="fy"/>
              </a:lnTo>
              <a:lnTo>
                <a:pt x="fx" y="b"/>
              </a:lnTo>
              <a:lnTo>
                <a:pt x="l" y="b"/>
              </a:lnTo>
              <a:close/>
            </a:path>
            <a:path fill="darkenLess" stroke="0" extrusionOk="0">
              <a:moveTo>
                <a:pt x="fx" y="b"/>
              </a:moveTo>
              <a:lnTo>
                <a:pt x="x2b" y="y2b"/>
              </a:lnTo>
              <a:lnTo>
                <a:pt x="r" y="fy"/>
              </a:lnTo>
              <a:close/>
            </a:path>
            <a:path fill="none" extrusionOk="0">
              <a:moveTo>
                <a:pt x="fx" y="b"/>
              </a:moveTo>
              <a:lnTo>
                <a:pt x="x2b" y="y2b"/>
              </a:lnTo>
              <a:lnTo>
                <a:pt x="r" y="fy"/>
              </a:lnTo>
              <a:lnTo>
                <a:pt x="fx" y="b"/>
              </a:lnTo>
              <a:lnTo>
                <a:pt x="l" y="b"/>
              </a:lnTo>
              <a:lnTo>
                <a:pt x="l" y="t"/>
              </a:lnTo>
              <a:lnTo>
                <a:pt x="r" y="t"/>
              </a:lnTo>
              <a:lnTo>
                <a:pt x="r" y="fy"/>
              </a:lnTo>
            </a:path>
          </a:pathLst>
        </a:custGeom>
        <a:solidFill>
          <a:srgbClr val="F5EEFC"/>
        </a:solidFill>
        <a:ln w="9525" cap="flat">
          <a:solidFill>
            <a:srgbClr val="DBCCEB"/>
          </a:solidFill>
          <a:round/>
        </a:ln>
      </xdr:spPr>
      <xdr:txBody>
        <a:bodyPr vertOverflow="overflow" horzOverflow="overflow" wrap="square" lIns="76200" tIns="50800" rIns="76200" bIns="38100" rtlCol="0" anchor="t">
          <a:noAutofit/>
        </a:bodyPr>
        <a:lstStyle/>
        <a:p>
          <a:pPr algn="l"/>
          <a:r>
            <a:rPr lang="ja-JP" altLang="en-US" sz="800" b="1" dirty="0">
              <a:solidFill>
                <a:srgbClr val="5D4578"/>
              </a:solidFill>
              <a:latin typeface="Meiryo UI"/>
              <a:ea typeface="Meiryo UI"/>
              <a:cs typeface="Meiryo UI"/>
            </a:rPr>
            <a:t>確認事項</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検討中・TODO</a:t>
          </a:r>
          <a:endParaRPr lang="ja-JP" altLang="en-US" sz="800" dirty="0">
            <a:latin typeface="Meiryo UI"/>
            <a:ea typeface="Meiryo UI"/>
          </a:endParaRPr>
        </a:p>
      </xdr:txBody>
    </xdr:sp>
    <xdr:clientData/>
  </xdr:twoCellAnchor>
  <xdr:twoCellAnchor editAs="oneCell">
    <xdr:from>
      <xdr:col>66</xdr:col>
      <xdr:colOff>0</xdr:colOff>
      <xdr:row>151</xdr:row>
      <xdr:rowOff>0</xdr:rowOff>
    </xdr:from>
    <xdr:to>
      <xdr:col>74</xdr:col>
      <xdr:colOff>0</xdr:colOff>
      <xdr:row>155</xdr:row>
      <xdr:rowOff>0</xdr:rowOff>
    </xdr:to>
    <xdr:sp macro="" textlink="">
      <xdr:nvSpPr>
        <xdr:cNvPr id="603" name="コメント: 付箋（ルートE）">
          <a:extLst>
            <a:ext uri="{FF2B5EF4-FFF2-40B4-BE49-F238E27FC236}">
              <a16:creationId xmlns:a16="http://schemas.microsoft.com/office/drawing/2014/main" id="{6784B2A2-2D67-4E98-AAEB-A6DEA2E4B8E2}"/>
            </a:ext>
          </a:extLst>
        </xdr:cNvPr>
        <xdr:cNvSpPr/>
      </xdr:nvSpPr>
      <xdr:spPr>
        <a:xfrm>
          <a:off x="12573000" y="28765500"/>
          <a:ext cx="1524000" cy="762000"/>
        </a:xfrm>
        <a:custGeom>
          <a:avLst/>
          <a:gdLst>
            <a:gd name="x1" fmla="*/ w 1 4"/>
            <a:gd name="x2" fmla="*/ w 1 2"/>
            <a:gd name="x3" fmla="*/ w 3 4"/>
            <a:gd name="y1" fmla="*/ h 1 4"/>
            <a:gd name="y2" fmla="*/ h 1 2"/>
            <a:gd name="y3" fmla="*/ h 3 4"/>
            <a:gd name="smin" fmla="min w h"/>
            <a:gd name="fq" fmla="*/ smin 1 4"/>
            <a:gd name="f" fmla="min 114300 fq"/>
            <a:gd name="fx" fmla="+- r 0 f"/>
            <a:gd name="fy" fmla="+- b 0 f"/>
            <a:gd name="d5" fmla="*/ f 1 5"/>
            <a:gd name="x2b" fmla="+- fx d5 0"/>
            <a:gd name="y2b" fmla="+- fy d5 0"/>
            <a:gd name="fh" fmla="*/ f 1 2"/>
            <a:gd name="fmx" fmla="+- fx fh 0"/>
            <a:gd name="fmy" fmla="+- fy fh 0"/>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fmx" y="fmy"/>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stroke="0">
              <a:moveTo>
                <a:pt x="l" y="t"/>
              </a:moveTo>
              <a:lnTo>
                <a:pt x="r" y="t"/>
              </a:lnTo>
              <a:lnTo>
                <a:pt x="r" y="fy"/>
              </a:lnTo>
              <a:lnTo>
                <a:pt x="fx" y="b"/>
              </a:lnTo>
              <a:lnTo>
                <a:pt x="l" y="b"/>
              </a:lnTo>
              <a:close/>
            </a:path>
            <a:path fill="darkenLess" stroke="0" extrusionOk="0">
              <a:moveTo>
                <a:pt x="fx" y="b"/>
              </a:moveTo>
              <a:lnTo>
                <a:pt x="x2b" y="y2b"/>
              </a:lnTo>
              <a:lnTo>
                <a:pt x="r" y="fy"/>
              </a:lnTo>
              <a:close/>
            </a:path>
            <a:path fill="none" extrusionOk="0">
              <a:moveTo>
                <a:pt x="fx" y="b"/>
              </a:moveTo>
              <a:lnTo>
                <a:pt x="x2b" y="y2b"/>
              </a:lnTo>
              <a:lnTo>
                <a:pt x="r" y="fy"/>
              </a:lnTo>
              <a:lnTo>
                <a:pt x="fx" y="b"/>
              </a:lnTo>
              <a:lnTo>
                <a:pt x="l" y="b"/>
              </a:lnTo>
              <a:lnTo>
                <a:pt x="l" y="t"/>
              </a:lnTo>
              <a:lnTo>
                <a:pt x="r" y="t"/>
              </a:lnTo>
              <a:lnTo>
                <a:pt x="r" y="fy"/>
              </a:lnTo>
            </a:path>
          </a:pathLst>
        </a:custGeom>
        <a:solidFill>
          <a:srgbClr val="FFECF0"/>
        </a:solidFill>
        <a:ln w="9525" cap="flat">
          <a:solidFill>
            <a:srgbClr val="F3C6CF"/>
          </a:solidFill>
          <a:round/>
        </a:ln>
      </xdr:spPr>
      <xdr:txBody>
        <a:bodyPr vertOverflow="overflow" horzOverflow="overflow" wrap="square" lIns="76200" tIns="50800" rIns="76200" bIns="38100" rtlCol="0" anchor="t">
          <a:noAutofit/>
        </a:bodyPr>
        <a:lstStyle/>
        <a:p>
          <a:pPr algn="l"/>
          <a:r>
            <a:rPr lang="ja-JP" altLang="en-US" sz="800" b="1" dirty="0">
              <a:solidFill>
                <a:srgbClr val="7E2643"/>
              </a:solidFill>
              <a:latin typeface="Meiryo UI"/>
              <a:ea typeface="Meiryo UI"/>
              <a:cs typeface="Meiryo UI"/>
            </a:rPr>
            <a:t>確認事項</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検討中・TODO</a:t>
          </a:r>
          <a:endParaRPr lang="ja-JP" altLang="en-US" sz="800" dirty="0">
            <a:latin typeface="Meiryo UI"/>
            <a:ea typeface="Meiryo UI"/>
          </a:endParaRPr>
        </a:p>
      </xdr:txBody>
    </xdr:sp>
    <xdr:clientData/>
  </xdr:twoCellAnchor>
  <xdr:twoCellAnchor editAs="oneCell">
    <xdr:from>
      <xdr:col>77</xdr:col>
      <xdr:colOff>0</xdr:colOff>
      <xdr:row>151</xdr:row>
      <xdr:rowOff>0</xdr:rowOff>
    </xdr:from>
    <xdr:to>
      <xdr:col>85</xdr:col>
      <xdr:colOff>0</xdr:colOff>
      <xdr:row>155</xdr:row>
      <xdr:rowOff>0</xdr:rowOff>
    </xdr:to>
    <xdr:sp macro="" textlink="">
      <xdr:nvSpPr>
        <xdr:cNvPr id="604" name="コメント: 付箋（ルートF）">
          <a:extLst>
            <a:ext uri="{FF2B5EF4-FFF2-40B4-BE49-F238E27FC236}">
              <a16:creationId xmlns:a16="http://schemas.microsoft.com/office/drawing/2014/main" id="{3CDD0FFC-E55B-4C57-8F2C-72007D4F315C}"/>
            </a:ext>
          </a:extLst>
        </xdr:cNvPr>
        <xdr:cNvSpPr/>
      </xdr:nvSpPr>
      <xdr:spPr>
        <a:xfrm>
          <a:off x="14668500" y="28765500"/>
          <a:ext cx="1524000" cy="762000"/>
        </a:xfrm>
        <a:custGeom>
          <a:avLst/>
          <a:gdLst>
            <a:gd name="x1" fmla="*/ w 1 4"/>
            <a:gd name="x2" fmla="*/ w 1 2"/>
            <a:gd name="x3" fmla="*/ w 3 4"/>
            <a:gd name="y1" fmla="*/ h 1 4"/>
            <a:gd name="y2" fmla="*/ h 1 2"/>
            <a:gd name="y3" fmla="*/ h 3 4"/>
            <a:gd name="smin" fmla="min w h"/>
            <a:gd name="fq" fmla="*/ smin 1 4"/>
            <a:gd name="f" fmla="min 114300 fq"/>
            <a:gd name="fx" fmla="+- r 0 f"/>
            <a:gd name="fy" fmla="+- b 0 f"/>
            <a:gd name="d5" fmla="*/ f 1 5"/>
            <a:gd name="x2b" fmla="+- fx d5 0"/>
            <a:gd name="y2b" fmla="+- fy d5 0"/>
            <a:gd name="fh" fmla="*/ f 1 2"/>
            <a:gd name="fmx" fmla="+- fx fh 0"/>
            <a:gd name="fmy" fmla="+- fy fh 0"/>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fmx" y="fmy"/>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stroke="0">
              <a:moveTo>
                <a:pt x="l" y="t"/>
              </a:moveTo>
              <a:lnTo>
                <a:pt x="r" y="t"/>
              </a:lnTo>
              <a:lnTo>
                <a:pt x="r" y="fy"/>
              </a:lnTo>
              <a:lnTo>
                <a:pt x="fx" y="b"/>
              </a:lnTo>
              <a:lnTo>
                <a:pt x="l" y="b"/>
              </a:lnTo>
              <a:close/>
            </a:path>
            <a:path fill="darkenLess" stroke="0" extrusionOk="0">
              <a:moveTo>
                <a:pt x="fx" y="b"/>
              </a:moveTo>
              <a:lnTo>
                <a:pt x="x2b" y="y2b"/>
              </a:lnTo>
              <a:lnTo>
                <a:pt x="r" y="fy"/>
              </a:lnTo>
              <a:close/>
            </a:path>
            <a:path fill="none" extrusionOk="0">
              <a:moveTo>
                <a:pt x="fx" y="b"/>
              </a:moveTo>
              <a:lnTo>
                <a:pt x="x2b" y="y2b"/>
              </a:lnTo>
              <a:lnTo>
                <a:pt x="r" y="fy"/>
              </a:lnTo>
              <a:lnTo>
                <a:pt x="fx" y="b"/>
              </a:lnTo>
              <a:lnTo>
                <a:pt x="l" y="b"/>
              </a:lnTo>
              <a:lnTo>
                <a:pt x="l" y="t"/>
              </a:lnTo>
              <a:lnTo>
                <a:pt x="r" y="t"/>
              </a:lnTo>
              <a:lnTo>
                <a:pt x="r" y="fy"/>
              </a:lnTo>
            </a:path>
          </a:pathLst>
        </a:custGeom>
        <a:solidFill>
          <a:srgbClr val="F4F1E2"/>
        </a:solidFill>
        <a:ln w="9525" cap="flat">
          <a:solidFill>
            <a:srgbClr val="D9D2B1"/>
          </a:solidFill>
          <a:round/>
        </a:ln>
      </xdr:spPr>
      <xdr:txBody>
        <a:bodyPr vertOverflow="overflow" horzOverflow="overflow" wrap="square" lIns="76200" tIns="50800" rIns="76200" bIns="38100" rtlCol="0" anchor="t">
          <a:noAutofit/>
        </a:bodyPr>
        <a:lstStyle/>
        <a:p>
          <a:pPr algn="l"/>
          <a:r>
            <a:rPr lang="ja-JP" altLang="en-US" sz="800" b="1" dirty="0">
              <a:solidFill>
                <a:srgbClr val="433F00"/>
              </a:solidFill>
              <a:latin typeface="Meiryo UI"/>
              <a:ea typeface="Meiryo UI"/>
              <a:cs typeface="Meiryo UI"/>
            </a:rPr>
            <a:t>確認事項</a:t>
          </a:r>
          <a:endParaRPr lang="ja-JP" altLang="en-US" sz="800" dirty="0">
            <a:latin typeface="Meiryo UI"/>
            <a:ea typeface="Meiryo UI"/>
          </a:endParaRPr>
        </a:p>
        <a:p>
          <a:pPr algn="l">
            <a:spcBef>
              <a:spcPts val="100"/>
            </a:spcBef>
          </a:pPr>
          <a:r>
            <a:rPr lang="ja-JP" altLang="en-US" sz="800" b="0" dirty="0">
              <a:solidFill>
                <a:srgbClr val="404040"/>
              </a:solidFill>
              <a:latin typeface="Meiryo UI"/>
              <a:ea typeface="Meiryo UI"/>
              <a:cs typeface="Meiryo UI"/>
            </a:rPr>
            <a:t>検討中・TODO</a:t>
          </a:r>
          <a:endParaRPr lang="ja-JP" altLang="en-US" sz="800" dirty="0">
            <a:latin typeface="Meiryo UI"/>
            <a:ea typeface="Meiryo UI"/>
          </a:endParaRPr>
        </a:p>
      </xdr:txBody>
    </xdr:sp>
    <xdr:clientData/>
  </xdr:twoCellAnchor>
  <xdr:twoCellAnchor editAs="oneCell">
    <xdr:from>
      <xdr:col>11</xdr:col>
      <xdr:colOff>0</xdr:colOff>
      <xdr:row>157</xdr:row>
      <xdr:rowOff>0</xdr:rowOff>
    </xdr:from>
    <xdr:to>
      <xdr:col>17</xdr:col>
      <xdr:colOff>0</xdr:colOff>
      <xdr:row>159</xdr:row>
      <xdr:rowOff>0</xdr:rowOff>
    </xdr:to>
    <xdr:grpSp>
      <xdr:nvGrpSpPr>
        <xdr:cNvPr id="605" name="コメント: 番号付き注記（共通）">
          <a:extLst>
            <a:ext uri="{FF2B5EF4-FFF2-40B4-BE49-F238E27FC236}">
              <a16:creationId xmlns:a16="http://schemas.microsoft.com/office/drawing/2014/main" id="{3A1347C8-13A8-448F-BBA1-A267852474E3}"/>
            </a:ext>
          </a:extLst>
        </xdr:cNvPr>
        <xdr:cNvGrpSpPr/>
      </xdr:nvGrpSpPr>
      <xdr:grpSpPr>
        <a:xfrm>
          <a:off x="2095500" y="29908500"/>
          <a:ext cx="1143000" cy="381000"/>
          <a:chOff x="2095500" y="29908500"/>
          <a:chExt cx="1143000" cy="381000"/>
        </a:xfrm>
      </xdr:grpSpPr>
      <xdr:sp macro="" textlink="">
        <xdr:nvSpPr>
          <xdr:cNvPr id="606" name="番号">
            <a:extLst>
              <a:ext uri="{FF2B5EF4-FFF2-40B4-BE49-F238E27FC236}">
                <a16:creationId xmlns:a16="http://schemas.microsoft.com/office/drawing/2014/main" id="{896BA856-94A9-45D5-A241-2645BA7B69B6}"/>
              </a:ext>
            </a:extLst>
          </xdr:cNvPr>
          <xdr:cNvSpPr/>
        </xdr:nvSpPr>
        <xdr:spPr>
          <a:xfrm>
            <a:off x="2095500" y="30003750"/>
            <a:ext cx="190500" cy="190500"/>
          </a:xfrm>
          <a:prstGeom prst="ellipse">
            <a:avLst/>
          </a:prstGeom>
          <a:solidFill>
            <a:srgbClr val="404040"/>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1</a:t>
            </a:r>
            <a:endParaRPr lang="ja-JP" altLang="en-US" sz="750" dirty="0">
              <a:latin typeface="Meiryo UI"/>
              <a:ea typeface="Meiryo UI"/>
            </a:endParaRPr>
          </a:p>
        </xdr:txBody>
      </xdr:sp>
      <xdr:sp macro="" textlink="">
        <xdr:nvSpPr>
          <xdr:cNvPr id="607" name="本文">
            <a:extLst>
              <a:ext uri="{FF2B5EF4-FFF2-40B4-BE49-F238E27FC236}">
                <a16:creationId xmlns:a16="http://schemas.microsoft.com/office/drawing/2014/main" id="{CFCFBF60-A618-4667-93CC-103C16F90680}"/>
              </a:ext>
            </a:extLst>
          </xdr:cNvPr>
          <xdr:cNvSpPr/>
        </xdr:nvSpPr>
        <xdr:spPr>
          <a:xfrm>
            <a:off x="2343150" y="29908500"/>
            <a:ext cx="895350" cy="381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noFill/>
          <a:ln>
            <a:noFill/>
          </a:ln>
        </xdr:spPr>
        <xdr:txBody>
          <a:bodyPr vertOverflow="overflow" horzOverflow="overflow" wrap="square" lIns="25400" tIns="0" rIns="25400" bIns="0" rtlCol="0" anchor="ctr">
            <a:noAutofit/>
          </a:bodyPr>
          <a:lstStyle/>
          <a:p>
            <a:pPr algn="l"/>
            <a:r>
              <a:rPr lang="ja-JP" altLang="en-US" sz="800" b="0" dirty="0">
                <a:solidFill>
                  <a:srgbClr val="404040"/>
                </a:solidFill>
                <a:latin typeface="Meiryo UI"/>
                <a:ea typeface="Meiryo UI"/>
                <a:cs typeface="Meiryo UI"/>
              </a:rPr>
              <a:t>番号付きの注記</a:t>
            </a:r>
            <a:endParaRPr lang="ja-JP" altLang="en-US" sz="800" dirty="0">
              <a:latin typeface="Meiryo UI"/>
              <a:ea typeface="Meiryo UI"/>
            </a:endParaRPr>
          </a:p>
        </xdr:txBody>
      </xdr:sp>
    </xdr:grpSp>
    <xdr:clientData/>
  </xdr:twoCellAnchor>
  <xdr:twoCellAnchor editAs="oneCell">
    <xdr:from>
      <xdr:col>22</xdr:col>
      <xdr:colOff>0</xdr:colOff>
      <xdr:row>157</xdr:row>
      <xdr:rowOff>0</xdr:rowOff>
    </xdr:from>
    <xdr:to>
      <xdr:col>28</xdr:col>
      <xdr:colOff>0</xdr:colOff>
      <xdr:row>159</xdr:row>
      <xdr:rowOff>0</xdr:rowOff>
    </xdr:to>
    <xdr:grpSp>
      <xdr:nvGrpSpPr>
        <xdr:cNvPr id="608" name="コメント: 番号付き注記（ルートA）">
          <a:extLst>
            <a:ext uri="{FF2B5EF4-FFF2-40B4-BE49-F238E27FC236}">
              <a16:creationId xmlns:a16="http://schemas.microsoft.com/office/drawing/2014/main" id="{F6104DD3-A31D-4804-BF8D-DB9F45296E42}"/>
            </a:ext>
          </a:extLst>
        </xdr:cNvPr>
        <xdr:cNvGrpSpPr/>
      </xdr:nvGrpSpPr>
      <xdr:grpSpPr>
        <a:xfrm>
          <a:off x="4191000" y="29908500"/>
          <a:ext cx="1143000" cy="381000"/>
          <a:chOff x="4191000" y="29908500"/>
          <a:chExt cx="1143000" cy="381000"/>
        </a:xfrm>
      </xdr:grpSpPr>
      <xdr:sp macro="" textlink="">
        <xdr:nvSpPr>
          <xdr:cNvPr id="609" name="番号">
            <a:extLst>
              <a:ext uri="{FF2B5EF4-FFF2-40B4-BE49-F238E27FC236}">
                <a16:creationId xmlns:a16="http://schemas.microsoft.com/office/drawing/2014/main" id="{BFC8E697-823D-4585-9C56-F5586D6EDF7B}"/>
              </a:ext>
            </a:extLst>
          </xdr:cNvPr>
          <xdr:cNvSpPr/>
        </xdr:nvSpPr>
        <xdr:spPr>
          <a:xfrm>
            <a:off x="4191000" y="30003750"/>
            <a:ext cx="190500" cy="190500"/>
          </a:xfrm>
          <a:prstGeom prst="ellipse">
            <a:avLst/>
          </a:prstGeom>
          <a:solidFill>
            <a:srgbClr val="315C92"/>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1</a:t>
            </a:r>
            <a:endParaRPr lang="ja-JP" altLang="en-US" sz="750" dirty="0">
              <a:latin typeface="Meiryo UI"/>
              <a:ea typeface="Meiryo UI"/>
            </a:endParaRPr>
          </a:p>
        </xdr:txBody>
      </xdr:sp>
      <xdr:sp macro="" textlink="">
        <xdr:nvSpPr>
          <xdr:cNvPr id="610" name="本文">
            <a:extLst>
              <a:ext uri="{FF2B5EF4-FFF2-40B4-BE49-F238E27FC236}">
                <a16:creationId xmlns:a16="http://schemas.microsoft.com/office/drawing/2014/main" id="{135193AC-8DCD-46EA-BDDD-F308E3DD9C42}"/>
              </a:ext>
            </a:extLst>
          </xdr:cNvPr>
          <xdr:cNvSpPr/>
        </xdr:nvSpPr>
        <xdr:spPr>
          <a:xfrm>
            <a:off x="4438650" y="29908500"/>
            <a:ext cx="895350" cy="381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noFill/>
          <a:ln>
            <a:noFill/>
          </a:ln>
        </xdr:spPr>
        <xdr:txBody>
          <a:bodyPr vertOverflow="overflow" horzOverflow="overflow" wrap="square" lIns="25400" tIns="0" rIns="25400" bIns="0" rtlCol="0" anchor="ctr">
            <a:noAutofit/>
          </a:bodyPr>
          <a:lstStyle/>
          <a:p>
            <a:pPr algn="l"/>
            <a:r>
              <a:rPr lang="ja-JP" altLang="en-US" sz="800" b="0" dirty="0">
                <a:solidFill>
                  <a:srgbClr val="404040"/>
                </a:solidFill>
                <a:latin typeface="Meiryo UI"/>
                <a:ea typeface="Meiryo UI"/>
                <a:cs typeface="Meiryo UI"/>
              </a:rPr>
              <a:t>番号付きの注記</a:t>
            </a:r>
            <a:endParaRPr lang="ja-JP" altLang="en-US" sz="800" dirty="0">
              <a:latin typeface="Meiryo UI"/>
              <a:ea typeface="Meiryo UI"/>
            </a:endParaRPr>
          </a:p>
        </xdr:txBody>
      </xdr:sp>
    </xdr:grpSp>
    <xdr:clientData/>
  </xdr:twoCellAnchor>
  <xdr:twoCellAnchor editAs="oneCell">
    <xdr:from>
      <xdr:col>33</xdr:col>
      <xdr:colOff>0</xdr:colOff>
      <xdr:row>157</xdr:row>
      <xdr:rowOff>0</xdr:rowOff>
    </xdr:from>
    <xdr:to>
      <xdr:col>39</xdr:col>
      <xdr:colOff>0</xdr:colOff>
      <xdr:row>159</xdr:row>
      <xdr:rowOff>0</xdr:rowOff>
    </xdr:to>
    <xdr:grpSp>
      <xdr:nvGrpSpPr>
        <xdr:cNvPr id="611" name="コメント: 番号付き注記（ルートB）">
          <a:extLst>
            <a:ext uri="{FF2B5EF4-FFF2-40B4-BE49-F238E27FC236}">
              <a16:creationId xmlns:a16="http://schemas.microsoft.com/office/drawing/2014/main" id="{B04A7C2C-5234-4B02-9E8D-2115C34CF793}"/>
            </a:ext>
          </a:extLst>
        </xdr:cNvPr>
        <xdr:cNvGrpSpPr/>
      </xdr:nvGrpSpPr>
      <xdr:grpSpPr>
        <a:xfrm>
          <a:off x="6286500" y="29908500"/>
          <a:ext cx="1143000" cy="381000"/>
          <a:chOff x="6286500" y="29908500"/>
          <a:chExt cx="1143000" cy="381000"/>
        </a:xfrm>
      </xdr:grpSpPr>
      <xdr:sp macro="" textlink="">
        <xdr:nvSpPr>
          <xdr:cNvPr id="612" name="番号">
            <a:extLst>
              <a:ext uri="{FF2B5EF4-FFF2-40B4-BE49-F238E27FC236}">
                <a16:creationId xmlns:a16="http://schemas.microsoft.com/office/drawing/2014/main" id="{0B28F932-1901-46CF-89A4-CFFB59318E70}"/>
              </a:ext>
            </a:extLst>
          </xdr:cNvPr>
          <xdr:cNvSpPr/>
        </xdr:nvSpPr>
        <xdr:spPr>
          <a:xfrm>
            <a:off x="6286500" y="30003750"/>
            <a:ext cx="190500" cy="190500"/>
          </a:xfrm>
          <a:prstGeom prst="ellipse">
            <a:avLst/>
          </a:prstGeom>
          <a:solidFill>
            <a:srgbClr val="24796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1</a:t>
            </a:r>
            <a:endParaRPr lang="ja-JP" altLang="en-US" sz="750" dirty="0">
              <a:latin typeface="Meiryo UI"/>
              <a:ea typeface="Meiryo UI"/>
            </a:endParaRPr>
          </a:p>
        </xdr:txBody>
      </xdr:sp>
      <xdr:sp macro="" textlink="">
        <xdr:nvSpPr>
          <xdr:cNvPr id="613" name="本文">
            <a:extLst>
              <a:ext uri="{FF2B5EF4-FFF2-40B4-BE49-F238E27FC236}">
                <a16:creationId xmlns:a16="http://schemas.microsoft.com/office/drawing/2014/main" id="{25183210-57D4-4891-95A4-0D38FE3ACB8F}"/>
              </a:ext>
            </a:extLst>
          </xdr:cNvPr>
          <xdr:cNvSpPr/>
        </xdr:nvSpPr>
        <xdr:spPr>
          <a:xfrm>
            <a:off x="6534150" y="29908500"/>
            <a:ext cx="895350" cy="381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noFill/>
          <a:ln>
            <a:noFill/>
          </a:ln>
        </xdr:spPr>
        <xdr:txBody>
          <a:bodyPr vertOverflow="overflow" horzOverflow="overflow" wrap="square" lIns="25400" tIns="0" rIns="25400" bIns="0" rtlCol="0" anchor="ctr">
            <a:noAutofit/>
          </a:bodyPr>
          <a:lstStyle/>
          <a:p>
            <a:pPr algn="l"/>
            <a:r>
              <a:rPr lang="ja-JP" altLang="en-US" sz="800" b="0" dirty="0">
                <a:solidFill>
                  <a:srgbClr val="404040"/>
                </a:solidFill>
                <a:latin typeface="Meiryo UI"/>
                <a:ea typeface="Meiryo UI"/>
                <a:cs typeface="Meiryo UI"/>
              </a:rPr>
              <a:t>番号付きの注記</a:t>
            </a:r>
            <a:endParaRPr lang="ja-JP" altLang="en-US" sz="800" dirty="0">
              <a:latin typeface="Meiryo UI"/>
              <a:ea typeface="Meiryo UI"/>
            </a:endParaRPr>
          </a:p>
        </xdr:txBody>
      </xdr:sp>
    </xdr:grpSp>
    <xdr:clientData/>
  </xdr:twoCellAnchor>
  <xdr:twoCellAnchor editAs="oneCell">
    <xdr:from>
      <xdr:col>44</xdr:col>
      <xdr:colOff>0</xdr:colOff>
      <xdr:row>157</xdr:row>
      <xdr:rowOff>0</xdr:rowOff>
    </xdr:from>
    <xdr:to>
      <xdr:col>50</xdr:col>
      <xdr:colOff>0</xdr:colOff>
      <xdr:row>159</xdr:row>
      <xdr:rowOff>0</xdr:rowOff>
    </xdr:to>
    <xdr:grpSp>
      <xdr:nvGrpSpPr>
        <xdr:cNvPr id="614" name="コメント: 番号付き注記（ルートC）">
          <a:extLst>
            <a:ext uri="{FF2B5EF4-FFF2-40B4-BE49-F238E27FC236}">
              <a16:creationId xmlns:a16="http://schemas.microsoft.com/office/drawing/2014/main" id="{7957D7B0-714C-4D0C-8525-BDF2EA4ADF9D}"/>
            </a:ext>
          </a:extLst>
        </xdr:cNvPr>
        <xdr:cNvGrpSpPr/>
      </xdr:nvGrpSpPr>
      <xdr:grpSpPr>
        <a:xfrm>
          <a:off x="8382000" y="29908500"/>
          <a:ext cx="1143000" cy="381000"/>
          <a:chOff x="8382000" y="29908500"/>
          <a:chExt cx="1143000" cy="381000"/>
        </a:xfrm>
      </xdr:grpSpPr>
      <xdr:sp macro="" textlink="">
        <xdr:nvSpPr>
          <xdr:cNvPr id="615" name="番号">
            <a:extLst>
              <a:ext uri="{FF2B5EF4-FFF2-40B4-BE49-F238E27FC236}">
                <a16:creationId xmlns:a16="http://schemas.microsoft.com/office/drawing/2014/main" id="{5B1D873A-2DE7-4238-A261-4F38B9CD3827}"/>
              </a:ext>
            </a:extLst>
          </xdr:cNvPr>
          <xdr:cNvSpPr/>
        </xdr:nvSpPr>
        <xdr:spPr>
          <a:xfrm>
            <a:off x="8382000" y="30003750"/>
            <a:ext cx="190500" cy="190500"/>
          </a:xfrm>
          <a:prstGeom prst="ellipse">
            <a:avLst/>
          </a:prstGeom>
          <a:solidFill>
            <a:srgbClr val="C46B39"/>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1</a:t>
            </a:r>
            <a:endParaRPr lang="ja-JP" altLang="en-US" sz="750" dirty="0">
              <a:latin typeface="Meiryo UI"/>
              <a:ea typeface="Meiryo UI"/>
            </a:endParaRPr>
          </a:p>
        </xdr:txBody>
      </xdr:sp>
      <xdr:sp macro="" textlink="">
        <xdr:nvSpPr>
          <xdr:cNvPr id="616" name="本文">
            <a:extLst>
              <a:ext uri="{FF2B5EF4-FFF2-40B4-BE49-F238E27FC236}">
                <a16:creationId xmlns:a16="http://schemas.microsoft.com/office/drawing/2014/main" id="{79EED5F8-FF9A-4031-A34B-7DDD7426A83F}"/>
              </a:ext>
            </a:extLst>
          </xdr:cNvPr>
          <xdr:cNvSpPr/>
        </xdr:nvSpPr>
        <xdr:spPr>
          <a:xfrm>
            <a:off x="8629650" y="29908500"/>
            <a:ext cx="895350" cy="381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noFill/>
          <a:ln>
            <a:noFill/>
          </a:ln>
        </xdr:spPr>
        <xdr:txBody>
          <a:bodyPr vertOverflow="overflow" horzOverflow="overflow" wrap="square" lIns="25400" tIns="0" rIns="25400" bIns="0" rtlCol="0" anchor="ctr">
            <a:noAutofit/>
          </a:bodyPr>
          <a:lstStyle/>
          <a:p>
            <a:pPr algn="l"/>
            <a:r>
              <a:rPr lang="ja-JP" altLang="en-US" sz="800" b="0" dirty="0">
                <a:solidFill>
                  <a:srgbClr val="404040"/>
                </a:solidFill>
                <a:latin typeface="Meiryo UI"/>
                <a:ea typeface="Meiryo UI"/>
                <a:cs typeface="Meiryo UI"/>
              </a:rPr>
              <a:t>番号付きの注記</a:t>
            </a:r>
            <a:endParaRPr lang="ja-JP" altLang="en-US" sz="800" dirty="0">
              <a:latin typeface="Meiryo UI"/>
              <a:ea typeface="Meiryo UI"/>
            </a:endParaRPr>
          </a:p>
        </xdr:txBody>
      </xdr:sp>
    </xdr:grpSp>
    <xdr:clientData/>
  </xdr:twoCellAnchor>
  <xdr:twoCellAnchor editAs="oneCell">
    <xdr:from>
      <xdr:col>55</xdr:col>
      <xdr:colOff>0</xdr:colOff>
      <xdr:row>157</xdr:row>
      <xdr:rowOff>0</xdr:rowOff>
    </xdr:from>
    <xdr:to>
      <xdr:col>61</xdr:col>
      <xdr:colOff>0</xdr:colOff>
      <xdr:row>159</xdr:row>
      <xdr:rowOff>0</xdr:rowOff>
    </xdr:to>
    <xdr:grpSp>
      <xdr:nvGrpSpPr>
        <xdr:cNvPr id="617" name="コメント: 番号付き注記（ルートD）">
          <a:extLst>
            <a:ext uri="{FF2B5EF4-FFF2-40B4-BE49-F238E27FC236}">
              <a16:creationId xmlns:a16="http://schemas.microsoft.com/office/drawing/2014/main" id="{2BDBFAF5-6D90-4A99-B51A-2CB70449255D}"/>
            </a:ext>
          </a:extLst>
        </xdr:cNvPr>
        <xdr:cNvGrpSpPr/>
      </xdr:nvGrpSpPr>
      <xdr:grpSpPr>
        <a:xfrm>
          <a:off x="10477500" y="29908500"/>
          <a:ext cx="1143000" cy="381000"/>
          <a:chOff x="10477500" y="29908500"/>
          <a:chExt cx="1143000" cy="381000"/>
        </a:xfrm>
      </xdr:grpSpPr>
      <xdr:sp macro="" textlink="">
        <xdr:nvSpPr>
          <xdr:cNvPr id="618" name="番号">
            <a:extLst>
              <a:ext uri="{FF2B5EF4-FFF2-40B4-BE49-F238E27FC236}">
                <a16:creationId xmlns:a16="http://schemas.microsoft.com/office/drawing/2014/main" id="{E1ADBBB2-A4DD-452E-9E6A-378027726AE5}"/>
              </a:ext>
            </a:extLst>
          </xdr:cNvPr>
          <xdr:cNvSpPr/>
        </xdr:nvSpPr>
        <xdr:spPr>
          <a:xfrm>
            <a:off x="10477500" y="30003750"/>
            <a:ext cx="190500" cy="190500"/>
          </a:xfrm>
          <a:prstGeom prst="ellipse">
            <a:avLst/>
          </a:prstGeom>
          <a:solidFill>
            <a:srgbClr val="876BA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1</a:t>
            </a:r>
            <a:endParaRPr lang="ja-JP" altLang="en-US" sz="750" dirty="0">
              <a:latin typeface="Meiryo UI"/>
              <a:ea typeface="Meiryo UI"/>
            </a:endParaRPr>
          </a:p>
        </xdr:txBody>
      </xdr:sp>
      <xdr:sp macro="" textlink="">
        <xdr:nvSpPr>
          <xdr:cNvPr id="619" name="本文">
            <a:extLst>
              <a:ext uri="{FF2B5EF4-FFF2-40B4-BE49-F238E27FC236}">
                <a16:creationId xmlns:a16="http://schemas.microsoft.com/office/drawing/2014/main" id="{B723BF5E-451E-4202-A265-50291DF4876C}"/>
              </a:ext>
            </a:extLst>
          </xdr:cNvPr>
          <xdr:cNvSpPr/>
        </xdr:nvSpPr>
        <xdr:spPr>
          <a:xfrm>
            <a:off x="10725150" y="29908500"/>
            <a:ext cx="895350" cy="381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noFill/>
          <a:ln>
            <a:noFill/>
          </a:ln>
        </xdr:spPr>
        <xdr:txBody>
          <a:bodyPr vertOverflow="overflow" horzOverflow="overflow" wrap="square" lIns="25400" tIns="0" rIns="25400" bIns="0" rtlCol="0" anchor="ctr">
            <a:noAutofit/>
          </a:bodyPr>
          <a:lstStyle/>
          <a:p>
            <a:pPr algn="l"/>
            <a:r>
              <a:rPr lang="ja-JP" altLang="en-US" sz="800" b="0" dirty="0">
                <a:solidFill>
                  <a:srgbClr val="404040"/>
                </a:solidFill>
                <a:latin typeface="Meiryo UI"/>
                <a:ea typeface="Meiryo UI"/>
                <a:cs typeface="Meiryo UI"/>
              </a:rPr>
              <a:t>番号付きの注記</a:t>
            </a:r>
            <a:endParaRPr lang="ja-JP" altLang="en-US" sz="800" dirty="0">
              <a:latin typeface="Meiryo UI"/>
              <a:ea typeface="Meiryo UI"/>
            </a:endParaRPr>
          </a:p>
        </xdr:txBody>
      </xdr:sp>
    </xdr:grpSp>
    <xdr:clientData/>
  </xdr:twoCellAnchor>
  <xdr:twoCellAnchor editAs="oneCell">
    <xdr:from>
      <xdr:col>66</xdr:col>
      <xdr:colOff>0</xdr:colOff>
      <xdr:row>157</xdr:row>
      <xdr:rowOff>0</xdr:rowOff>
    </xdr:from>
    <xdr:to>
      <xdr:col>72</xdr:col>
      <xdr:colOff>0</xdr:colOff>
      <xdr:row>159</xdr:row>
      <xdr:rowOff>0</xdr:rowOff>
    </xdr:to>
    <xdr:grpSp>
      <xdr:nvGrpSpPr>
        <xdr:cNvPr id="620" name="コメント: 番号付き注記（ルートE）">
          <a:extLst>
            <a:ext uri="{FF2B5EF4-FFF2-40B4-BE49-F238E27FC236}">
              <a16:creationId xmlns:a16="http://schemas.microsoft.com/office/drawing/2014/main" id="{0C8A69FB-B994-4AEF-AD26-1774FD02327D}"/>
            </a:ext>
          </a:extLst>
        </xdr:cNvPr>
        <xdr:cNvGrpSpPr/>
      </xdr:nvGrpSpPr>
      <xdr:grpSpPr>
        <a:xfrm>
          <a:off x="12573000" y="29908500"/>
          <a:ext cx="1143000" cy="381000"/>
          <a:chOff x="12573000" y="29908500"/>
          <a:chExt cx="1143000" cy="381000"/>
        </a:xfrm>
      </xdr:grpSpPr>
      <xdr:sp macro="" textlink="">
        <xdr:nvSpPr>
          <xdr:cNvPr id="621" name="番号">
            <a:extLst>
              <a:ext uri="{FF2B5EF4-FFF2-40B4-BE49-F238E27FC236}">
                <a16:creationId xmlns:a16="http://schemas.microsoft.com/office/drawing/2014/main" id="{A2EB1771-D9D7-4C96-84C6-6870FF4BFF27}"/>
              </a:ext>
            </a:extLst>
          </xdr:cNvPr>
          <xdr:cNvSpPr/>
        </xdr:nvSpPr>
        <xdr:spPr>
          <a:xfrm>
            <a:off x="12573000" y="30003750"/>
            <a:ext cx="190500" cy="190500"/>
          </a:xfrm>
          <a:prstGeom prst="ellipse">
            <a:avLst/>
          </a:prstGeom>
          <a:solidFill>
            <a:srgbClr val="B04B68"/>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1</a:t>
            </a:r>
            <a:endParaRPr lang="ja-JP" altLang="en-US" sz="750" dirty="0">
              <a:latin typeface="Meiryo UI"/>
              <a:ea typeface="Meiryo UI"/>
            </a:endParaRPr>
          </a:p>
        </xdr:txBody>
      </xdr:sp>
      <xdr:sp macro="" textlink="">
        <xdr:nvSpPr>
          <xdr:cNvPr id="622" name="本文">
            <a:extLst>
              <a:ext uri="{FF2B5EF4-FFF2-40B4-BE49-F238E27FC236}">
                <a16:creationId xmlns:a16="http://schemas.microsoft.com/office/drawing/2014/main" id="{538AD642-D890-42CB-B681-CC04AB2BF810}"/>
              </a:ext>
            </a:extLst>
          </xdr:cNvPr>
          <xdr:cNvSpPr/>
        </xdr:nvSpPr>
        <xdr:spPr>
          <a:xfrm>
            <a:off x="12820650" y="29908500"/>
            <a:ext cx="895350" cy="381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noFill/>
          <a:ln>
            <a:noFill/>
          </a:ln>
        </xdr:spPr>
        <xdr:txBody>
          <a:bodyPr vertOverflow="overflow" horzOverflow="overflow" wrap="square" lIns="25400" tIns="0" rIns="25400" bIns="0" rtlCol="0" anchor="ctr">
            <a:noAutofit/>
          </a:bodyPr>
          <a:lstStyle/>
          <a:p>
            <a:pPr algn="l"/>
            <a:r>
              <a:rPr lang="ja-JP" altLang="en-US" sz="800" b="0" dirty="0">
                <a:solidFill>
                  <a:srgbClr val="404040"/>
                </a:solidFill>
                <a:latin typeface="Meiryo UI"/>
                <a:ea typeface="Meiryo UI"/>
                <a:cs typeface="Meiryo UI"/>
              </a:rPr>
              <a:t>番号付きの注記</a:t>
            </a:r>
            <a:endParaRPr lang="ja-JP" altLang="en-US" sz="800" dirty="0">
              <a:latin typeface="Meiryo UI"/>
              <a:ea typeface="Meiryo UI"/>
            </a:endParaRPr>
          </a:p>
        </xdr:txBody>
      </xdr:sp>
    </xdr:grpSp>
    <xdr:clientData/>
  </xdr:twoCellAnchor>
  <xdr:twoCellAnchor editAs="oneCell">
    <xdr:from>
      <xdr:col>77</xdr:col>
      <xdr:colOff>0</xdr:colOff>
      <xdr:row>157</xdr:row>
      <xdr:rowOff>0</xdr:rowOff>
    </xdr:from>
    <xdr:to>
      <xdr:col>83</xdr:col>
      <xdr:colOff>0</xdr:colOff>
      <xdr:row>159</xdr:row>
      <xdr:rowOff>0</xdr:rowOff>
    </xdr:to>
    <xdr:grpSp>
      <xdr:nvGrpSpPr>
        <xdr:cNvPr id="623" name="コメント: 番号付き注記（ルートF）">
          <a:extLst>
            <a:ext uri="{FF2B5EF4-FFF2-40B4-BE49-F238E27FC236}">
              <a16:creationId xmlns:a16="http://schemas.microsoft.com/office/drawing/2014/main" id="{6EA3574D-F65B-4B1D-AC64-C2F5FF751117}"/>
            </a:ext>
          </a:extLst>
        </xdr:cNvPr>
        <xdr:cNvGrpSpPr/>
      </xdr:nvGrpSpPr>
      <xdr:grpSpPr>
        <a:xfrm>
          <a:off x="14668500" y="29908500"/>
          <a:ext cx="1143000" cy="381000"/>
          <a:chOff x="14668500" y="29908500"/>
          <a:chExt cx="1143000" cy="381000"/>
        </a:xfrm>
      </xdr:grpSpPr>
      <xdr:sp macro="" textlink="">
        <xdr:nvSpPr>
          <xdr:cNvPr id="624" name="番号">
            <a:extLst>
              <a:ext uri="{FF2B5EF4-FFF2-40B4-BE49-F238E27FC236}">
                <a16:creationId xmlns:a16="http://schemas.microsoft.com/office/drawing/2014/main" id="{E3F0071E-2135-45C6-80A7-D988764799E3}"/>
              </a:ext>
            </a:extLst>
          </xdr:cNvPr>
          <xdr:cNvSpPr/>
        </xdr:nvSpPr>
        <xdr:spPr>
          <a:xfrm>
            <a:off x="14668500" y="30003750"/>
            <a:ext cx="190500" cy="190500"/>
          </a:xfrm>
          <a:prstGeom prst="ellipse">
            <a:avLst/>
          </a:prstGeom>
          <a:solidFill>
            <a:srgbClr val="6B651D"/>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1</a:t>
            </a:r>
            <a:endParaRPr lang="ja-JP" altLang="en-US" sz="750" dirty="0">
              <a:latin typeface="Meiryo UI"/>
              <a:ea typeface="Meiryo UI"/>
            </a:endParaRPr>
          </a:p>
        </xdr:txBody>
      </xdr:sp>
      <xdr:sp macro="" textlink="">
        <xdr:nvSpPr>
          <xdr:cNvPr id="625" name="本文">
            <a:extLst>
              <a:ext uri="{FF2B5EF4-FFF2-40B4-BE49-F238E27FC236}">
                <a16:creationId xmlns:a16="http://schemas.microsoft.com/office/drawing/2014/main" id="{CCF44528-3F8D-45A2-99DF-6BC5C0646B0C}"/>
              </a:ext>
            </a:extLst>
          </xdr:cNvPr>
          <xdr:cNvSpPr/>
        </xdr:nvSpPr>
        <xdr:spPr>
          <a:xfrm>
            <a:off x="14916150" y="29908500"/>
            <a:ext cx="895350" cy="381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noFill/>
          <a:ln>
            <a:noFill/>
          </a:ln>
        </xdr:spPr>
        <xdr:txBody>
          <a:bodyPr vertOverflow="overflow" horzOverflow="overflow" wrap="square" lIns="25400" tIns="0" rIns="25400" bIns="0" rtlCol="0" anchor="ctr">
            <a:noAutofit/>
          </a:bodyPr>
          <a:lstStyle/>
          <a:p>
            <a:pPr algn="l"/>
            <a:r>
              <a:rPr lang="ja-JP" altLang="en-US" sz="800" b="0" dirty="0">
                <a:solidFill>
                  <a:srgbClr val="404040"/>
                </a:solidFill>
                <a:latin typeface="Meiryo UI"/>
                <a:ea typeface="Meiryo UI"/>
                <a:cs typeface="Meiryo UI"/>
              </a:rPr>
              <a:t>番号付きの注記</a:t>
            </a:r>
            <a:endParaRPr lang="ja-JP" altLang="en-US" sz="800" dirty="0">
              <a:latin typeface="Meiryo UI"/>
              <a:ea typeface="Meiryo UI"/>
            </a:endParaRPr>
          </a:p>
        </xdr:txBody>
      </xdr:sp>
    </xdr:grpSp>
    <xdr:clientData/>
  </xdr:twoCellAnchor>
  <xdr:twoCellAnchor editAs="oneCell">
    <xdr:from>
      <xdr:col>11</xdr:col>
      <xdr:colOff>0</xdr:colOff>
      <xdr:row>166</xdr:row>
      <xdr:rowOff>0</xdr:rowOff>
    </xdr:from>
    <xdr:to>
      <xdr:col>13</xdr:col>
      <xdr:colOff>0</xdr:colOff>
      <xdr:row>167</xdr:row>
      <xdr:rowOff>0</xdr:rowOff>
    </xdr:to>
    <xdr:sp macro="" textlink="">
      <xdr:nvSpPr>
        <xdr:cNvPr id="626" name="番号: 1（共通）">
          <a:extLst>
            <a:ext uri="{FF2B5EF4-FFF2-40B4-BE49-F238E27FC236}">
              <a16:creationId xmlns:a16="http://schemas.microsoft.com/office/drawing/2014/main" id="{38504CF6-1420-4318-93DE-A40D09343D3C}"/>
            </a:ext>
          </a:extLst>
        </xdr:cNvPr>
        <xdr:cNvSpPr/>
      </xdr:nvSpPr>
      <xdr:spPr>
        <a:xfrm>
          <a:off x="2095500" y="31623000"/>
          <a:ext cx="381000" cy="190500"/>
        </a:xfrm>
        <a:prstGeom prst="roundRect">
          <a:avLst>
            <a:gd name="adj" fmla="val 50000"/>
          </a:avLst>
        </a:prstGeom>
        <a:solidFill>
          <a:srgbClr val="404040"/>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1</a:t>
          </a:r>
          <a:endParaRPr lang="ja-JP" altLang="en-US" sz="750" dirty="0">
            <a:latin typeface="Meiryo UI"/>
            <a:ea typeface="Meiryo UI"/>
          </a:endParaRPr>
        </a:p>
      </xdr:txBody>
    </xdr:sp>
    <xdr:clientData/>
  </xdr:twoCellAnchor>
  <xdr:twoCellAnchor editAs="oneCell">
    <xdr:from>
      <xdr:col>22</xdr:col>
      <xdr:colOff>0</xdr:colOff>
      <xdr:row>166</xdr:row>
      <xdr:rowOff>0</xdr:rowOff>
    </xdr:from>
    <xdr:to>
      <xdr:col>24</xdr:col>
      <xdr:colOff>0</xdr:colOff>
      <xdr:row>167</xdr:row>
      <xdr:rowOff>0</xdr:rowOff>
    </xdr:to>
    <xdr:sp macro="" textlink="">
      <xdr:nvSpPr>
        <xdr:cNvPr id="627" name="番号: A1（ルートA）">
          <a:extLst>
            <a:ext uri="{FF2B5EF4-FFF2-40B4-BE49-F238E27FC236}">
              <a16:creationId xmlns:a16="http://schemas.microsoft.com/office/drawing/2014/main" id="{E84B467F-555C-4FB2-8F22-B6E09B44F3A6}"/>
            </a:ext>
          </a:extLst>
        </xdr:cNvPr>
        <xdr:cNvSpPr/>
      </xdr:nvSpPr>
      <xdr:spPr>
        <a:xfrm>
          <a:off x="4191000" y="31623000"/>
          <a:ext cx="381000" cy="190500"/>
        </a:xfrm>
        <a:prstGeom prst="roundRect">
          <a:avLst>
            <a:gd name="adj" fmla="val 50000"/>
          </a:avLst>
        </a:prstGeom>
        <a:solidFill>
          <a:srgbClr val="315C92"/>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A1</a:t>
          </a:r>
          <a:endParaRPr lang="ja-JP" altLang="en-US" sz="750" dirty="0">
            <a:latin typeface="Meiryo UI"/>
            <a:ea typeface="Meiryo UI"/>
          </a:endParaRPr>
        </a:p>
      </xdr:txBody>
    </xdr:sp>
    <xdr:clientData/>
  </xdr:twoCellAnchor>
  <xdr:twoCellAnchor editAs="oneCell">
    <xdr:from>
      <xdr:col>33</xdr:col>
      <xdr:colOff>0</xdr:colOff>
      <xdr:row>166</xdr:row>
      <xdr:rowOff>0</xdr:rowOff>
    </xdr:from>
    <xdr:to>
      <xdr:col>35</xdr:col>
      <xdr:colOff>0</xdr:colOff>
      <xdr:row>167</xdr:row>
      <xdr:rowOff>0</xdr:rowOff>
    </xdr:to>
    <xdr:sp macro="" textlink="">
      <xdr:nvSpPr>
        <xdr:cNvPr id="628" name="番号: B1（ルートB）">
          <a:extLst>
            <a:ext uri="{FF2B5EF4-FFF2-40B4-BE49-F238E27FC236}">
              <a16:creationId xmlns:a16="http://schemas.microsoft.com/office/drawing/2014/main" id="{A3F624FB-8D32-4AEE-8C93-85716D97C6FD}"/>
            </a:ext>
          </a:extLst>
        </xdr:cNvPr>
        <xdr:cNvSpPr/>
      </xdr:nvSpPr>
      <xdr:spPr>
        <a:xfrm>
          <a:off x="6286500" y="31623000"/>
          <a:ext cx="381000" cy="190500"/>
        </a:xfrm>
        <a:prstGeom prst="roundRect">
          <a:avLst>
            <a:gd name="adj" fmla="val 50000"/>
          </a:avLst>
        </a:prstGeom>
        <a:solidFill>
          <a:srgbClr val="24796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B1</a:t>
          </a:r>
          <a:endParaRPr lang="ja-JP" altLang="en-US" sz="750" dirty="0">
            <a:latin typeface="Meiryo UI"/>
            <a:ea typeface="Meiryo UI"/>
          </a:endParaRPr>
        </a:p>
      </xdr:txBody>
    </xdr:sp>
    <xdr:clientData/>
  </xdr:twoCellAnchor>
  <xdr:twoCellAnchor editAs="oneCell">
    <xdr:from>
      <xdr:col>44</xdr:col>
      <xdr:colOff>0</xdr:colOff>
      <xdr:row>166</xdr:row>
      <xdr:rowOff>0</xdr:rowOff>
    </xdr:from>
    <xdr:to>
      <xdr:col>46</xdr:col>
      <xdr:colOff>0</xdr:colOff>
      <xdr:row>167</xdr:row>
      <xdr:rowOff>0</xdr:rowOff>
    </xdr:to>
    <xdr:sp macro="" textlink="">
      <xdr:nvSpPr>
        <xdr:cNvPr id="629" name="番号: C1（ルートC）">
          <a:extLst>
            <a:ext uri="{FF2B5EF4-FFF2-40B4-BE49-F238E27FC236}">
              <a16:creationId xmlns:a16="http://schemas.microsoft.com/office/drawing/2014/main" id="{1FC6D831-CBC3-4777-99B8-D49C6ADF2267}"/>
            </a:ext>
          </a:extLst>
        </xdr:cNvPr>
        <xdr:cNvSpPr/>
      </xdr:nvSpPr>
      <xdr:spPr>
        <a:xfrm>
          <a:off x="8382000" y="31623000"/>
          <a:ext cx="381000" cy="190500"/>
        </a:xfrm>
        <a:prstGeom prst="roundRect">
          <a:avLst>
            <a:gd name="adj" fmla="val 50000"/>
          </a:avLst>
        </a:prstGeom>
        <a:solidFill>
          <a:srgbClr val="C46B39"/>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C1</a:t>
          </a:r>
          <a:endParaRPr lang="ja-JP" altLang="en-US" sz="750" dirty="0">
            <a:latin typeface="Meiryo UI"/>
            <a:ea typeface="Meiryo UI"/>
          </a:endParaRPr>
        </a:p>
      </xdr:txBody>
    </xdr:sp>
    <xdr:clientData/>
  </xdr:twoCellAnchor>
  <xdr:twoCellAnchor editAs="oneCell">
    <xdr:from>
      <xdr:col>55</xdr:col>
      <xdr:colOff>0</xdr:colOff>
      <xdr:row>166</xdr:row>
      <xdr:rowOff>0</xdr:rowOff>
    </xdr:from>
    <xdr:to>
      <xdr:col>57</xdr:col>
      <xdr:colOff>0</xdr:colOff>
      <xdr:row>167</xdr:row>
      <xdr:rowOff>0</xdr:rowOff>
    </xdr:to>
    <xdr:sp macro="" textlink="">
      <xdr:nvSpPr>
        <xdr:cNvPr id="630" name="番号: D1（ルートD）">
          <a:extLst>
            <a:ext uri="{FF2B5EF4-FFF2-40B4-BE49-F238E27FC236}">
              <a16:creationId xmlns:a16="http://schemas.microsoft.com/office/drawing/2014/main" id="{345CF712-3EA7-45D6-A5CE-9EAD502E212C}"/>
            </a:ext>
          </a:extLst>
        </xdr:cNvPr>
        <xdr:cNvSpPr/>
      </xdr:nvSpPr>
      <xdr:spPr>
        <a:xfrm>
          <a:off x="10477500" y="31623000"/>
          <a:ext cx="381000" cy="190500"/>
        </a:xfrm>
        <a:prstGeom prst="roundRect">
          <a:avLst>
            <a:gd name="adj" fmla="val 50000"/>
          </a:avLst>
        </a:prstGeom>
        <a:solidFill>
          <a:srgbClr val="876BA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D1</a:t>
          </a:r>
          <a:endParaRPr lang="ja-JP" altLang="en-US" sz="750" dirty="0">
            <a:latin typeface="Meiryo UI"/>
            <a:ea typeface="Meiryo UI"/>
          </a:endParaRPr>
        </a:p>
      </xdr:txBody>
    </xdr:sp>
    <xdr:clientData/>
  </xdr:twoCellAnchor>
  <xdr:twoCellAnchor editAs="oneCell">
    <xdr:from>
      <xdr:col>66</xdr:col>
      <xdr:colOff>0</xdr:colOff>
      <xdr:row>166</xdr:row>
      <xdr:rowOff>0</xdr:rowOff>
    </xdr:from>
    <xdr:to>
      <xdr:col>68</xdr:col>
      <xdr:colOff>0</xdr:colOff>
      <xdr:row>167</xdr:row>
      <xdr:rowOff>0</xdr:rowOff>
    </xdr:to>
    <xdr:sp macro="" textlink="">
      <xdr:nvSpPr>
        <xdr:cNvPr id="631" name="番号: E1（ルートE）">
          <a:extLst>
            <a:ext uri="{FF2B5EF4-FFF2-40B4-BE49-F238E27FC236}">
              <a16:creationId xmlns:a16="http://schemas.microsoft.com/office/drawing/2014/main" id="{6430C66E-2BE6-4102-85E3-4EC7A50800A7}"/>
            </a:ext>
          </a:extLst>
        </xdr:cNvPr>
        <xdr:cNvSpPr/>
      </xdr:nvSpPr>
      <xdr:spPr>
        <a:xfrm>
          <a:off x="12573000" y="31623000"/>
          <a:ext cx="381000" cy="190500"/>
        </a:xfrm>
        <a:prstGeom prst="roundRect">
          <a:avLst>
            <a:gd name="adj" fmla="val 50000"/>
          </a:avLst>
        </a:prstGeom>
        <a:solidFill>
          <a:srgbClr val="B04B68"/>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E1</a:t>
          </a:r>
          <a:endParaRPr lang="ja-JP" altLang="en-US" sz="750" dirty="0">
            <a:latin typeface="Meiryo UI"/>
            <a:ea typeface="Meiryo UI"/>
          </a:endParaRPr>
        </a:p>
      </xdr:txBody>
    </xdr:sp>
    <xdr:clientData/>
  </xdr:twoCellAnchor>
  <xdr:twoCellAnchor editAs="oneCell">
    <xdr:from>
      <xdr:col>77</xdr:col>
      <xdr:colOff>0</xdr:colOff>
      <xdr:row>166</xdr:row>
      <xdr:rowOff>0</xdr:rowOff>
    </xdr:from>
    <xdr:to>
      <xdr:col>79</xdr:col>
      <xdr:colOff>0</xdr:colOff>
      <xdr:row>167</xdr:row>
      <xdr:rowOff>0</xdr:rowOff>
    </xdr:to>
    <xdr:sp macro="" textlink="">
      <xdr:nvSpPr>
        <xdr:cNvPr id="632" name="番号: F1（ルートF）">
          <a:extLst>
            <a:ext uri="{FF2B5EF4-FFF2-40B4-BE49-F238E27FC236}">
              <a16:creationId xmlns:a16="http://schemas.microsoft.com/office/drawing/2014/main" id="{247347EB-9490-4302-A710-3E3CAEC7FECE}"/>
            </a:ext>
          </a:extLst>
        </xdr:cNvPr>
        <xdr:cNvSpPr/>
      </xdr:nvSpPr>
      <xdr:spPr>
        <a:xfrm>
          <a:off x="14668500" y="31623000"/>
          <a:ext cx="381000" cy="190500"/>
        </a:xfrm>
        <a:prstGeom prst="roundRect">
          <a:avLst>
            <a:gd name="adj" fmla="val 50000"/>
          </a:avLst>
        </a:prstGeom>
        <a:solidFill>
          <a:srgbClr val="6B651D"/>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F1</a:t>
          </a:r>
          <a:endParaRPr lang="ja-JP" altLang="en-US" sz="750" dirty="0">
            <a:latin typeface="Meiryo UI"/>
            <a:ea typeface="Meiryo UI"/>
          </a:endParaRPr>
        </a:p>
      </xdr:txBody>
    </xdr:sp>
    <xdr:clientData/>
  </xdr:twoCellAnchor>
  <xdr:twoCellAnchor editAs="oneCell">
    <xdr:from>
      <xdr:col>14</xdr:col>
      <xdr:colOff>0</xdr:colOff>
      <xdr:row>166</xdr:row>
      <xdr:rowOff>0</xdr:rowOff>
    </xdr:from>
    <xdr:to>
      <xdr:col>16</xdr:col>
      <xdr:colOff>0</xdr:colOff>
      <xdr:row>167</xdr:row>
      <xdr:rowOff>0</xdr:rowOff>
    </xdr:to>
    <xdr:sp macro="" textlink="">
      <xdr:nvSpPr>
        <xdr:cNvPr id="633" name="番号: 2（共通）">
          <a:extLst>
            <a:ext uri="{FF2B5EF4-FFF2-40B4-BE49-F238E27FC236}">
              <a16:creationId xmlns:a16="http://schemas.microsoft.com/office/drawing/2014/main" id="{B83A3E52-3DDA-4324-B3E2-F2BA6C0217EA}"/>
            </a:ext>
          </a:extLst>
        </xdr:cNvPr>
        <xdr:cNvSpPr/>
      </xdr:nvSpPr>
      <xdr:spPr>
        <a:xfrm>
          <a:off x="2667000" y="31623000"/>
          <a:ext cx="381000" cy="190500"/>
        </a:xfrm>
        <a:prstGeom prst="roundRect">
          <a:avLst>
            <a:gd name="adj" fmla="val 50000"/>
          </a:avLst>
        </a:prstGeom>
        <a:solidFill>
          <a:srgbClr val="404040"/>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2</a:t>
          </a:r>
          <a:endParaRPr lang="ja-JP" altLang="en-US" sz="750" dirty="0">
            <a:latin typeface="Meiryo UI"/>
            <a:ea typeface="Meiryo UI"/>
          </a:endParaRPr>
        </a:p>
      </xdr:txBody>
    </xdr:sp>
    <xdr:clientData/>
  </xdr:twoCellAnchor>
  <xdr:twoCellAnchor editAs="oneCell">
    <xdr:from>
      <xdr:col>25</xdr:col>
      <xdr:colOff>0</xdr:colOff>
      <xdr:row>166</xdr:row>
      <xdr:rowOff>0</xdr:rowOff>
    </xdr:from>
    <xdr:to>
      <xdr:col>27</xdr:col>
      <xdr:colOff>0</xdr:colOff>
      <xdr:row>167</xdr:row>
      <xdr:rowOff>0</xdr:rowOff>
    </xdr:to>
    <xdr:sp macro="" textlink="">
      <xdr:nvSpPr>
        <xdr:cNvPr id="634" name="番号: A2（ルートA）">
          <a:extLst>
            <a:ext uri="{FF2B5EF4-FFF2-40B4-BE49-F238E27FC236}">
              <a16:creationId xmlns:a16="http://schemas.microsoft.com/office/drawing/2014/main" id="{419E4141-77C6-4718-9FC0-3119882778D8}"/>
            </a:ext>
          </a:extLst>
        </xdr:cNvPr>
        <xdr:cNvSpPr/>
      </xdr:nvSpPr>
      <xdr:spPr>
        <a:xfrm>
          <a:off x="4762500" y="31623000"/>
          <a:ext cx="381000" cy="190500"/>
        </a:xfrm>
        <a:prstGeom prst="roundRect">
          <a:avLst>
            <a:gd name="adj" fmla="val 50000"/>
          </a:avLst>
        </a:prstGeom>
        <a:solidFill>
          <a:srgbClr val="315C92"/>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A2</a:t>
          </a:r>
          <a:endParaRPr lang="ja-JP" altLang="en-US" sz="750" dirty="0">
            <a:latin typeface="Meiryo UI"/>
            <a:ea typeface="Meiryo UI"/>
          </a:endParaRPr>
        </a:p>
      </xdr:txBody>
    </xdr:sp>
    <xdr:clientData/>
  </xdr:twoCellAnchor>
  <xdr:twoCellAnchor editAs="oneCell">
    <xdr:from>
      <xdr:col>36</xdr:col>
      <xdr:colOff>0</xdr:colOff>
      <xdr:row>166</xdr:row>
      <xdr:rowOff>0</xdr:rowOff>
    </xdr:from>
    <xdr:to>
      <xdr:col>38</xdr:col>
      <xdr:colOff>0</xdr:colOff>
      <xdr:row>167</xdr:row>
      <xdr:rowOff>0</xdr:rowOff>
    </xdr:to>
    <xdr:sp macro="" textlink="">
      <xdr:nvSpPr>
        <xdr:cNvPr id="635" name="番号: B2（ルートB）">
          <a:extLst>
            <a:ext uri="{FF2B5EF4-FFF2-40B4-BE49-F238E27FC236}">
              <a16:creationId xmlns:a16="http://schemas.microsoft.com/office/drawing/2014/main" id="{43140491-D985-48CA-AABE-D7622E75C2FA}"/>
            </a:ext>
          </a:extLst>
        </xdr:cNvPr>
        <xdr:cNvSpPr/>
      </xdr:nvSpPr>
      <xdr:spPr>
        <a:xfrm>
          <a:off x="6858000" y="31623000"/>
          <a:ext cx="381000" cy="190500"/>
        </a:xfrm>
        <a:prstGeom prst="roundRect">
          <a:avLst>
            <a:gd name="adj" fmla="val 50000"/>
          </a:avLst>
        </a:prstGeom>
        <a:solidFill>
          <a:srgbClr val="24796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B2</a:t>
          </a:r>
          <a:endParaRPr lang="ja-JP" altLang="en-US" sz="750" dirty="0">
            <a:latin typeface="Meiryo UI"/>
            <a:ea typeface="Meiryo UI"/>
          </a:endParaRPr>
        </a:p>
      </xdr:txBody>
    </xdr:sp>
    <xdr:clientData/>
  </xdr:twoCellAnchor>
  <xdr:twoCellAnchor editAs="oneCell">
    <xdr:from>
      <xdr:col>47</xdr:col>
      <xdr:colOff>0</xdr:colOff>
      <xdr:row>166</xdr:row>
      <xdr:rowOff>0</xdr:rowOff>
    </xdr:from>
    <xdr:to>
      <xdr:col>49</xdr:col>
      <xdr:colOff>0</xdr:colOff>
      <xdr:row>167</xdr:row>
      <xdr:rowOff>0</xdr:rowOff>
    </xdr:to>
    <xdr:sp macro="" textlink="">
      <xdr:nvSpPr>
        <xdr:cNvPr id="636" name="番号: C2（ルートC）">
          <a:extLst>
            <a:ext uri="{FF2B5EF4-FFF2-40B4-BE49-F238E27FC236}">
              <a16:creationId xmlns:a16="http://schemas.microsoft.com/office/drawing/2014/main" id="{4028BCD7-9AD1-4257-9546-94EAA8D4C47A}"/>
            </a:ext>
          </a:extLst>
        </xdr:cNvPr>
        <xdr:cNvSpPr/>
      </xdr:nvSpPr>
      <xdr:spPr>
        <a:xfrm>
          <a:off x="8953500" y="31623000"/>
          <a:ext cx="381000" cy="190500"/>
        </a:xfrm>
        <a:prstGeom prst="roundRect">
          <a:avLst>
            <a:gd name="adj" fmla="val 50000"/>
          </a:avLst>
        </a:prstGeom>
        <a:solidFill>
          <a:srgbClr val="C46B39"/>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C2</a:t>
          </a:r>
          <a:endParaRPr lang="ja-JP" altLang="en-US" sz="750" dirty="0">
            <a:latin typeface="Meiryo UI"/>
            <a:ea typeface="Meiryo UI"/>
          </a:endParaRPr>
        </a:p>
      </xdr:txBody>
    </xdr:sp>
    <xdr:clientData/>
  </xdr:twoCellAnchor>
  <xdr:twoCellAnchor editAs="oneCell">
    <xdr:from>
      <xdr:col>58</xdr:col>
      <xdr:colOff>0</xdr:colOff>
      <xdr:row>166</xdr:row>
      <xdr:rowOff>0</xdr:rowOff>
    </xdr:from>
    <xdr:to>
      <xdr:col>60</xdr:col>
      <xdr:colOff>0</xdr:colOff>
      <xdr:row>167</xdr:row>
      <xdr:rowOff>0</xdr:rowOff>
    </xdr:to>
    <xdr:sp macro="" textlink="">
      <xdr:nvSpPr>
        <xdr:cNvPr id="637" name="番号: D2（ルートD）">
          <a:extLst>
            <a:ext uri="{FF2B5EF4-FFF2-40B4-BE49-F238E27FC236}">
              <a16:creationId xmlns:a16="http://schemas.microsoft.com/office/drawing/2014/main" id="{BF3C86F7-D7D9-4FD4-815A-EE0BB9FAC460}"/>
            </a:ext>
          </a:extLst>
        </xdr:cNvPr>
        <xdr:cNvSpPr/>
      </xdr:nvSpPr>
      <xdr:spPr>
        <a:xfrm>
          <a:off x="11049000" y="31623000"/>
          <a:ext cx="381000" cy="190500"/>
        </a:xfrm>
        <a:prstGeom prst="roundRect">
          <a:avLst>
            <a:gd name="adj" fmla="val 50000"/>
          </a:avLst>
        </a:prstGeom>
        <a:solidFill>
          <a:srgbClr val="876BA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D2</a:t>
          </a:r>
          <a:endParaRPr lang="ja-JP" altLang="en-US" sz="750" dirty="0">
            <a:latin typeface="Meiryo UI"/>
            <a:ea typeface="Meiryo UI"/>
          </a:endParaRPr>
        </a:p>
      </xdr:txBody>
    </xdr:sp>
    <xdr:clientData/>
  </xdr:twoCellAnchor>
  <xdr:twoCellAnchor editAs="oneCell">
    <xdr:from>
      <xdr:col>69</xdr:col>
      <xdr:colOff>0</xdr:colOff>
      <xdr:row>166</xdr:row>
      <xdr:rowOff>0</xdr:rowOff>
    </xdr:from>
    <xdr:to>
      <xdr:col>71</xdr:col>
      <xdr:colOff>0</xdr:colOff>
      <xdr:row>167</xdr:row>
      <xdr:rowOff>0</xdr:rowOff>
    </xdr:to>
    <xdr:sp macro="" textlink="">
      <xdr:nvSpPr>
        <xdr:cNvPr id="638" name="番号: E2（ルートE）">
          <a:extLst>
            <a:ext uri="{FF2B5EF4-FFF2-40B4-BE49-F238E27FC236}">
              <a16:creationId xmlns:a16="http://schemas.microsoft.com/office/drawing/2014/main" id="{E0C31F34-5DA8-42A3-9405-4CDC17C748B1}"/>
            </a:ext>
          </a:extLst>
        </xdr:cNvPr>
        <xdr:cNvSpPr/>
      </xdr:nvSpPr>
      <xdr:spPr>
        <a:xfrm>
          <a:off x="13144500" y="31623000"/>
          <a:ext cx="381000" cy="190500"/>
        </a:xfrm>
        <a:prstGeom prst="roundRect">
          <a:avLst>
            <a:gd name="adj" fmla="val 50000"/>
          </a:avLst>
        </a:prstGeom>
        <a:solidFill>
          <a:srgbClr val="B04B68"/>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E2</a:t>
          </a:r>
          <a:endParaRPr lang="ja-JP" altLang="en-US" sz="750" dirty="0">
            <a:latin typeface="Meiryo UI"/>
            <a:ea typeface="Meiryo UI"/>
          </a:endParaRPr>
        </a:p>
      </xdr:txBody>
    </xdr:sp>
    <xdr:clientData/>
  </xdr:twoCellAnchor>
  <xdr:twoCellAnchor editAs="oneCell">
    <xdr:from>
      <xdr:col>80</xdr:col>
      <xdr:colOff>0</xdr:colOff>
      <xdr:row>166</xdr:row>
      <xdr:rowOff>0</xdr:rowOff>
    </xdr:from>
    <xdr:to>
      <xdr:col>82</xdr:col>
      <xdr:colOff>0</xdr:colOff>
      <xdr:row>167</xdr:row>
      <xdr:rowOff>0</xdr:rowOff>
    </xdr:to>
    <xdr:sp macro="" textlink="">
      <xdr:nvSpPr>
        <xdr:cNvPr id="639" name="番号: F2（ルートF）">
          <a:extLst>
            <a:ext uri="{FF2B5EF4-FFF2-40B4-BE49-F238E27FC236}">
              <a16:creationId xmlns:a16="http://schemas.microsoft.com/office/drawing/2014/main" id="{B1D607BD-6598-47D1-9B51-52F8E7EE634D}"/>
            </a:ext>
          </a:extLst>
        </xdr:cNvPr>
        <xdr:cNvSpPr/>
      </xdr:nvSpPr>
      <xdr:spPr>
        <a:xfrm>
          <a:off x="15240000" y="31623000"/>
          <a:ext cx="381000" cy="190500"/>
        </a:xfrm>
        <a:prstGeom prst="roundRect">
          <a:avLst>
            <a:gd name="adj" fmla="val 50000"/>
          </a:avLst>
        </a:prstGeom>
        <a:solidFill>
          <a:srgbClr val="6B651D"/>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F2</a:t>
          </a:r>
          <a:endParaRPr lang="ja-JP" altLang="en-US" sz="750" dirty="0">
            <a:latin typeface="Meiryo UI"/>
            <a:ea typeface="Meiryo UI"/>
          </a:endParaRPr>
        </a:p>
      </xdr:txBody>
    </xdr:sp>
    <xdr:clientData/>
  </xdr:twoCellAnchor>
  <xdr:twoCellAnchor editAs="oneCell">
    <xdr:from>
      <xdr:col>17</xdr:col>
      <xdr:colOff>0</xdr:colOff>
      <xdr:row>166</xdr:row>
      <xdr:rowOff>0</xdr:rowOff>
    </xdr:from>
    <xdr:to>
      <xdr:col>19</xdr:col>
      <xdr:colOff>0</xdr:colOff>
      <xdr:row>167</xdr:row>
      <xdr:rowOff>0</xdr:rowOff>
    </xdr:to>
    <xdr:sp macro="" textlink="">
      <xdr:nvSpPr>
        <xdr:cNvPr id="640" name="番号: 3（共通）">
          <a:extLst>
            <a:ext uri="{FF2B5EF4-FFF2-40B4-BE49-F238E27FC236}">
              <a16:creationId xmlns:a16="http://schemas.microsoft.com/office/drawing/2014/main" id="{6A9A0D9C-47B0-40E5-856D-C5849A10F55A}"/>
            </a:ext>
          </a:extLst>
        </xdr:cNvPr>
        <xdr:cNvSpPr/>
      </xdr:nvSpPr>
      <xdr:spPr>
        <a:xfrm>
          <a:off x="3238500" y="31623000"/>
          <a:ext cx="381000" cy="190500"/>
        </a:xfrm>
        <a:prstGeom prst="roundRect">
          <a:avLst>
            <a:gd name="adj" fmla="val 50000"/>
          </a:avLst>
        </a:prstGeom>
        <a:solidFill>
          <a:srgbClr val="404040"/>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3</a:t>
          </a:r>
          <a:endParaRPr lang="ja-JP" altLang="en-US" sz="750" dirty="0">
            <a:latin typeface="Meiryo UI"/>
            <a:ea typeface="Meiryo UI"/>
          </a:endParaRPr>
        </a:p>
      </xdr:txBody>
    </xdr:sp>
    <xdr:clientData/>
  </xdr:twoCellAnchor>
  <xdr:twoCellAnchor editAs="oneCell">
    <xdr:from>
      <xdr:col>28</xdr:col>
      <xdr:colOff>0</xdr:colOff>
      <xdr:row>166</xdr:row>
      <xdr:rowOff>0</xdr:rowOff>
    </xdr:from>
    <xdr:to>
      <xdr:col>30</xdr:col>
      <xdr:colOff>0</xdr:colOff>
      <xdr:row>167</xdr:row>
      <xdr:rowOff>0</xdr:rowOff>
    </xdr:to>
    <xdr:sp macro="" textlink="">
      <xdr:nvSpPr>
        <xdr:cNvPr id="641" name="番号: A3（ルートA）">
          <a:extLst>
            <a:ext uri="{FF2B5EF4-FFF2-40B4-BE49-F238E27FC236}">
              <a16:creationId xmlns:a16="http://schemas.microsoft.com/office/drawing/2014/main" id="{C18783B2-2880-4AF4-B5E1-EACC66461002}"/>
            </a:ext>
          </a:extLst>
        </xdr:cNvPr>
        <xdr:cNvSpPr/>
      </xdr:nvSpPr>
      <xdr:spPr>
        <a:xfrm>
          <a:off x="5334000" y="31623000"/>
          <a:ext cx="381000" cy="190500"/>
        </a:xfrm>
        <a:prstGeom prst="roundRect">
          <a:avLst>
            <a:gd name="adj" fmla="val 50000"/>
          </a:avLst>
        </a:prstGeom>
        <a:solidFill>
          <a:srgbClr val="315C92"/>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A3</a:t>
          </a:r>
          <a:endParaRPr lang="ja-JP" altLang="en-US" sz="750" dirty="0">
            <a:latin typeface="Meiryo UI"/>
            <a:ea typeface="Meiryo UI"/>
          </a:endParaRPr>
        </a:p>
      </xdr:txBody>
    </xdr:sp>
    <xdr:clientData/>
  </xdr:twoCellAnchor>
  <xdr:twoCellAnchor editAs="oneCell">
    <xdr:from>
      <xdr:col>39</xdr:col>
      <xdr:colOff>0</xdr:colOff>
      <xdr:row>166</xdr:row>
      <xdr:rowOff>0</xdr:rowOff>
    </xdr:from>
    <xdr:to>
      <xdr:col>41</xdr:col>
      <xdr:colOff>0</xdr:colOff>
      <xdr:row>167</xdr:row>
      <xdr:rowOff>0</xdr:rowOff>
    </xdr:to>
    <xdr:sp macro="" textlink="">
      <xdr:nvSpPr>
        <xdr:cNvPr id="642" name="番号: B3（ルートB）">
          <a:extLst>
            <a:ext uri="{FF2B5EF4-FFF2-40B4-BE49-F238E27FC236}">
              <a16:creationId xmlns:a16="http://schemas.microsoft.com/office/drawing/2014/main" id="{D12BDF60-92C4-4D27-B30E-399A262AD1F9}"/>
            </a:ext>
          </a:extLst>
        </xdr:cNvPr>
        <xdr:cNvSpPr/>
      </xdr:nvSpPr>
      <xdr:spPr>
        <a:xfrm>
          <a:off x="7429500" y="31623000"/>
          <a:ext cx="381000" cy="190500"/>
        </a:xfrm>
        <a:prstGeom prst="roundRect">
          <a:avLst>
            <a:gd name="adj" fmla="val 50000"/>
          </a:avLst>
        </a:prstGeom>
        <a:solidFill>
          <a:srgbClr val="24796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B3</a:t>
          </a:r>
          <a:endParaRPr lang="ja-JP" altLang="en-US" sz="750" dirty="0">
            <a:latin typeface="Meiryo UI"/>
            <a:ea typeface="Meiryo UI"/>
          </a:endParaRPr>
        </a:p>
      </xdr:txBody>
    </xdr:sp>
    <xdr:clientData/>
  </xdr:twoCellAnchor>
  <xdr:twoCellAnchor editAs="oneCell">
    <xdr:from>
      <xdr:col>50</xdr:col>
      <xdr:colOff>0</xdr:colOff>
      <xdr:row>166</xdr:row>
      <xdr:rowOff>0</xdr:rowOff>
    </xdr:from>
    <xdr:to>
      <xdr:col>52</xdr:col>
      <xdr:colOff>0</xdr:colOff>
      <xdr:row>167</xdr:row>
      <xdr:rowOff>0</xdr:rowOff>
    </xdr:to>
    <xdr:sp macro="" textlink="">
      <xdr:nvSpPr>
        <xdr:cNvPr id="643" name="番号: C3（ルートC）">
          <a:extLst>
            <a:ext uri="{FF2B5EF4-FFF2-40B4-BE49-F238E27FC236}">
              <a16:creationId xmlns:a16="http://schemas.microsoft.com/office/drawing/2014/main" id="{65553A5E-D540-4431-9AD1-5880084F3839}"/>
            </a:ext>
          </a:extLst>
        </xdr:cNvPr>
        <xdr:cNvSpPr/>
      </xdr:nvSpPr>
      <xdr:spPr>
        <a:xfrm>
          <a:off x="9525000" y="31623000"/>
          <a:ext cx="381000" cy="190500"/>
        </a:xfrm>
        <a:prstGeom prst="roundRect">
          <a:avLst>
            <a:gd name="adj" fmla="val 50000"/>
          </a:avLst>
        </a:prstGeom>
        <a:solidFill>
          <a:srgbClr val="C46B39"/>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C3</a:t>
          </a:r>
          <a:endParaRPr lang="ja-JP" altLang="en-US" sz="750" dirty="0">
            <a:latin typeface="Meiryo UI"/>
            <a:ea typeface="Meiryo UI"/>
          </a:endParaRPr>
        </a:p>
      </xdr:txBody>
    </xdr:sp>
    <xdr:clientData/>
  </xdr:twoCellAnchor>
  <xdr:twoCellAnchor editAs="oneCell">
    <xdr:from>
      <xdr:col>61</xdr:col>
      <xdr:colOff>0</xdr:colOff>
      <xdr:row>166</xdr:row>
      <xdr:rowOff>0</xdr:rowOff>
    </xdr:from>
    <xdr:to>
      <xdr:col>63</xdr:col>
      <xdr:colOff>0</xdr:colOff>
      <xdr:row>167</xdr:row>
      <xdr:rowOff>0</xdr:rowOff>
    </xdr:to>
    <xdr:sp macro="" textlink="">
      <xdr:nvSpPr>
        <xdr:cNvPr id="644" name="番号: D3（ルートD）">
          <a:extLst>
            <a:ext uri="{FF2B5EF4-FFF2-40B4-BE49-F238E27FC236}">
              <a16:creationId xmlns:a16="http://schemas.microsoft.com/office/drawing/2014/main" id="{A41C9AA4-24FE-4B3A-A67A-CCCD0D9A2FE8}"/>
            </a:ext>
          </a:extLst>
        </xdr:cNvPr>
        <xdr:cNvSpPr/>
      </xdr:nvSpPr>
      <xdr:spPr>
        <a:xfrm>
          <a:off x="11620500" y="31623000"/>
          <a:ext cx="381000" cy="190500"/>
        </a:xfrm>
        <a:prstGeom prst="roundRect">
          <a:avLst>
            <a:gd name="adj" fmla="val 50000"/>
          </a:avLst>
        </a:prstGeom>
        <a:solidFill>
          <a:srgbClr val="876BA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D3</a:t>
          </a:r>
          <a:endParaRPr lang="ja-JP" altLang="en-US" sz="750" dirty="0">
            <a:latin typeface="Meiryo UI"/>
            <a:ea typeface="Meiryo UI"/>
          </a:endParaRPr>
        </a:p>
      </xdr:txBody>
    </xdr:sp>
    <xdr:clientData/>
  </xdr:twoCellAnchor>
  <xdr:twoCellAnchor editAs="oneCell">
    <xdr:from>
      <xdr:col>72</xdr:col>
      <xdr:colOff>0</xdr:colOff>
      <xdr:row>166</xdr:row>
      <xdr:rowOff>0</xdr:rowOff>
    </xdr:from>
    <xdr:to>
      <xdr:col>74</xdr:col>
      <xdr:colOff>0</xdr:colOff>
      <xdr:row>167</xdr:row>
      <xdr:rowOff>0</xdr:rowOff>
    </xdr:to>
    <xdr:sp macro="" textlink="">
      <xdr:nvSpPr>
        <xdr:cNvPr id="645" name="番号: E3（ルートE）">
          <a:extLst>
            <a:ext uri="{FF2B5EF4-FFF2-40B4-BE49-F238E27FC236}">
              <a16:creationId xmlns:a16="http://schemas.microsoft.com/office/drawing/2014/main" id="{F0A9769E-6A02-4AC7-BA0B-B62448DB5183}"/>
            </a:ext>
          </a:extLst>
        </xdr:cNvPr>
        <xdr:cNvSpPr/>
      </xdr:nvSpPr>
      <xdr:spPr>
        <a:xfrm>
          <a:off x="13716000" y="31623000"/>
          <a:ext cx="381000" cy="190500"/>
        </a:xfrm>
        <a:prstGeom prst="roundRect">
          <a:avLst>
            <a:gd name="adj" fmla="val 50000"/>
          </a:avLst>
        </a:prstGeom>
        <a:solidFill>
          <a:srgbClr val="B04B68"/>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E3</a:t>
          </a:r>
          <a:endParaRPr lang="ja-JP" altLang="en-US" sz="750" dirty="0">
            <a:latin typeface="Meiryo UI"/>
            <a:ea typeface="Meiryo UI"/>
          </a:endParaRPr>
        </a:p>
      </xdr:txBody>
    </xdr:sp>
    <xdr:clientData/>
  </xdr:twoCellAnchor>
  <xdr:twoCellAnchor editAs="oneCell">
    <xdr:from>
      <xdr:col>83</xdr:col>
      <xdr:colOff>0</xdr:colOff>
      <xdr:row>166</xdr:row>
      <xdr:rowOff>0</xdr:rowOff>
    </xdr:from>
    <xdr:to>
      <xdr:col>85</xdr:col>
      <xdr:colOff>0</xdr:colOff>
      <xdr:row>167</xdr:row>
      <xdr:rowOff>0</xdr:rowOff>
    </xdr:to>
    <xdr:sp macro="" textlink="">
      <xdr:nvSpPr>
        <xdr:cNvPr id="646" name="番号: F3（ルートF）">
          <a:extLst>
            <a:ext uri="{FF2B5EF4-FFF2-40B4-BE49-F238E27FC236}">
              <a16:creationId xmlns:a16="http://schemas.microsoft.com/office/drawing/2014/main" id="{DE2068BD-9596-43D2-A3BD-B4C329A76A58}"/>
            </a:ext>
          </a:extLst>
        </xdr:cNvPr>
        <xdr:cNvSpPr/>
      </xdr:nvSpPr>
      <xdr:spPr>
        <a:xfrm>
          <a:off x="15811500" y="31623000"/>
          <a:ext cx="381000" cy="190500"/>
        </a:xfrm>
        <a:prstGeom prst="roundRect">
          <a:avLst>
            <a:gd name="adj" fmla="val 50000"/>
          </a:avLst>
        </a:prstGeom>
        <a:solidFill>
          <a:srgbClr val="6B651D"/>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F3</a:t>
          </a:r>
          <a:endParaRPr lang="ja-JP" altLang="en-US" sz="750" dirty="0">
            <a:latin typeface="Meiryo UI"/>
            <a:ea typeface="Meiryo UI"/>
          </a:endParaRPr>
        </a:p>
      </xdr:txBody>
    </xdr:sp>
    <xdr:clientData/>
  </xdr:twoCellAnchor>
  <xdr:twoCellAnchor editAs="oneCell">
    <xdr:from>
      <xdr:col>11</xdr:col>
      <xdr:colOff>0</xdr:colOff>
      <xdr:row>169</xdr:row>
      <xdr:rowOff>0</xdr:rowOff>
    </xdr:from>
    <xdr:to>
      <xdr:col>12</xdr:col>
      <xdr:colOff>0</xdr:colOff>
      <xdr:row>170</xdr:row>
      <xdr:rowOff>0</xdr:rowOff>
    </xdr:to>
    <xdr:sp macro="" textlink="">
      <xdr:nvSpPr>
        <xdr:cNvPr id="647" name="丸番号: 1（共通）">
          <a:extLst>
            <a:ext uri="{FF2B5EF4-FFF2-40B4-BE49-F238E27FC236}">
              <a16:creationId xmlns:a16="http://schemas.microsoft.com/office/drawing/2014/main" id="{EF0713AA-8309-4A95-890A-2280531E3AFE}"/>
            </a:ext>
          </a:extLst>
        </xdr:cNvPr>
        <xdr:cNvSpPr/>
      </xdr:nvSpPr>
      <xdr:spPr>
        <a:xfrm>
          <a:off x="2095500" y="32194500"/>
          <a:ext cx="190500" cy="190500"/>
        </a:xfrm>
        <a:prstGeom prst="ellipse">
          <a:avLst/>
        </a:prstGeom>
        <a:solidFill>
          <a:srgbClr val="404040"/>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1</a:t>
          </a:r>
          <a:endParaRPr lang="ja-JP" altLang="en-US" sz="750" dirty="0">
            <a:latin typeface="Meiryo UI"/>
            <a:ea typeface="Meiryo UI"/>
          </a:endParaRPr>
        </a:p>
      </xdr:txBody>
    </xdr:sp>
    <xdr:clientData/>
  </xdr:twoCellAnchor>
  <xdr:twoCellAnchor editAs="oneCell">
    <xdr:from>
      <xdr:col>22</xdr:col>
      <xdr:colOff>0</xdr:colOff>
      <xdr:row>169</xdr:row>
      <xdr:rowOff>0</xdr:rowOff>
    </xdr:from>
    <xdr:to>
      <xdr:col>23</xdr:col>
      <xdr:colOff>0</xdr:colOff>
      <xdr:row>170</xdr:row>
      <xdr:rowOff>0</xdr:rowOff>
    </xdr:to>
    <xdr:sp macro="" textlink="">
      <xdr:nvSpPr>
        <xdr:cNvPr id="648" name="丸番号: 1（ルートA）">
          <a:extLst>
            <a:ext uri="{FF2B5EF4-FFF2-40B4-BE49-F238E27FC236}">
              <a16:creationId xmlns:a16="http://schemas.microsoft.com/office/drawing/2014/main" id="{6D9BAF2D-F8EC-4CF8-9199-A1FF3B00F750}"/>
            </a:ext>
          </a:extLst>
        </xdr:cNvPr>
        <xdr:cNvSpPr/>
      </xdr:nvSpPr>
      <xdr:spPr>
        <a:xfrm>
          <a:off x="4191000" y="32194500"/>
          <a:ext cx="190500" cy="190500"/>
        </a:xfrm>
        <a:prstGeom prst="ellipse">
          <a:avLst/>
        </a:prstGeom>
        <a:solidFill>
          <a:srgbClr val="315C92"/>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1</a:t>
          </a:r>
          <a:endParaRPr lang="ja-JP" altLang="en-US" sz="750" dirty="0">
            <a:latin typeface="Meiryo UI"/>
            <a:ea typeface="Meiryo UI"/>
          </a:endParaRPr>
        </a:p>
      </xdr:txBody>
    </xdr:sp>
    <xdr:clientData/>
  </xdr:twoCellAnchor>
  <xdr:twoCellAnchor editAs="oneCell">
    <xdr:from>
      <xdr:col>33</xdr:col>
      <xdr:colOff>0</xdr:colOff>
      <xdr:row>169</xdr:row>
      <xdr:rowOff>0</xdr:rowOff>
    </xdr:from>
    <xdr:to>
      <xdr:col>34</xdr:col>
      <xdr:colOff>0</xdr:colOff>
      <xdr:row>170</xdr:row>
      <xdr:rowOff>0</xdr:rowOff>
    </xdr:to>
    <xdr:sp macro="" textlink="">
      <xdr:nvSpPr>
        <xdr:cNvPr id="649" name="丸番号: 1（ルートB）">
          <a:extLst>
            <a:ext uri="{FF2B5EF4-FFF2-40B4-BE49-F238E27FC236}">
              <a16:creationId xmlns:a16="http://schemas.microsoft.com/office/drawing/2014/main" id="{EA2B45F2-90CD-47C2-8077-FD1D63EFCC7E}"/>
            </a:ext>
          </a:extLst>
        </xdr:cNvPr>
        <xdr:cNvSpPr/>
      </xdr:nvSpPr>
      <xdr:spPr>
        <a:xfrm>
          <a:off x="6286500" y="32194500"/>
          <a:ext cx="190500" cy="190500"/>
        </a:xfrm>
        <a:prstGeom prst="ellipse">
          <a:avLst/>
        </a:prstGeom>
        <a:solidFill>
          <a:srgbClr val="24796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1</a:t>
          </a:r>
          <a:endParaRPr lang="ja-JP" altLang="en-US" sz="750" dirty="0">
            <a:latin typeface="Meiryo UI"/>
            <a:ea typeface="Meiryo UI"/>
          </a:endParaRPr>
        </a:p>
      </xdr:txBody>
    </xdr:sp>
    <xdr:clientData/>
  </xdr:twoCellAnchor>
  <xdr:twoCellAnchor editAs="oneCell">
    <xdr:from>
      <xdr:col>44</xdr:col>
      <xdr:colOff>0</xdr:colOff>
      <xdr:row>169</xdr:row>
      <xdr:rowOff>0</xdr:rowOff>
    </xdr:from>
    <xdr:to>
      <xdr:col>45</xdr:col>
      <xdr:colOff>0</xdr:colOff>
      <xdr:row>170</xdr:row>
      <xdr:rowOff>0</xdr:rowOff>
    </xdr:to>
    <xdr:sp macro="" textlink="">
      <xdr:nvSpPr>
        <xdr:cNvPr id="650" name="丸番号: 1（ルートC）">
          <a:extLst>
            <a:ext uri="{FF2B5EF4-FFF2-40B4-BE49-F238E27FC236}">
              <a16:creationId xmlns:a16="http://schemas.microsoft.com/office/drawing/2014/main" id="{3686EDF1-0CF8-419C-87F8-0681011D1B81}"/>
            </a:ext>
          </a:extLst>
        </xdr:cNvPr>
        <xdr:cNvSpPr/>
      </xdr:nvSpPr>
      <xdr:spPr>
        <a:xfrm>
          <a:off x="8382000" y="32194500"/>
          <a:ext cx="190500" cy="190500"/>
        </a:xfrm>
        <a:prstGeom prst="ellipse">
          <a:avLst/>
        </a:prstGeom>
        <a:solidFill>
          <a:srgbClr val="C46B39"/>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1</a:t>
          </a:r>
          <a:endParaRPr lang="ja-JP" altLang="en-US" sz="750" dirty="0">
            <a:latin typeface="Meiryo UI"/>
            <a:ea typeface="Meiryo UI"/>
          </a:endParaRPr>
        </a:p>
      </xdr:txBody>
    </xdr:sp>
    <xdr:clientData/>
  </xdr:twoCellAnchor>
  <xdr:twoCellAnchor editAs="oneCell">
    <xdr:from>
      <xdr:col>55</xdr:col>
      <xdr:colOff>0</xdr:colOff>
      <xdr:row>169</xdr:row>
      <xdr:rowOff>0</xdr:rowOff>
    </xdr:from>
    <xdr:to>
      <xdr:col>56</xdr:col>
      <xdr:colOff>0</xdr:colOff>
      <xdr:row>170</xdr:row>
      <xdr:rowOff>0</xdr:rowOff>
    </xdr:to>
    <xdr:sp macro="" textlink="">
      <xdr:nvSpPr>
        <xdr:cNvPr id="651" name="丸番号: 1（ルートD）">
          <a:extLst>
            <a:ext uri="{FF2B5EF4-FFF2-40B4-BE49-F238E27FC236}">
              <a16:creationId xmlns:a16="http://schemas.microsoft.com/office/drawing/2014/main" id="{7717D90D-1B4B-4C22-995E-DC451FC25128}"/>
            </a:ext>
          </a:extLst>
        </xdr:cNvPr>
        <xdr:cNvSpPr/>
      </xdr:nvSpPr>
      <xdr:spPr>
        <a:xfrm>
          <a:off x="10477500" y="32194500"/>
          <a:ext cx="190500" cy="190500"/>
        </a:xfrm>
        <a:prstGeom prst="ellipse">
          <a:avLst/>
        </a:prstGeom>
        <a:solidFill>
          <a:srgbClr val="876BA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1</a:t>
          </a:r>
          <a:endParaRPr lang="ja-JP" altLang="en-US" sz="750" dirty="0">
            <a:latin typeface="Meiryo UI"/>
            <a:ea typeface="Meiryo UI"/>
          </a:endParaRPr>
        </a:p>
      </xdr:txBody>
    </xdr:sp>
    <xdr:clientData/>
  </xdr:twoCellAnchor>
  <xdr:twoCellAnchor editAs="oneCell">
    <xdr:from>
      <xdr:col>66</xdr:col>
      <xdr:colOff>0</xdr:colOff>
      <xdr:row>169</xdr:row>
      <xdr:rowOff>0</xdr:rowOff>
    </xdr:from>
    <xdr:to>
      <xdr:col>67</xdr:col>
      <xdr:colOff>0</xdr:colOff>
      <xdr:row>170</xdr:row>
      <xdr:rowOff>0</xdr:rowOff>
    </xdr:to>
    <xdr:sp macro="" textlink="">
      <xdr:nvSpPr>
        <xdr:cNvPr id="652" name="丸番号: 1（ルートE）">
          <a:extLst>
            <a:ext uri="{FF2B5EF4-FFF2-40B4-BE49-F238E27FC236}">
              <a16:creationId xmlns:a16="http://schemas.microsoft.com/office/drawing/2014/main" id="{E5E0A4CD-6DB2-466D-B0E5-88BA6A4A1B44}"/>
            </a:ext>
          </a:extLst>
        </xdr:cNvPr>
        <xdr:cNvSpPr/>
      </xdr:nvSpPr>
      <xdr:spPr>
        <a:xfrm>
          <a:off x="12573000" y="32194500"/>
          <a:ext cx="190500" cy="190500"/>
        </a:xfrm>
        <a:prstGeom prst="ellipse">
          <a:avLst/>
        </a:prstGeom>
        <a:solidFill>
          <a:srgbClr val="B04B68"/>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1</a:t>
          </a:r>
          <a:endParaRPr lang="ja-JP" altLang="en-US" sz="750" dirty="0">
            <a:latin typeface="Meiryo UI"/>
            <a:ea typeface="Meiryo UI"/>
          </a:endParaRPr>
        </a:p>
      </xdr:txBody>
    </xdr:sp>
    <xdr:clientData/>
  </xdr:twoCellAnchor>
  <xdr:twoCellAnchor editAs="oneCell">
    <xdr:from>
      <xdr:col>77</xdr:col>
      <xdr:colOff>0</xdr:colOff>
      <xdr:row>169</xdr:row>
      <xdr:rowOff>0</xdr:rowOff>
    </xdr:from>
    <xdr:to>
      <xdr:col>78</xdr:col>
      <xdr:colOff>0</xdr:colOff>
      <xdr:row>170</xdr:row>
      <xdr:rowOff>0</xdr:rowOff>
    </xdr:to>
    <xdr:sp macro="" textlink="">
      <xdr:nvSpPr>
        <xdr:cNvPr id="653" name="丸番号: 1（ルートF）">
          <a:extLst>
            <a:ext uri="{FF2B5EF4-FFF2-40B4-BE49-F238E27FC236}">
              <a16:creationId xmlns:a16="http://schemas.microsoft.com/office/drawing/2014/main" id="{3B1D96F4-2CDA-41D9-AE4A-D679129B57AA}"/>
            </a:ext>
          </a:extLst>
        </xdr:cNvPr>
        <xdr:cNvSpPr/>
      </xdr:nvSpPr>
      <xdr:spPr>
        <a:xfrm>
          <a:off x="14668500" y="32194500"/>
          <a:ext cx="190500" cy="190500"/>
        </a:xfrm>
        <a:prstGeom prst="ellipse">
          <a:avLst/>
        </a:prstGeom>
        <a:solidFill>
          <a:srgbClr val="6B651D"/>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1</a:t>
          </a:r>
          <a:endParaRPr lang="ja-JP" altLang="en-US" sz="750" dirty="0">
            <a:latin typeface="Meiryo UI"/>
            <a:ea typeface="Meiryo UI"/>
          </a:endParaRPr>
        </a:p>
      </xdr:txBody>
    </xdr:sp>
    <xdr:clientData/>
  </xdr:twoCellAnchor>
  <xdr:twoCellAnchor editAs="oneCell">
    <xdr:from>
      <xdr:col>13</xdr:col>
      <xdr:colOff>0</xdr:colOff>
      <xdr:row>169</xdr:row>
      <xdr:rowOff>0</xdr:rowOff>
    </xdr:from>
    <xdr:to>
      <xdr:col>14</xdr:col>
      <xdr:colOff>0</xdr:colOff>
      <xdr:row>170</xdr:row>
      <xdr:rowOff>0</xdr:rowOff>
    </xdr:to>
    <xdr:sp macro="" textlink="">
      <xdr:nvSpPr>
        <xdr:cNvPr id="654" name="丸番号: 2（共通）">
          <a:extLst>
            <a:ext uri="{FF2B5EF4-FFF2-40B4-BE49-F238E27FC236}">
              <a16:creationId xmlns:a16="http://schemas.microsoft.com/office/drawing/2014/main" id="{2792BA3E-FA12-4EB8-8B34-0CD25C45F466}"/>
            </a:ext>
          </a:extLst>
        </xdr:cNvPr>
        <xdr:cNvSpPr/>
      </xdr:nvSpPr>
      <xdr:spPr>
        <a:xfrm>
          <a:off x="2476500" y="32194500"/>
          <a:ext cx="190500" cy="190500"/>
        </a:xfrm>
        <a:prstGeom prst="ellipse">
          <a:avLst/>
        </a:prstGeom>
        <a:solidFill>
          <a:srgbClr val="404040"/>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2</a:t>
          </a:r>
          <a:endParaRPr lang="ja-JP" altLang="en-US" sz="750" dirty="0">
            <a:latin typeface="Meiryo UI"/>
            <a:ea typeface="Meiryo UI"/>
          </a:endParaRPr>
        </a:p>
      </xdr:txBody>
    </xdr:sp>
    <xdr:clientData/>
  </xdr:twoCellAnchor>
  <xdr:twoCellAnchor editAs="oneCell">
    <xdr:from>
      <xdr:col>24</xdr:col>
      <xdr:colOff>0</xdr:colOff>
      <xdr:row>169</xdr:row>
      <xdr:rowOff>0</xdr:rowOff>
    </xdr:from>
    <xdr:to>
      <xdr:col>25</xdr:col>
      <xdr:colOff>0</xdr:colOff>
      <xdr:row>170</xdr:row>
      <xdr:rowOff>0</xdr:rowOff>
    </xdr:to>
    <xdr:sp macro="" textlink="">
      <xdr:nvSpPr>
        <xdr:cNvPr id="655" name="丸番号: 2（ルートA）">
          <a:extLst>
            <a:ext uri="{FF2B5EF4-FFF2-40B4-BE49-F238E27FC236}">
              <a16:creationId xmlns:a16="http://schemas.microsoft.com/office/drawing/2014/main" id="{2F798310-4387-4DB8-A250-8EB6B9F80B07}"/>
            </a:ext>
          </a:extLst>
        </xdr:cNvPr>
        <xdr:cNvSpPr/>
      </xdr:nvSpPr>
      <xdr:spPr>
        <a:xfrm>
          <a:off x="4572000" y="32194500"/>
          <a:ext cx="190500" cy="190500"/>
        </a:xfrm>
        <a:prstGeom prst="ellipse">
          <a:avLst/>
        </a:prstGeom>
        <a:solidFill>
          <a:srgbClr val="315C92"/>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2</a:t>
          </a:r>
          <a:endParaRPr lang="ja-JP" altLang="en-US" sz="750" dirty="0">
            <a:latin typeface="Meiryo UI"/>
            <a:ea typeface="Meiryo UI"/>
          </a:endParaRPr>
        </a:p>
      </xdr:txBody>
    </xdr:sp>
    <xdr:clientData/>
  </xdr:twoCellAnchor>
  <xdr:twoCellAnchor editAs="oneCell">
    <xdr:from>
      <xdr:col>35</xdr:col>
      <xdr:colOff>0</xdr:colOff>
      <xdr:row>169</xdr:row>
      <xdr:rowOff>0</xdr:rowOff>
    </xdr:from>
    <xdr:to>
      <xdr:col>36</xdr:col>
      <xdr:colOff>0</xdr:colOff>
      <xdr:row>170</xdr:row>
      <xdr:rowOff>0</xdr:rowOff>
    </xdr:to>
    <xdr:sp macro="" textlink="">
      <xdr:nvSpPr>
        <xdr:cNvPr id="656" name="丸番号: 2（ルートB）">
          <a:extLst>
            <a:ext uri="{FF2B5EF4-FFF2-40B4-BE49-F238E27FC236}">
              <a16:creationId xmlns:a16="http://schemas.microsoft.com/office/drawing/2014/main" id="{44EC8BFF-234A-4FF1-A6A7-87798A24C48E}"/>
            </a:ext>
          </a:extLst>
        </xdr:cNvPr>
        <xdr:cNvSpPr/>
      </xdr:nvSpPr>
      <xdr:spPr>
        <a:xfrm>
          <a:off x="6667500" y="32194500"/>
          <a:ext cx="190500" cy="190500"/>
        </a:xfrm>
        <a:prstGeom prst="ellipse">
          <a:avLst/>
        </a:prstGeom>
        <a:solidFill>
          <a:srgbClr val="24796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2</a:t>
          </a:r>
          <a:endParaRPr lang="ja-JP" altLang="en-US" sz="750" dirty="0">
            <a:latin typeface="Meiryo UI"/>
            <a:ea typeface="Meiryo UI"/>
          </a:endParaRPr>
        </a:p>
      </xdr:txBody>
    </xdr:sp>
    <xdr:clientData/>
  </xdr:twoCellAnchor>
  <xdr:twoCellAnchor editAs="oneCell">
    <xdr:from>
      <xdr:col>46</xdr:col>
      <xdr:colOff>0</xdr:colOff>
      <xdr:row>169</xdr:row>
      <xdr:rowOff>0</xdr:rowOff>
    </xdr:from>
    <xdr:to>
      <xdr:col>47</xdr:col>
      <xdr:colOff>0</xdr:colOff>
      <xdr:row>170</xdr:row>
      <xdr:rowOff>0</xdr:rowOff>
    </xdr:to>
    <xdr:sp macro="" textlink="">
      <xdr:nvSpPr>
        <xdr:cNvPr id="657" name="丸番号: 2（ルートC）">
          <a:extLst>
            <a:ext uri="{FF2B5EF4-FFF2-40B4-BE49-F238E27FC236}">
              <a16:creationId xmlns:a16="http://schemas.microsoft.com/office/drawing/2014/main" id="{35ABCBBA-2319-4E78-B702-BBE9F312F07B}"/>
            </a:ext>
          </a:extLst>
        </xdr:cNvPr>
        <xdr:cNvSpPr/>
      </xdr:nvSpPr>
      <xdr:spPr>
        <a:xfrm>
          <a:off x="8763000" y="32194500"/>
          <a:ext cx="190500" cy="190500"/>
        </a:xfrm>
        <a:prstGeom prst="ellipse">
          <a:avLst/>
        </a:prstGeom>
        <a:solidFill>
          <a:srgbClr val="C46B39"/>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2</a:t>
          </a:r>
          <a:endParaRPr lang="ja-JP" altLang="en-US" sz="750" dirty="0">
            <a:latin typeface="Meiryo UI"/>
            <a:ea typeface="Meiryo UI"/>
          </a:endParaRPr>
        </a:p>
      </xdr:txBody>
    </xdr:sp>
    <xdr:clientData/>
  </xdr:twoCellAnchor>
  <xdr:twoCellAnchor editAs="oneCell">
    <xdr:from>
      <xdr:col>57</xdr:col>
      <xdr:colOff>0</xdr:colOff>
      <xdr:row>169</xdr:row>
      <xdr:rowOff>0</xdr:rowOff>
    </xdr:from>
    <xdr:to>
      <xdr:col>58</xdr:col>
      <xdr:colOff>0</xdr:colOff>
      <xdr:row>170</xdr:row>
      <xdr:rowOff>0</xdr:rowOff>
    </xdr:to>
    <xdr:sp macro="" textlink="">
      <xdr:nvSpPr>
        <xdr:cNvPr id="658" name="丸番号: 2（ルートD）">
          <a:extLst>
            <a:ext uri="{FF2B5EF4-FFF2-40B4-BE49-F238E27FC236}">
              <a16:creationId xmlns:a16="http://schemas.microsoft.com/office/drawing/2014/main" id="{823AEDAE-D4BF-457F-A030-659FCD223BE9}"/>
            </a:ext>
          </a:extLst>
        </xdr:cNvPr>
        <xdr:cNvSpPr/>
      </xdr:nvSpPr>
      <xdr:spPr>
        <a:xfrm>
          <a:off x="10858500" y="32194500"/>
          <a:ext cx="190500" cy="190500"/>
        </a:xfrm>
        <a:prstGeom prst="ellipse">
          <a:avLst/>
        </a:prstGeom>
        <a:solidFill>
          <a:srgbClr val="876BA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2</a:t>
          </a:r>
          <a:endParaRPr lang="ja-JP" altLang="en-US" sz="750" dirty="0">
            <a:latin typeface="Meiryo UI"/>
            <a:ea typeface="Meiryo UI"/>
          </a:endParaRPr>
        </a:p>
      </xdr:txBody>
    </xdr:sp>
    <xdr:clientData/>
  </xdr:twoCellAnchor>
  <xdr:twoCellAnchor editAs="oneCell">
    <xdr:from>
      <xdr:col>68</xdr:col>
      <xdr:colOff>0</xdr:colOff>
      <xdr:row>169</xdr:row>
      <xdr:rowOff>0</xdr:rowOff>
    </xdr:from>
    <xdr:to>
      <xdr:col>69</xdr:col>
      <xdr:colOff>0</xdr:colOff>
      <xdr:row>170</xdr:row>
      <xdr:rowOff>0</xdr:rowOff>
    </xdr:to>
    <xdr:sp macro="" textlink="">
      <xdr:nvSpPr>
        <xdr:cNvPr id="659" name="丸番号: 2（ルートE）">
          <a:extLst>
            <a:ext uri="{FF2B5EF4-FFF2-40B4-BE49-F238E27FC236}">
              <a16:creationId xmlns:a16="http://schemas.microsoft.com/office/drawing/2014/main" id="{EA5364D3-0DF7-473B-903B-227C6C21D46F}"/>
            </a:ext>
          </a:extLst>
        </xdr:cNvPr>
        <xdr:cNvSpPr/>
      </xdr:nvSpPr>
      <xdr:spPr>
        <a:xfrm>
          <a:off x="12954000" y="32194500"/>
          <a:ext cx="190500" cy="190500"/>
        </a:xfrm>
        <a:prstGeom prst="ellipse">
          <a:avLst/>
        </a:prstGeom>
        <a:solidFill>
          <a:srgbClr val="B04B68"/>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2</a:t>
          </a:r>
          <a:endParaRPr lang="ja-JP" altLang="en-US" sz="750" dirty="0">
            <a:latin typeface="Meiryo UI"/>
            <a:ea typeface="Meiryo UI"/>
          </a:endParaRPr>
        </a:p>
      </xdr:txBody>
    </xdr:sp>
    <xdr:clientData/>
  </xdr:twoCellAnchor>
  <xdr:twoCellAnchor editAs="oneCell">
    <xdr:from>
      <xdr:col>79</xdr:col>
      <xdr:colOff>0</xdr:colOff>
      <xdr:row>169</xdr:row>
      <xdr:rowOff>0</xdr:rowOff>
    </xdr:from>
    <xdr:to>
      <xdr:col>80</xdr:col>
      <xdr:colOff>0</xdr:colOff>
      <xdr:row>170</xdr:row>
      <xdr:rowOff>0</xdr:rowOff>
    </xdr:to>
    <xdr:sp macro="" textlink="">
      <xdr:nvSpPr>
        <xdr:cNvPr id="660" name="丸番号: 2（ルートF）">
          <a:extLst>
            <a:ext uri="{FF2B5EF4-FFF2-40B4-BE49-F238E27FC236}">
              <a16:creationId xmlns:a16="http://schemas.microsoft.com/office/drawing/2014/main" id="{05178612-ACC4-4367-8C3A-FC9BD75109DD}"/>
            </a:ext>
          </a:extLst>
        </xdr:cNvPr>
        <xdr:cNvSpPr/>
      </xdr:nvSpPr>
      <xdr:spPr>
        <a:xfrm>
          <a:off x="15049500" y="32194500"/>
          <a:ext cx="190500" cy="190500"/>
        </a:xfrm>
        <a:prstGeom prst="ellipse">
          <a:avLst/>
        </a:prstGeom>
        <a:solidFill>
          <a:srgbClr val="6B651D"/>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2</a:t>
          </a:r>
          <a:endParaRPr lang="ja-JP" altLang="en-US" sz="750" dirty="0">
            <a:latin typeface="Meiryo UI"/>
            <a:ea typeface="Meiryo UI"/>
          </a:endParaRPr>
        </a:p>
      </xdr:txBody>
    </xdr:sp>
    <xdr:clientData/>
  </xdr:twoCellAnchor>
  <xdr:twoCellAnchor editAs="oneCell">
    <xdr:from>
      <xdr:col>15</xdr:col>
      <xdr:colOff>0</xdr:colOff>
      <xdr:row>169</xdr:row>
      <xdr:rowOff>0</xdr:rowOff>
    </xdr:from>
    <xdr:to>
      <xdr:col>16</xdr:col>
      <xdr:colOff>0</xdr:colOff>
      <xdr:row>170</xdr:row>
      <xdr:rowOff>0</xdr:rowOff>
    </xdr:to>
    <xdr:sp macro="" textlink="">
      <xdr:nvSpPr>
        <xdr:cNvPr id="661" name="丸番号: 3（共通）">
          <a:extLst>
            <a:ext uri="{FF2B5EF4-FFF2-40B4-BE49-F238E27FC236}">
              <a16:creationId xmlns:a16="http://schemas.microsoft.com/office/drawing/2014/main" id="{CA2092E5-4277-4453-83DB-6A1C9CA2157B}"/>
            </a:ext>
          </a:extLst>
        </xdr:cNvPr>
        <xdr:cNvSpPr/>
      </xdr:nvSpPr>
      <xdr:spPr>
        <a:xfrm>
          <a:off x="2857500" y="32194500"/>
          <a:ext cx="190500" cy="190500"/>
        </a:xfrm>
        <a:prstGeom prst="ellipse">
          <a:avLst/>
        </a:prstGeom>
        <a:solidFill>
          <a:srgbClr val="404040"/>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3</a:t>
          </a:r>
          <a:endParaRPr lang="ja-JP" altLang="en-US" sz="750" dirty="0">
            <a:latin typeface="Meiryo UI"/>
            <a:ea typeface="Meiryo UI"/>
          </a:endParaRPr>
        </a:p>
      </xdr:txBody>
    </xdr:sp>
    <xdr:clientData/>
  </xdr:twoCellAnchor>
  <xdr:twoCellAnchor editAs="oneCell">
    <xdr:from>
      <xdr:col>26</xdr:col>
      <xdr:colOff>0</xdr:colOff>
      <xdr:row>169</xdr:row>
      <xdr:rowOff>0</xdr:rowOff>
    </xdr:from>
    <xdr:to>
      <xdr:col>27</xdr:col>
      <xdr:colOff>0</xdr:colOff>
      <xdr:row>170</xdr:row>
      <xdr:rowOff>0</xdr:rowOff>
    </xdr:to>
    <xdr:sp macro="" textlink="">
      <xdr:nvSpPr>
        <xdr:cNvPr id="662" name="丸番号: 3（ルートA）">
          <a:extLst>
            <a:ext uri="{FF2B5EF4-FFF2-40B4-BE49-F238E27FC236}">
              <a16:creationId xmlns:a16="http://schemas.microsoft.com/office/drawing/2014/main" id="{44E1E3FF-5852-4A2D-8CAA-EEA49EB3273F}"/>
            </a:ext>
          </a:extLst>
        </xdr:cNvPr>
        <xdr:cNvSpPr/>
      </xdr:nvSpPr>
      <xdr:spPr>
        <a:xfrm>
          <a:off x="4953000" y="32194500"/>
          <a:ext cx="190500" cy="190500"/>
        </a:xfrm>
        <a:prstGeom prst="ellipse">
          <a:avLst/>
        </a:prstGeom>
        <a:solidFill>
          <a:srgbClr val="315C92"/>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3</a:t>
          </a:r>
          <a:endParaRPr lang="ja-JP" altLang="en-US" sz="750" dirty="0">
            <a:latin typeface="Meiryo UI"/>
            <a:ea typeface="Meiryo UI"/>
          </a:endParaRPr>
        </a:p>
      </xdr:txBody>
    </xdr:sp>
    <xdr:clientData/>
  </xdr:twoCellAnchor>
  <xdr:twoCellAnchor editAs="oneCell">
    <xdr:from>
      <xdr:col>37</xdr:col>
      <xdr:colOff>0</xdr:colOff>
      <xdr:row>169</xdr:row>
      <xdr:rowOff>0</xdr:rowOff>
    </xdr:from>
    <xdr:to>
      <xdr:col>38</xdr:col>
      <xdr:colOff>0</xdr:colOff>
      <xdr:row>170</xdr:row>
      <xdr:rowOff>0</xdr:rowOff>
    </xdr:to>
    <xdr:sp macro="" textlink="">
      <xdr:nvSpPr>
        <xdr:cNvPr id="663" name="丸番号: 3（ルートB）">
          <a:extLst>
            <a:ext uri="{FF2B5EF4-FFF2-40B4-BE49-F238E27FC236}">
              <a16:creationId xmlns:a16="http://schemas.microsoft.com/office/drawing/2014/main" id="{F3F0016C-505B-40DA-8F86-EC08F1CA5AD0}"/>
            </a:ext>
          </a:extLst>
        </xdr:cNvPr>
        <xdr:cNvSpPr/>
      </xdr:nvSpPr>
      <xdr:spPr>
        <a:xfrm>
          <a:off x="7048500" y="32194500"/>
          <a:ext cx="190500" cy="190500"/>
        </a:xfrm>
        <a:prstGeom prst="ellipse">
          <a:avLst/>
        </a:prstGeom>
        <a:solidFill>
          <a:srgbClr val="24796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3</a:t>
          </a:r>
          <a:endParaRPr lang="ja-JP" altLang="en-US" sz="750" dirty="0">
            <a:latin typeface="Meiryo UI"/>
            <a:ea typeface="Meiryo UI"/>
          </a:endParaRPr>
        </a:p>
      </xdr:txBody>
    </xdr:sp>
    <xdr:clientData/>
  </xdr:twoCellAnchor>
  <xdr:twoCellAnchor editAs="oneCell">
    <xdr:from>
      <xdr:col>48</xdr:col>
      <xdr:colOff>0</xdr:colOff>
      <xdr:row>169</xdr:row>
      <xdr:rowOff>0</xdr:rowOff>
    </xdr:from>
    <xdr:to>
      <xdr:col>49</xdr:col>
      <xdr:colOff>0</xdr:colOff>
      <xdr:row>170</xdr:row>
      <xdr:rowOff>0</xdr:rowOff>
    </xdr:to>
    <xdr:sp macro="" textlink="">
      <xdr:nvSpPr>
        <xdr:cNvPr id="664" name="丸番号: 3（ルートC）">
          <a:extLst>
            <a:ext uri="{FF2B5EF4-FFF2-40B4-BE49-F238E27FC236}">
              <a16:creationId xmlns:a16="http://schemas.microsoft.com/office/drawing/2014/main" id="{5BDEE1E0-95D4-4C12-99EC-30C7A7F2075C}"/>
            </a:ext>
          </a:extLst>
        </xdr:cNvPr>
        <xdr:cNvSpPr/>
      </xdr:nvSpPr>
      <xdr:spPr>
        <a:xfrm>
          <a:off x="9144000" y="32194500"/>
          <a:ext cx="190500" cy="190500"/>
        </a:xfrm>
        <a:prstGeom prst="ellipse">
          <a:avLst/>
        </a:prstGeom>
        <a:solidFill>
          <a:srgbClr val="C46B39"/>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3</a:t>
          </a:r>
          <a:endParaRPr lang="ja-JP" altLang="en-US" sz="750" dirty="0">
            <a:latin typeface="Meiryo UI"/>
            <a:ea typeface="Meiryo UI"/>
          </a:endParaRPr>
        </a:p>
      </xdr:txBody>
    </xdr:sp>
    <xdr:clientData/>
  </xdr:twoCellAnchor>
  <xdr:twoCellAnchor editAs="oneCell">
    <xdr:from>
      <xdr:col>59</xdr:col>
      <xdr:colOff>0</xdr:colOff>
      <xdr:row>169</xdr:row>
      <xdr:rowOff>0</xdr:rowOff>
    </xdr:from>
    <xdr:to>
      <xdr:col>60</xdr:col>
      <xdr:colOff>0</xdr:colOff>
      <xdr:row>170</xdr:row>
      <xdr:rowOff>0</xdr:rowOff>
    </xdr:to>
    <xdr:sp macro="" textlink="">
      <xdr:nvSpPr>
        <xdr:cNvPr id="665" name="丸番号: 3（ルートD）">
          <a:extLst>
            <a:ext uri="{FF2B5EF4-FFF2-40B4-BE49-F238E27FC236}">
              <a16:creationId xmlns:a16="http://schemas.microsoft.com/office/drawing/2014/main" id="{0A35BC15-5FF0-4EE5-BAC3-B03801FD9E8E}"/>
            </a:ext>
          </a:extLst>
        </xdr:cNvPr>
        <xdr:cNvSpPr/>
      </xdr:nvSpPr>
      <xdr:spPr>
        <a:xfrm>
          <a:off x="11239500" y="32194500"/>
          <a:ext cx="190500" cy="190500"/>
        </a:xfrm>
        <a:prstGeom prst="ellipse">
          <a:avLst/>
        </a:prstGeom>
        <a:solidFill>
          <a:srgbClr val="876BA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3</a:t>
          </a:r>
          <a:endParaRPr lang="ja-JP" altLang="en-US" sz="750" dirty="0">
            <a:latin typeface="Meiryo UI"/>
            <a:ea typeface="Meiryo UI"/>
          </a:endParaRPr>
        </a:p>
      </xdr:txBody>
    </xdr:sp>
    <xdr:clientData/>
  </xdr:twoCellAnchor>
  <xdr:twoCellAnchor editAs="oneCell">
    <xdr:from>
      <xdr:col>70</xdr:col>
      <xdr:colOff>0</xdr:colOff>
      <xdr:row>169</xdr:row>
      <xdr:rowOff>0</xdr:rowOff>
    </xdr:from>
    <xdr:to>
      <xdr:col>71</xdr:col>
      <xdr:colOff>0</xdr:colOff>
      <xdr:row>170</xdr:row>
      <xdr:rowOff>0</xdr:rowOff>
    </xdr:to>
    <xdr:sp macro="" textlink="">
      <xdr:nvSpPr>
        <xdr:cNvPr id="666" name="丸番号: 3（ルートE）">
          <a:extLst>
            <a:ext uri="{FF2B5EF4-FFF2-40B4-BE49-F238E27FC236}">
              <a16:creationId xmlns:a16="http://schemas.microsoft.com/office/drawing/2014/main" id="{ADBF8884-1F93-49F0-803A-D0EB7F624B5F}"/>
            </a:ext>
          </a:extLst>
        </xdr:cNvPr>
        <xdr:cNvSpPr/>
      </xdr:nvSpPr>
      <xdr:spPr>
        <a:xfrm>
          <a:off x="13335000" y="32194500"/>
          <a:ext cx="190500" cy="190500"/>
        </a:xfrm>
        <a:prstGeom prst="ellipse">
          <a:avLst/>
        </a:prstGeom>
        <a:solidFill>
          <a:srgbClr val="B04B68"/>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3</a:t>
          </a:r>
          <a:endParaRPr lang="ja-JP" altLang="en-US" sz="750" dirty="0">
            <a:latin typeface="Meiryo UI"/>
            <a:ea typeface="Meiryo UI"/>
          </a:endParaRPr>
        </a:p>
      </xdr:txBody>
    </xdr:sp>
    <xdr:clientData/>
  </xdr:twoCellAnchor>
  <xdr:twoCellAnchor editAs="oneCell">
    <xdr:from>
      <xdr:col>81</xdr:col>
      <xdr:colOff>0</xdr:colOff>
      <xdr:row>169</xdr:row>
      <xdr:rowOff>0</xdr:rowOff>
    </xdr:from>
    <xdr:to>
      <xdr:col>82</xdr:col>
      <xdr:colOff>0</xdr:colOff>
      <xdr:row>170</xdr:row>
      <xdr:rowOff>0</xdr:rowOff>
    </xdr:to>
    <xdr:sp macro="" textlink="">
      <xdr:nvSpPr>
        <xdr:cNvPr id="667" name="丸番号: 3（ルートF）">
          <a:extLst>
            <a:ext uri="{FF2B5EF4-FFF2-40B4-BE49-F238E27FC236}">
              <a16:creationId xmlns:a16="http://schemas.microsoft.com/office/drawing/2014/main" id="{47E6FDAB-A1DD-4CFE-A659-623B79E3FB5C}"/>
            </a:ext>
          </a:extLst>
        </xdr:cNvPr>
        <xdr:cNvSpPr/>
      </xdr:nvSpPr>
      <xdr:spPr>
        <a:xfrm>
          <a:off x="15430500" y="32194500"/>
          <a:ext cx="190500" cy="190500"/>
        </a:xfrm>
        <a:prstGeom prst="ellipse">
          <a:avLst/>
        </a:prstGeom>
        <a:solidFill>
          <a:srgbClr val="6B651D"/>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3</a:t>
          </a:r>
          <a:endParaRPr lang="ja-JP" altLang="en-US" sz="750" dirty="0">
            <a:latin typeface="Meiryo UI"/>
            <a:ea typeface="Meiryo UI"/>
          </a:endParaRPr>
        </a:p>
      </xdr:txBody>
    </xdr:sp>
    <xdr:clientData/>
  </xdr:twoCellAnchor>
  <xdr:twoCellAnchor editAs="oneCell">
    <xdr:from>
      <xdr:col>17</xdr:col>
      <xdr:colOff>0</xdr:colOff>
      <xdr:row>169</xdr:row>
      <xdr:rowOff>0</xdr:rowOff>
    </xdr:from>
    <xdr:to>
      <xdr:col>18</xdr:col>
      <xdr:colOff>0</xdr:colOff>
      <xdr:row>170</xdr:row>
      <xdr:rowOff>0</xdr:rowOff>
    </xdr:to>
    <xdr:sp macro="" textlink="">
      <xdr:nvSpPr>
        <xdr:cNvPr id="668" name="丸番号: 4（共通）">
          <a:extLst>
            <a:ext uri="{FF2B5EF4-FFF2-40B4-BE49-F238E27FC236}">
              <a16:creationId xmlns:a16="http://schemas.microsoft.com/office/drawing/2014/main" id="{DF231702-6E96-4A27-9C46-3ED5AF374A04}"/>
            </a:ext>
          </a:extLst>
        </xdr:cNvPr>
        <xdr:cNvSpPr/>
      </xdr:nvSpPr>
      <xdr:spPr>
        <a:xfrm>
          <a:off x="3238500" y="32194500"/>
          <a:ext cx="190500" cy="190500"/>
        </a:xfrm>
        <a:prstGeom prst="ellipse">
          <a:avLst/>
        </a:prstGeom>
        <a:solidFill>
          <a:srgbClr val="404040"/>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4</a:t>
          </a:r>
          <a:endParaRPr lang="ja-JP" altLang="en-US" sz="750" dirty="0">
            <a:latin typeface="Meiryo UI"/>
            <a:ea typeface="Meiryo UI"/>
          </a:endParaRPr>
        </a:p>
      </xdr:txBody>
    </xdr:sp>
    <xdr:clientData/>
  </xdr:twoCellAnchor>
  <xdr:twoCellAnchor editAs="oneCell">
    <xdr:from>
      <xdr:col>28</xdr:col>
      <xdr:colOff>0</xdr:colOff>
      <xdr:row>169</xdr:row>
      <xdr:rowOff>0</xdr:rowOff>
    </xdr:from>
    <xdr:to>
      <xdr:col>29</xdr:col>
      <xdr:colOff>0</xdr:colOff>
      <xdr:row>170</xdr:row>
      <xdr:rowOff>0</xdr:rowOff>
    </xdr:to>
    <xdr:sp macro="" textlink="">
      <xdr:nvSpPr>
        <xdr:cNvPr id="669" name="丸番号: 4（ルートA）">
          <a:extLst>
            <a:ext uri="{FF2B5EF4-FFF2-40B4-BE49-F238E27FC236}">
              <a16:creationId xmlns:a16="http://schemas.microsoft.com/office/drawing/2014/main" id="{6BE46AC7-58CB-4A19-A89B-98F863A08A6A}"/>
            </a:ext>
          </a:extLst>
        </xdr:cNvPr>
        <xdr:cNvSpPr/>
      </xdr:nvSpPr>
      <xdr:spPr>
        <a:xfrm>
          <a:off x="5334000" y="32194500"/>
          <a:ext cx="190500" cy="190500"/>
        </a:xfrm>
        <a:prstGeom prst="ellipse">
          <a:avLst/>
        </a:prstGeom>
        <a:solidFill>
          <a:srgbClr val="315C92"/>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4</a:t>
          </a:r>
          <a:endParaRPr lang="ja-JP" altLang="en-US" sz="750" dirty="0">
            <a:latin typeface="Meiryo UI"/>
            <a:ea typeface="Meiryo UI"/>
          </a:endParaRPr>
        </a:p>
      </xdr:txBody>
    </xdr:sp>
    <xdr:clientData/>
  </xdr:twoCellAnchor>
  <xdr:twoCellAnchor editAs="oneCell">
    <xdr:from>
      <xdr:col>39</xdr:col>
      <xdr:colOff>0</xdr:colOff>
      <xdr:row>169</xdr:row>
      <xdr:rowOff>0</xdr:rowOff>
    </xdr:from>
    <xdr:to>
      <xdr:col>40</xdr:col>
      <xdr:colOff>0</xdr:colOff>
      <xdr:row>170</xdr:row>
      <xdr:rowOff>0</xdr:rowOff>
    </xdr:to>
    <xdr:sp macro="" textlink="">
      <xdr:nvSpPr>
        <xdr:cNvPr id="670" name="丸番号: 4（ルートB）">
          <a:extLst>
            <a:ext uri="{FF2B5EF4-FFF2-40B4-BE49-F238E27FC236}">
              <a16:creationId xmlns:a16="http://schemas.microsoft.com/office/drawing/2014/main" id="{164C8E6B-3EAF-43E7-A279-C3E936A8118E}"/>
            </a:ext>
          </a:extLst>
        </xdr:cNvPr>
        <xdr:cNvSpPr/>
      </xdr:nvSpPr>
      <xdr:spPr>
        <a:xfrm>
          <a:off x="7429500" y="32194500"/>
          <a:ext cx="190500" cy="190500"/>
        </a:xfrm>
        <a:prstGeom prst="ellipse">
          <a:avLst/>
        </a:prstGeom>
        <a:solidFill>
          <a:srgbClr val="24796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4</a:t>
          </a:r>
          <a:endParaRPr lang="ja-JP" altLang="en-US" sz="750" dirty="0">
            <a:latin typeface="Meiryo UI"/>
            <a:ea typeface="Meiryo UI"/>
          </a:endParaRPr>
        </a:p>
      </xdr:txBody>
    </xdr:sp>
    <xdr:clientData/>
  </xdr:twoCellAnchor>
  <xdr:twoCellAnchor editAs="oneCell">
    <xdr:from>
      <xdr:col>50</xdr:col>
      <xdr:colOff>0</xdr:colOff>
      <xdr:row>169</xdr:row>
      <xdr:rowOff>0</xdr:rowOff>
    </xdr:from>
    <xdr:to>
      <xdr:col>51</xdr:col>
      <xdr:colOff>0</xdr:colOff>
      <xdr:row>170</xdr:row>
      <xdr:rowOff>0</xdr:rowOff>
    </xdr:to>
    <xdr:sp macro="" textlink="">
      <xdr:nvSpPr>
        <xdr:cNvPr id="671" name="丸番号: 4（ルートC）">
          <a:extLst>
            <a:ext uri="{FF2B5EF4-FFF2-40B4-BE49-F238E27FC236}">
              <a16:creationId xmlns:a16="http://schemas.microsoft.com/office/drawing/2014/main" id="{5D09C7B0-9B6D-44C6-B540-874FA6D8CBD4}"/>
            </a:ext>
          </a:extLst>
        </xdr:cNvPr>
        <xdr:cNvSpPr/>
      </xdr:nvSpPr>
      <xdr:spPr>
        <a:xfrm>
          <a:off x="9525000" y="32194500"/>
          <a:ext cx="190500" cy="190500"/>
        </a:xfrm>
        <a:prstGeom prst="ellipse">
          <a:avLst/>
        </a:prstGeom>
        <a:solidFill>
          <a:srgbClr val="C46B39"/>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4</a:t>
          </a:r>
          <a:endParaRPr lang="ja-JP" altLang="en-US" sz="750" dirty="0">
            <a:latin typeface="Meiryo UI"/>
            <a:ea typeface="Meiryo UI"/>
          </a:endParaRPr>
        </a:p>
      </xdr:txBody>
    </xdr:sp>
    <xdr:clientData/>
  </xdr:twoCellAnchor>
  <xdr:twoCellAnchor editAs="oneCell">
    <xdr:from>
      <xdr:col>61</xdr:col>
      <xdr:colOff>0</xdr:colOff>
      <xdr:row>169</xdr:row>
      <xdr:rowOff>0</xdr:rowOff>
    </xdr:from>
    <xdr:to>
      <xdr:col>62</xdr:col>
      <xdr:colOff>0</xdr:colOff>
      <xdr:row>170</xdr:row>
      <xdr:rowOff>0</xdr:rowOff>
    </xdr:to>
    <xdr:sp macro="" textlink="">
      <xdr:nvSpPr>
        <xdr:cNvPr id="672" name="丸番号: 4（ルートD）">
          <a:extLst>
            <a:ext uri="{FF2B5EF4-FFF2-40B4-BE49-F238E27FC236}">
              <a16:creationId xmlns:a16="http://schemas.microsoft.com/office/drawing/2014/main" id="{74F346F4-C0D1-4F42-B53F-9B55FA4BAE4A}"/>
            </a:ext>
          </a:extLst>
        </xdr:cNvPr>
        <xdr:cNvSpPr/>
      </xdr:nvSpPr>
      <xdr:spPr>
        <a:xfrm>
          <a:off x="11620500" y="32194500"/>
          <a:ext cx="190500" cy="190500"/>
        </a:xfrm>
        <a:prstGeom prst="ellipse">
          <a:avLst/>
        </a:prstGeom>
        <a:solidFill>
          <a:srgbClr val="876BA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4</a:t>
          </a:r>
          <a:endParaRPr lang="ja-JP" altLang="en-US" sz="750" dirty="0">
            <a:latin typeface="Meiryo UI"/>
            <a:ea typeface="Meiryo UI"/>
          </a:endParaRPr>
        </a:p>
      </xdr:txBody>
    </xdr:sp>
    <xdr:clientData/>
  </xdr:twoCellAnchor>
  <xdr:twoCellAnchor editAs="oneCell">
    <xdr:from>
      <xdr:col>72</xdr:col>
      <xdr:colOff>0</xdr:colOff>
      <xdr:row>169</xdr:row>
      <xdr:rowOff>0</xdr:rowOff>
    </xdr:from>
    <xdr:to>
      <xdr:col>73</xdr:col>
      <xdr:colOff>0</xdr:colOff>
      <xdr:row>170</xdr:row>
      <xdr:rowOff>0</xdr:rowOff>
    </xdr:to>
    <xdr:sp macro="" textlink="">
      <xdr:nvSpPr>
        <xdr:cNvPr id="673" name="丸番号: 4（ルートE）">
          <a:extLst>
            <a:ext uri="{FF2B5EF4-FFF2-40B4-BE49-F238E27FC236}">
              <a16:creationId xmlns:a16="http://schemas.microsoft.com/office/drawing/2014/main" id="{D453A836-45B0-43D3-861C-0A5F79D0F9C1}"/>
            </a:ext>
          </a:extLst>
        </xdr:cNvPr>
        <xdr:cNvSpPr/>
      </xdr:nvSpPr>
      <xdr:spPr>
        <a:xfrm>
          <a:off x="13716000" y="32194500"/>
          <a:ext cx="190500" cy="190500"/>
        </a:xfrm>
        <a:prstGeom prst="ellipse">
          <a:avLst/>
        </a:prstGeom>
        <a:solidFill>
          <a:srgbClr val="B04B68"/>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4</a:t>
          </a:r>
          <a:endParaRPr lang="ja-JP" altLang="en-US" sz="750" dirty="0">
            <a:latin typeface="Meiryo UI"/>
            <a:ea typeface="Meiryo UI"/>
          </a:endParaRPr>
        </a:p>
      </xdr:txBody>
    </xdr:sp>
    <xdr:clientData/>
  </xdr:twoCellAnchor>
  <xdr:twoCellAnchor editAs="oneCell">
    <xdr:from>
      <xdr:col>83</xdr:col>
      <xdr:colOff>0</xdr:colOff>
      <xdr:row>169</xdr:row>
      <xdr:rowOff>0</xdr:rowOff>
    </xdr:from>
    <xdr:to>
      <xdr:col>84</xdr:col>
      <xdr:colOff>0</xdr:colOff>
      <xdr:row>170</xdr:row>
      <xdr:rowOff>0</xdr:rowOff>
    </xdr:to>
    <xdr:sp macro="" textlink="">
      <xdr:nvSpPr>
        <xdr:cNvPr id="674" name="丸番号: 4（ルートF）">
          <a:extLst>
            <a:ext uri="{FF2B5EF4-FFF2-40B4-BE49-F238E27FC236}">
              <a16:creationId xmlns:a16="http://schemas.microsoft.com/office/drawing/2014/main" id="{9223B16A-A79F-40C8-881F-009BC41A28BA}"/>
            </a:ext>
          </a:extLst>
        </xdr:cNvPr>
        <xdr:cNvSpPr/>
      </xdr:nvSpPr>
      <xdr:spPr>
        <a:xfrm>
          <a:off x="15811500" y="32194500"/>
          <a:ext cx="190500" cy="190500"/>
        </a:xfrm>
        <a:prstGeom prst="ellipse">
          <a:avLst/>
        </a:prstGeom>
        <a:solidFill>
          <a:srgbClr val="6B651D"/>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4</a:t>
          </a:r>
          <a:endParaRPr lang="ja-JP" altLang="en-US" sz="750" dirty="0">
            <a:latin typeface="Meiryo UI"/>
            <a:ea typeface="Meiryo UI"/>
          </a:endParaRPr>
        </a:p>
      </xdr:txBody>
    </xdr:sp>
    <xdr:clientData/>
  </xdr:twoCellAnchor>
  <xdr:twoCellAnchor editAs="oneCell">
    <xdr:from>
      <xdr:col>19</xdr:col>
      <xdr:colOff>0</xdr:colOff>
      <xdr:row>169</xdr:row>
      <xdr:rowOff>0</xdr:rowOff>
    </xdr:from>
    <xdr:to>
      <xdr:col>20</xdr:col>
      <xdr:colOff>0</xdr:colOff>
      <xdr:row>170</xdr:row>
      <xdr:rowOff>0</xdr:rowOff>
    </xdr:to>
    <xdr:sp macro="" textlink="">
      <xdr:nvSpPr>
        <xdr:cNvPr id="675" name="丸番号: 5（共通）">
          <a:extLst>
            <a:ext uri="{FF2B5EF4-FFF2-40B4-BE49-F238E27FC236}">
              <a16:creationId xmlns:a16="http://schemas.microsoft.com/office/drawing/2014/main" id="{77AD1D2A-5080-45EB-8827-858B7D7DFAA1}"/>
            </a:ext>
          </a:extLst>
        </xdr:cNvPr>
        <xdr:cNvSpPr/>
      </xdr:nvSpPr>
      <xdr:spPr>
        <a:xfrm>
          <a:off x="3619500" y="32194500"/>
          <a:ext cx="190500" cy="190500"/>
        </a:xfrm>
        <a:prstGeom prst="ellipse">
          <a:avLst/>
        </a:prstGeom>
        <a:solidFill>
          <a:srgbClr val="404040"/>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5</a:t>
          </a:r>
          <a:endParaRPr lang="ja-JP" altLang="en-US" sz="750" dirty="0">
            <a:latin typeface="Meiryo UI"/>
            <a:ea typeface="Meiryo UI"/>
          </a:endParaRPr>
        </a:p>
      </xdr:txBody>
    </xdr:sp>
    <xdr:clientData/>
  </xdr:twoCellAnchor>
  <xdr:twoCellAnchor editAs="oneCell">
    <xdr:from>
      <xdr:col>30</xdr:col>
      <xdr:colOff>0</xdr:colOff>
      <xdr:row>169</xdr:row>
      <xdr:rowOff>0</xdr:rowOff>
    </xdr:from>
    <xdr:to>
      <xdr:col>31</xdr:col>
      <xdr:colOff>0</xdr:colOff>
      <xdr:row>170</xdr:row>
      <xdr:rowOff>0</xdr:rowOff>
    </xdr:to>
    <xdr:sp macro="" textlink="">
      <xdr:nvSpPr>
        <xdr:cNvPr id="676" name="丸番号: 5（ルートA）">
          <a:extLst>
            <a:ext uri="{FF2B5EF4-FFF2-40B4-BE49-F238E27FC236}">
              <a16:creationId xmlns:a16="http://schemas.microsoft.com/office/drawing/2014/main" id="{EA783FD0-4A84-44D1-AFE3-2039072FDA83}"/>
            </a:ext>
          </a:extLst>
        </xdr:cNvPr>
        <xdr:cNvSpPr/>
      </xdr:nvSpPr>
      <xdr:spPr>
        <a:xfrm>
          <a:off x="5715000" y="32194500"/>
          <a:ext cx="190500" cy="190500"/>
        </a:xfrm>
        <a:prstGeom prst="ellipse">
          <a:avLst/>
        </a:prstGeom>
        <a:solidFill>
          <a:srgbClr val="315C92"/>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5</a:t>
          </a:r>
          <a:endParaRPr lang="ja-JP" altLang="en-US" sz="750" dirty="0">
            <a:latin typeface="Meiryo UI"/>
            <a:ea typeface="Meiryo UI"/>
          </a:endParaRPr>
        </a:p>
      </xdr:txBody>
    </xdr:sp>
    <xdr:clientData/>
  </xdr:twoCellAnchor>
  <xdr:twoCellAnchor editAs="oneCell">
    <xdr:from>
      <xdr:col>41</xdr:col>
      <xdr:colOff>0</xdr:colOff>
      <xdr:row>169</xdr:row>
      <xdr:rowOff>0</xdr:rowOff>
    </xdr:from>
    <xdr:to>
      <xdr:col>42</xdr:col>
      <xdr:colOff>0</xdr:colOff>
      <xdr:row>170</xdr:row>
      <xdr:rowOff>0</xdr:rowOff>
    </xdr:to>
    <xdr:sp macro="" textlink="">
      <xdr:nvSpPr>
        <xdr:cNvPr id="677" name="丸番号: 5（ルートB）">
          <a:extLst>
            <a:ext uri="{FF2B5EF4-FFF2-40B4-BE49-F238E27FC236}">
              <a16:creationId xmlns:a16="http://schemas.microsoft.com/office/drawing/2014/main" id="{023933F9-D836-451E-98B4-BDF840877D5D}"/>
            </a:ext>
          </a:extLst>
        </xdr:cNvPr>
        <xdr:cNvSpPr/>
      </xdr:nvSpPr>
      <xdr:spPr>
        <a:xfrm>
          <a:off x="7810500" y="32194500"/>
          <a:ext cx="190500" cy="190500"/>
        </a:xfrm>
        <a:prstGeom prst="ellipse">
          <a:avLst/>
        </a:prstGeom>
        <a:solidFill>
          <a:srgbClr val="24796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5</a:t>
          </a:r>
          <a:endParaRPr lang="ja-JP" altLang="en-US" sz="750" dirty="0">
            <a:latin typeface="Meiryo UI"/>
            <a:ea typeface="Meiryo UI"/>
          </a:endParaRPr>
        </a:p>
      </xdr:txBody>
    </xdr:sp>
    <xdr:clientData/>
  </xdr:twoCellAnchor>
  <xdr:twoCellAnchor editAs="oneCell">
    <xdr:from>
      <xdr:col>52</xdr:col>
      <xdr:colOff>0</xdr:colOff>
      <xdr:row>169</xdr:row>
      <xdr:rowOff>0</xdr:rowOff>
    </xdr:from>
    <xdr:to>
      <xdr:col>53</xdr:col>
      <xdr:colOff>0</xdr:colOff>
      <xdr:row>170</xdr:row>
      <xdr:rowOff>0</xdr:rowOff>
    </xdr:to>
    <xdr:sp macro="" textlink="">
      <xdr:nvSpPr>
        <xdr:cNvPr id="678" name="丸番号: 5（ルートC）">
          <a:extLst>
            <a:ext uri="{FF2B5EF4-FFF2-40B4-BE49-F238E27FC236}">
              <a16:creationId xmlns:a16="http://schemas.microsoft.com/office/drawing/2014/main" id="{9BE11656-2899-460D-A33F-4C69F086863B}"/>
            </a:ext>
          </a:extLst>
        </xdr:cNvPr>
        <xdr:cNvSpPr/>
      </xdr:nvSpPr>
      <xdr:spPr>
        <a:xfrm>
          <a:off x="9906000" y="32194500"/>
          <a:ext cx="190500" cy="190500"/>
        </a:xfrm>
        <a:prstGeom prst="ellipse">
          <a:avLst/>
        </a:prstGeom>
        <a:solidFill>
          <a:srgbClr val="C46B39"/>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5</a:t>
          </a:r>
          <a:endParaRPr lang="ja-JP" altLang="en-US" sz="750" dirty="0">
            <a:latin typeface="Meiryo UI"/>
            <a:ea typeface="Meiryo UI"/>
          </a:endParaRPr>
        </a:p>
      </xdr:txBody>
    </xdr:sp>
    <xdr:clientData/>
  </xdr:twoCellAnchor>
  <xdr:twoCellAnchor editAs="oneCell">
    <xdr:from>
      <xdr:col>63</xdr:col>
      <xdr:colOff>0</xdr:colOff>
      <xdr:row>169</xdr:row>
      <xdr:rowOff>0</xdr:rowOff>
    </xdr:from>
    <xdr:to>
      <xdr:col>64</xdr:col>
      <xdr:colOff>0</xdr:colOff>
      <xdr:row>170</xdr:row>
      <xdr:rowOff>0</xdr:rowOff>
    </xdr:to>
    <xdr:sp macro="" textlink="">
      <xdr:nvSpPr>
        <xdr:cNvPr id="679" name="丸番号: 5（ルートD）">
          <a:extLst>
            <a:ext uri="{FF2B5EF4-FFF2-40B4-BE49-F238E27FC236}">
              <a16:creationId xmlns:a16="http://schemas.microsoft.com/office/drawing/2014/main" id="{6EEDC3CC-886B-4605-B060-0E75C041AA50}"/>
            </a:ext>
          </a:extLst>
        </xdr:cNvPr>
        <xdr:cNvSpPr/>
      </xdr:nvSpPr>
      <xdr:spPr>
        <a:xfrm>
          <a:off x="12001500" y="32194500"/>
          <a:ext cx="190500" cy="190500"/>
        </a:xfrm>
        <a:prstGeom prst="ellipse">
          <a:avLst/>
        </a:prstGeom>
        <a:solidFill>
          <a:srgbClr val="876BA6"/>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5</a:t>
          </a:r>
          <a:endParaRPr lang="ja-JP" altLang="en-US" sz="750" dirty="0">
            <a:latin typeface="Meiryo UI"/>
            <a:ea typeface="Meiryo UI"/>
          </a:endParaRPr>
        </a:p>
      </xdr:txBody>
    </xdr:sp>
    <xdr:clientData/>
  </xdr:twoCellAnchor>
  <xdr:twoCellAnchor editAs="oneCell">
    <xdr:from>
      <xdr:col>74</xdr:col>
      <xdr:colOff>0</xdr:colOff>
      <xdr:row>169</xdr:row>
      <xdr:rowOff>0</xdr:rowOff>
    </xdr:from>
    <xdr:to>
      <xdr:col>75</xdr:col>
      <xdr:colOff>0</xdr:colOff>
      <xdr:row>170</xdr:row>
      <xdr:rowOff>0</xdr:rowOff>
    </xdr:to>
    <xdr:sp macro="" textlink="">
      <xdr:nvSpPr>
        <xdr:cNvPr id="680" name="丸番号: 5（ルートE）">
          <a:extLst>
            <a:ext uri="{FF2B5EF4-FFF2-40B4-BE49-F238E27FC236}">
              <a16:creationId xmlns:a16="http://schemas.microsoft.com/office/drawing/2014/main" id="{C7D22767-0331-4241-9AA7-652A11E0A9C0}"/>
            </a:ext>
          </a:extLst>
        </xdr:cNvPr>
        <xdr:cNvSpPr/>
      </xdr:nvSpPr>
      <xdr:spPr>
        <a:xfrm>
          <a:off x="14097000" y="32194500"/>
          <a:ext cx="190500" cy="190500"/>
        </a:xfrm>
        <a:prstGeom prst="ellipse">
          <a:avLst/>
        </a:prstGeom>
        <a:solidFill>
          <a:srgbClr val="B04B68"/>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5</a:t>
          </a:r>
          <a:endParaRPr lang="ja-JP" altLang="en-US" sz="750" dirty="0">
            <a:latin typeface="Meiryo UI"/>
            <a:ea typeface="Meiryo UI"/>
          </a:endParaRPr>
        </a:p>
      </xdr:txBody>
    </xdr:sp>
    <xdr:clientData/>
  </xdr:twoCellAnchor>
  <xdr:twoCellAnchor editAs="oneCell">
    <xdr:from>
      <xdr:col>85</xdr:col>
      <xdr:colOff>0</xdr:colOff>
      <xdr:row>169</xdr:row>
      <xdr:rowOff>0</xdr:rowOff>
    </xdr:from>
    <xdr:to>
      <xdr:col>86</xdr:col>
      <xdr:colOff>0</xdr:colOff>
      <xdr:row>170</xdr:row>
      <xdr:rowOff>0</xdr:rowOff>
    </xdr:to>
    <xdr:sp macro="" textlink="">
      <xdr:nvSpPr>
        <xdr:cNvPr id="681" name="丸番号: 5（ルートF）">
          <a:extLst>
            <a:ext uri="{FF2B5EF4-FFF2-40B4-BE49-F238E27FC236}">
              <a16:creationId xmlns:a16="http://schemas.microsoft.com/office/drawing/2014/main" id="{5671E21A-C0E0-462C-9743-4FD6CA383016}"/>
            </a:ext>
          </a:extLst>
        </xdr:cNvPr>
        <xdr:cNvSpPr/>
      </xdr:nvSpPr>
      <xdr:spPr>
        <a:xfrm>
          <a:off x="16192500" y="32194500"/>
          <a:ext cx="190500" cy="190500"/>
        </a:xfrm>
        <a:prstGeom prst="ellipse">
          <a:avLst/>
        </a:prstGeom>
        <a:solidFill>
          <a:srgbClr val="6B651D"/>
        </a:solidFill>
        <a:ln>
          <a:noFill/>
        </a:ln>
      </xdr:spPr>
      <xdr:txBody>
        <a:bodyPr vertOverflow="overflow" horzOverflow="overflow" wrap="none" lIns="0" tIns="0" rIns="0" bIns="0" rtlCol="0" anchor="ctr">
          <a:noAutofit/>
        </a:bodyPr>
        <a:lstStyle/>
        <a:p>
          <a:pPr algn="ctr"/>
          <a:r>
            <a:rPr lang="ja-JP" altLang="en-US" sz="750" b="1" dirty="0">
              <a:solidFill>
                <a:srgbClr val="FFFFFF"/>
              </a:solidFill>
              <a:latin typeface="Meiryo UI"/>
              <a:ea typeface="Meiryo UI"/>
              <a:cs typeface="Meiryo UI"/>
            </a:rPr>
            <a:t>5</a:t>
          </a:r>
          <a:endParaRPr lang="ja-JP" altLang="en-US" sz="750" dirty="0">
            <a:latin typeface="Meiryo UI"/>
            <a:ea typeface="Meiryo UI"/>
          </a:endParaRPr>
        </a:p>
      </xdr:txBody>
    </xdr:sp>
    <xdr:clientData/>
  </xdr:twoCellAnchor>
  <xdr:twoCellAnchor editAs="oneCell">
    <xdr:from>
      <xdr:col>11</xdr:col>
      <xdr:colOff>0</xdr:colOff>
      <xdr:row>172</xdr:row>
      <xdr:rowOff>0</xdr:rowOff>
    </xdr:from>
    <xdr:to>
      <xdr:col>19</xdr:col>
      <xdr:colOff>0</xdr:colOff>
      <xdr:row>173</xdr:row>
      <xdr:rowOff>0</xdr:rowOff>
    </xdr:to>
    <xdr:sp macro="" textlink="">
      <xdr:nvSpPr>
        <xdr:cNvPr id="682" name="線ラベル（共通）">
          <a:extLst>
            <a:ext uri="{FF2B5EF4-FFF2-40B4-BE49-F238E27FC236}">
              <a16:creationId xmlns:a16="http://schemas.microsoft.com/office/drawing/2014/main" id="{85A93BD2-A504-465A-8BCF-0014EA3454C3}"/>
            </a:ext>
          </a:extLst>
        </xdr:cNvPr>
        <xdr:cNvSpPr/>
      </xdr:nvSpPr>
      <xdr:spPr>
        <a:xfrm>
          <a:off x="2095500" y="32766000"/>
          <a:ext cx="1524000" cy="190500"/>
        </a:xfrm>
        <a:prstGeom prst="roundRect">
          <a:avLst>
            <a:gd name="adj" fmla="val 50000"/>
          </a:avLst>
        </a:prstGeom>
        <a:solidFill>
          <a:srgbClr val="FFFFFF"/>
        </a:solidFill>
        <a:ln w="9525" cap="flat">
          <a:solidFill>
            <a:srgbClr val="404040"/>
          </a:solidFill>
          <a:round/>
        </a:ln>
      </xdr:spPr>
      <xdr:txBody>
        <a:bodyPr vertOverflow="overflow" horzOverflow="overflow" wrap="none" lIns="25400" tIns="0" rIns="25400" bIns="0" rtlCol="0" anchor="ctr">
          <a:noAutofit/>
        </a:bodyPr>
        <a:lstStyle/>
        <a:p>
          <a:pPr algn="ctr"/>
          <a:r>
            <a:rPr lang="ja-JP" altLang="en-US" sz="750" b="0" dirty="0">
              <a:solidFill>
                <a:srgbClr val="404040"/>
              </a:solidFill>
              <a:latin typeface="Meiryo UI"/>
              <a:ea typeface="Meiryo UI"/>
              <a:cs typeface="Meiryo UI"/>
            </a:rPr>
            <a:t>HTTPS（REST API）</a:t>
          </a:r>
          <a:endParaRPr lang="ja-JP" altLang="en-US" sz="750" dirty="0">
            <a:latin typeface="Meiryo UI"/>
            <a:ea typeface="Meiryo UI"/>
          </a:endParaRPr>
        </a:p>
      </xdr:txBody>
    </xdr:sp>
    <xdr:clientData/>
  </xdr:twoCellAnchor>
  <xdr:twoCellAnchor editAs="oneCell">
    <xdr:from>
      <xdr:col>22</xdr:col>
      <xdr:colOff>0</xdr:colOff>
      <xdr:row>172</xdr:row>
      <xdr:rowOff>0</xdr:rowOff>
    </xdr:from>
    <xdr:to>
      <xdr:col>30</xdr:col>
      <xdr:colOff>0</xdr:colOff>
      <xdr:row>173</xdr:row>
      <xdr:rowOff>0</xdr:rowOff>
    </xdr:to>
    <xdr:sp macro="" textlink="">
      <xdr:nvSpPr>
        <xdr:cNvPr id="683" name="線ラベル（ルートA）">
          <a:extLst>
            <a:ext uri="{FF2B5EF4-FFF2-40B4-BE49-F238E27FC236}">
              <a16:creationId xmlns:a16="http://schemas.microsoft.com/office/drawing/2014/main" id="{98397312-9042-41EF-B78A-D751B779BF61}"/>
            </a:ext>
          </a:extLst>
        </xdr:cNvPr>
        <xdr:cNvSpPr/>
      </xdr:nvSpPr>
      <xdr:spPr>
        <a:xfrm>
          <a:off x="4191000" y="32766000"/>
          <a:ext cx="1524000" cy="190500"/>
        </a:xfrm>
        <a:prstGeom prst="roundRect">
          <a:avLst>
            <a:gd name="adj" fmla="val 50000"/>
          </a:avLst>
        </a:prstGeom>
        <a:solidFill>
          <a:srgbClr val="FFFFFF"/>
        </a:solidFill>
        <a:ln w="9525" cap="flat">
          <a:solidFill>
            <a:srgbClr val="315C92"/>
          </a:solidFill>
          <a:round/>
        </a:ln>
      </xdr:spPr>
      <xdr:txBody>
        <a:bodyPr vertOverflow="overflow" horzOverflow="overflow" wrap="none" lIns="25400" tIns="0" rIns="25400" bIns="0" rtlCol="0" anchor="ctr">
          <a:noAutofit/>
        </a:bodyPr>
        <a:lstStyle/>
        <a:p>
          <a:pPr algn="ctr"/>
          <a:r>
            <a:rPr lang="ja-JP" altLang="en-US" sz="750" b="0" dirty="0">
              <a:solidFill>
                <a:srgbClr val="113866"/>
              </a:solidFill>
              <a:latin typeface="Meiryo UI"/>
              <a:ea typeface="Meiryo UI"/>
              <a:cs typeface="Meiryo UI"/>
            </a:rPr>
            <a:t>HTTPS（REST API）</a:t>
          </a:r>
          <a:endParaRPr lang="ja-JP" altLang="en-US" sz="750" dirty="0">
            <a:latin typeface="Meiryo UI"/>
            <a:ea typeface="Meiryo UI"/>
          </a:endParaRPr>
        </a:p>
      </xdr:txBody>
    </xdr:sp>
    <xdr:clientData/>
  </xdr:twoCellAnchor>
  <xdr:twoCellAnchor editAs="oneCell">
    <xdr:from>
      <xdr:col>33</xdr:col>
      <xdr:colOff>0</xdr:colOff>
      <xdr:row>172</xdr:row>
      <xdr:rowOff>0</xdr:rowOff>
    </xdr:from>
    <xdr:to>
      <xdr:col>41</xdr:col>
      <xdr:colOff>0</xdr:colOff>
      <xdr:row>173</xdr:row>
      <xdr:rowOff>0</xdr:rowOff>
    </xdr:to>
    <xdr:sp macro="" textlink="">
      <xdr:nvSpPr>
        <xdr:cNvPr id="684" name="線ラベル（ルートB）">
          <a:extLst>
            <a:ext uri="{FF2B5EF4-FFF2-40B4-BE49-F238E27FC236}">
              <a16:creationId xmlns:a16="http://schemas.microsoft.com/office/drawing/2014/main" id="{196A41E2-7751-4606-B271-8E030EF525C4}"/>
            </a:ext>
          </a:extLst>
        </xdr:cNvPr>
        <xdr:cNvSpPr/>
      </xdr:nvSpPr>
      <xdr:spPr>
        <a:xfrm>
          <a:off x="6286500" y="32766000"/>
          <a:ext cx="1524000" cy="190500"/>
        </a:xfrm>
        <a:prstGeom prst="roundRect">
          <a:avLst>
            <a:gd name="adj" fmla="val 50000"/>
          </a:avLst>
        </a:prstGeom>
        <a:solidFill>
          <a:srgbClr val="FFFFFF"/>
        </a:solidFill>
        <a:ln w="9525" cap="flat">
          <a:solidFill>
            <a:srgbClr val="247966"/>
          </a:solidFill>
          <a:round/>
        </a:ln>
      </xdr:spPr>
      <xdr:txBody>
        <a:bodyPr vertOverflow="overflow" horzOverflow="overflow" wrap="none" lIns="25400" tIns="0" rIns="25400" bIns="0" rtlCol="0" anchor="ctr">
          <a:noAutofit/>
        </a:bodyPr>
        <a:lstStyle/>
        <a:p>
          <a:pPr algn="ctr"/>
          <a:r>
            <a:rPr lang="ja-JP" altLang="en-US" sz="750" b="0" dirty="0">
              <a:solidFill>
                <a:srgbClr val="005243"/>
              </a:solidFill>
              <a:latin typeface="Meiryo UI"/>
              <a:ea typeface="Meiryo UI"/>
              <a:cs typeface="Meiryo UI"/>
            </a:rPr>
            <a:t>HTTPS（REST API）</a:t>
          </a:r>
          <a:endParaRPr lang="ja-JP" altLang="en-US" sz="750" dirty="0">
            <a:latin typeface="Meiryo UI"/>
            <a:ea typeface="Meiryo UI"/>
          </a:endParaRPr>
        </a:p>
      </xdr:txBody>
    </xdr:sp>
    <xdr:clientData/>
  </xdr:twoCellAnchor>
  <xdr:twoCellAnchor editAs="oneCell">
    <xdr:from>
      <xdr:col>44</xdr:col>
      <xdr:colOff>0</xdr:colOff>
      <xdr:row>172</xdr:row>
      <xdr:rowOff>0</xdr:rowOff>
    </xdr:from>
    <xdr:to>
      <xdr:col>52</xdr:col>
      <xdr:colOff>0</xdr:colOff>
      <xdr:row>173</xdr:row>
      <xdr:rowOff>0</xdr:rowOff>
    </xdr:to>
    <xdr:sp macro="" textlink="">
      <xdr:nvSpPr>
        <xdr:cNvPr id="685" name="線ラベル（ルートC）">
          <a:extLst>
            <a:ext uri="{FF2B5EF4-FFF2-40B4-BE49-F238E27FC236}">
              <a16:creationId xmlns:a16="http://schemas.microsoft.com/office/drawing/2014/main" id="{FB4448BB-74A1-4BA9-9BC5-0CB0F838C777}"/>
            </a:ext>
          </a:extLst>
        </xdr:cNvPr>
        <xdr:cNvSpPr/>
      </xdr:nvSpPr>
      <xdr:spPr>
        <a:xfrm>
          <a:off x="8382000" y="32766000"/>
          <a:ext cx="1524000" cy="190500"/>
        </a:xfrm>
        <a:prstGeom prst="roundRect">
          <a:avLst>
            <a:gd name="adj" fmla="val 50000"/>
          </a:avLst>
        </a:prstGeom>
        <a:solidFill>
          <a:srgbClr val="FFFFFF"/>
        </a:solidFill>
        <a:ln w="9525" cap="flat">
          <a:solidFill>
            <a:srgbClr val="C46B39"/>
          </a:solidFill>
          <a:round/>
        </a:ln>
      </xdr:spPr>
      <xdr:txBody>
        <a:bodyPr vertOverflow="overflow" horzOverflow="overflow" wrap="none" lIns="25400" tIns="0" rIns="25400" bIns="0" rtlCol="0" anchor="ctr">
          <a:noAutofit/>
        </a:bodyPr>
        <a:lstStyle/>
        <a:p>
          <a:pPr algn="ctr"/>
          <a:r>
            <a:rPr lang="ja-JP" altLang="en-US" sz="750" b="0" dirty="0">
              <a:solidFill>
                <a:srgbClr val="954717"/>
              </a:solidFill>
              <a:latin typeface="Meiryo UI"/>
              <a:ea typeface="Meiryo UI"/>
              <a:cs typeface="Meiryo UI"/>
            </a:rPr>
            <a:t>HTTPS（REST API）</a:t>
          </a:r>
          <a:endParaRPr lang="ja-JP" altLang="en-US" sz="750" dirty="0">
            <a:latin typeface="Meiryo UI"/>
            <a:ea typeface="Meiryo UI"/>
          </a:endParaRPr>
        </a:p>
      </xdr:txBody>
    </xdr:sp>
    <xdr:clientData/>
  </xdr:twoCellAnchor>
  <xdr:twoCellAnchor editAs="oneCell">
    <xdr:from>
      <xdr:col>55</xdr:col>
      <xdr:colOff>0</xdr:colOff>
      <xdr:row>172</xdr:row>
      <xdr:rowOff>0</xdr:rowOff>
    </xdr:from>
    <xdr:to>
      <xdr:col>63</xdr:col>
      <xdr:colOff>0</xdr:colOff>
      <xdr:row>173</xdr:row>
      <xdr:rowOff>0</xdr:rowOff>
    </xdr:to>
    <xdr:sp macro="" textlink="">
      <xdr:nvSpPr>
        <xdr:cNvPr id="686" name="線ラベル（ルートD）">
          <a:extLst>
            <a:ext uri="{FF2B5EF4-FFF2-40B4-BE49-F238E27FC236}">
              <a16:creationId xmlns:a16="http://schemas.microsoft.com/office/drawing/2014/main" id="{50437EA2-DC72-4A70-9D09-5D576074EF25}"/>
            </a:ext>
          </a:extLst>
        </xdr:cNvPr>
        <xdr:cNvSpPr/>
      </xdr:nvSpPr>
      <xdr:spPr>
        <a:xfrm>
          <a:off x="10477500" y="32766000"/>
          <a:ext cx="1524000" cy="190500"/>
        </a:xfrm>
        <a:prstGeom prst="roundRect">
          <a:avLst>
            <a:gd name="adj" fmla="val 50000"/>
          </a:avLst>
        </a:prstGeom>
        <a:solidFill>
          <a:srgbClr val="FFFFFF"/>
        </a:solidFill>
        <a:ln w="9525" cap="flat">
          <a:solidFill>
            <a:srgbClr val="876BA6"/>
          </a:solidFill>
          <a:round/>
        </a:ln>
      </xdr:spPr>
      <xdr:txBody>
        <a:bodyPr vertOverflow="overflow" horzOverflow="overflow" wrap="none" lIns="25400" tIns="0" rIns="25400" bIns="0" rtlCol="0" anchor="ctr">
          <a:noAutofit/>
        </a:bodyPr>
        <a:lstStyle/>
        <a:p>
          <a:pPr algn="ctr"/>
          <a:r>
            <a:rPr lang="ja-JP" altLang="en-US" sz="750" b="0" dirty="0">
              <a:solidFill>
                <a:srgbClr val="5D4578"/>
              </a:solidFill>
              <a:latin typeface="Meiryo UI"/>
              <a:ea typeface="Meiryo UI"/>
              <a:cs typeface="Meiryo UI"/>
            </a:rPr>
            <a:t>HTTPS（REST API）</a:t>
          </a:r>
          <a:endParaRPr lang="ja-JP" altLang="en-US" sz="750" dirty="0">
            <a:latin typeface="Meiryo UI"/>
            <a:ea typeface="Meiryo UI"/>
          </a:endParaRPr>
        </a:p>
      </xdr:txBody>
    </xdr:sp>
    <xdr:clientData/>
  </xdr:twoCellAnchor>
  <xdr:twoCellAnchor editAs="oneCell">
    <xdr:from>
      <xdr:col>66</xdr:col>
      <xdr:colOff>0</xdr:colOff>
      <xdr:row>172</xdr:row>
      <xdr:rowOff>0</xdr:rowOff>
    </xdr:from>
    <xdr:to>
      <xdr:col>74</xdr:col>
      <xdr:colOff>0</xdr:colOff>
      <xdr:row>173</xdr:row>
      <xdr:rowOff>0</xdr:rowOff>
    </xdr:to>
    <xdr:sp macro="" textlink="">
      <xdr:nvSpPr>
        <xdr:cNvPr id="687" name="線ラベル（ルートE）">
          <a:extLst>
            <a:ext uri="{FF2B5EF4-FFF2-40B4-BE49-F238E27FC236}">
              <a16:creationId xmlns:a16="http://schemas.microsoft.com/office/drawing/2014/main" id="{46ABD36F-607A-4869-81C9-9807792FE1DC}"/>
            </a:ext>
          </a:extLst>
        </xdr:cNvPr>
        <xdr:cNvSpPr/>
      </xdr:nvSpPr>
      <xdr:spPr>
        <a:xfrm>
          <a:off x="12573000" y="32766000"/>
          <a:ext cx="1524000" cy="190500"/>
        </a:xfrm>
        <a:prstGeom prst="roundRect">
          <a:avLst>
            <a:gd name="adj" fmla="val 50000"/>
          </a:avLst>
        </a:prstGeom>
        <a:solidFill>
          <a:srgbClr val="FFFFFF"/>
        </a:solidFill>
        <a:ln w="9525" cap="flat">
          <a:solidFill>
            <a:srgbClr val="B04B68"/>
          </a:solidFill>
          <a:round/>
        </a:ln>
      </xdr:spPr>
      <xdr:txBody>
        <a:bodyPr vertOverflow="overflow" horzOverflow="overflow" wrap="none" lIns="25400" tIns="0" rIns="25400" bIns="0" rtlCol="0" anchor="ctr">
          <a:noAutofit/>
        </a:bodyPr>
        <a:lstStyle/>
        <a:p>
          <a:pPr algn="ctr"/>
          <a:r>
            <a:rPr lang="ja-JP" altLang="en-US" sz="750" b="0" dirty="0">
              <a:solidFill>
                <a:srgbClr val="7E2643"/>
              </a:solidFill>
              <a:latin typeface="Meiryo UI"/>
              <a:ea typeface="Meiryo UI"/>
              <a:cs typeface="Meiryo UI"/>
            </a:rPr>
            <a:t>HTTPS（REST API）</a:t>
          </a:r>
          <a:endParaRPr lang="ja-JP" altLang="en-US" sz="750" dirty="0">
            <a:latin typeface="Meiryo UI"/>
            <a:ea typeface="Meiryo UI"/>
          </a:endParaRPr>
        </a:p>
      </xdr:txBody>
    </xdr:sp>
    <xdr:clientData/>
  </xdr:twoCellAnchor>
  <xdr:twoCellAnchor editAs="oneCell">
    <xdr:from>
      <xdr:col>77</xdr:col>
      <xdr:colOff>0</xdr:colOff>
      <xdr:row>172</xdr:row>
      <xdr:rowOff>0</xdr:rowOff>
    </xdr:from>
    <xdr:to>
      <xdr:col>85</xdr:col>
      <xdr:colOff>0</xdr:colOff>
      <xdr:row>173</xdr:row>
      <xdr:rowOff>0</xdr:rowOff>
    </xdr:to>
    <xdr:sp macro="" textlink="">
      <xdr:nvSpPr>
        <xdr:cNvPr id="688" name="線ラベル（ルートF）">
          <a:extLst>
            <a:ext uri="{FF2B5EF4-FFF2-40B4-BE49-F238E27FC236}">
              <a16:creationId xmlns:a16="http://schemas.microsoft.com/office/drawing/2014/main" id="{97A1F2B3-64EA-4176-AA25-E0C5BC312B24}"/>
            </a:ext>
          </a:extLst>
        </xdr:cNvPr>
        <xdr:cNvSpPr/>
      </xdr:nvSpPr>
      <xdr:spPr>
        <a:xfrm>
          <a:off x="14668500" y="32766000"/>
          <a:ext cx="1524000" cy="190500"/>
        </a:xfrm>
        <a:prstGeom prst="roundRect">
          <a:avLst>
            <a:gd name="adj" fmla="val 50000"/>
          </a:avLst>
        </a:prstGeom>
        <a:solidFill>
          <a:srgbClr val="FFFFFF"/>
        </a:solidFill>
        <a:ln w="9525" cap="flat">
          <a:solidFill>
            <a:srgbClr val="6B651D"/>
          </a:solidFill>
          <a:round/>
        </a:ln>
      </xdr:spPr>
      <xdr:txBody>
        <a:bodyPr vertOverflow="overflow" horzOverflow="overflow" wrap="none" lIns="25400" tIns="0" rIns="25400" bIns="0" rtlCol="0" anchor="ctr">
          <a:noAutofit/>
        </a:bodyPr>
        <a:lstStyle/>
        <a:p>
          <a:pPr algn="ctr"/>
          <a:r>
            <a:rPr lang="ja-JP" altLang="en-US" sz="750" b="0" dirty="0">
              <a:solidFill>
                <a:srgbClr val="433F00"/>
              </a:solidFill>
              <a:latin typeface="Meiryo UI"/>
              <a:ea typeface="Meiryo UI"/>
              <a:cs typeface="Meiryo UI"/>
            </a:rPr>
            <a:t>HTTPS（REST API）</a:t>
          </a:r>
          <a:endParaRPr lang="ja-JP" altLang="en-US" sz="750" dirty="0">
            <a:latin typeface="Meiryo UI"/>
            <a:ea typeface="Meiryo UI"/>
          </a:endParaRPr>
        </a:p>
      </xdr:txBody>
    </xdr:sp>
    <xdr:clientData/>
  </xdr:twoCellAnchor>
  <xdr:twoCellAnchor editAs="oneCell">
    <xdr:from>
      <xdr:col>11</xdr:col>
      <xdr:colOff>0</xdr:colOff>
      <xdr:row>174</xdr:row>
      <xdr:rowOff>0</xdr:rowOff>
    </xdr:from>
    <xdr:to>
      <xdr:col>16</xdr:col>
      <xdr:colOff>0</xdr:colOff>
      <xdr:row>175</xdr:row>
      <xdr:rowOff>0</xdr:rowOff>
    </xdr:to>
    <xdr:sp macro="" textlink="">
      <xdr:nvSpPr>
        <xdr:cNvPr id="689" name="線ラベル（共通）">
          <a:extLst>
            <a:ext uri="{FF2B5EF4-FFF2-40B4-BE49-F238E27FC236}">
              <a16:creationId xmlns:a16="http://schemas.microsoft.com/office/drawing/2014/main" id="{5C53742F-B918-4BC0-9C30-04BF3FAA20F5}"/>
            </a:ext>
          </a:extLst>
        </xdr:cNvPr>
        <xdr:cNvSpPr/>
      </xdr:nvSpPr>
      <xdr:spPr>
        <a:xfrm>
          <a:off x="2095500" y="33147000"/>
          <a:ext cx="952500" cy="190500"/>
        </a:xfrm>
        <a:prstGeom prst="roundRect">
          <a:avLst>
            <a:gd name="adj" fmla="val 50000"/>
          </a:avLst>
        </a:prstGeom>
        <a:solidFill>
          <a:srgbClr val="FFFFFF"/>
        </a:solidFill>
        <a:ln w="9525" cap="flat">
          <a:solidFill>
            <a:srgbClr val="404040"/>
          </a:solidFill>
          <a:round/>
        </a:ln>
      </xdr:spPr>
      <xdr:txBody>
        <a:bodyPr vertOverflow="overflow" horzOverflow="overflow" wrap="none" lIns="25400" tIns="0" rIns="25400" bIns="0" rtlCol="0" anchor="ctr">
          <a:noAutofit/>
        </a:bodyPr>
        <a:lstStyle/>
        <a:p>
          <a:pPr algn="ctr"/>
          <a:r>
            <a:rPr lang="ja-JP" altLang="en-US" sz="750" b="0" dirty="0">
              <a:solidFill>
                <a:srgbClr val="404040"/>
              </a:solidFill>
              <a:latin typeface="Meiryo UI"/>
              <a:ea typeface="Meiryo UI"/>
              <a:cs typeface="Meiryo UI"/>
            </a:rPr>
            <a:t>SFTP（日次）</a:t>
          </a:r>
          <a:endParaRPr lang="ja-JP" altLang="en-US" sz="750" dirty="0">
            <a:latin typeface="Meiryo UI"/>
            <a:ea typeface="Meiryo UI"/>
          </a:endParaRPr>
        </a:p>
      </xdr:txBody>
    </xdr:sp>
    <xdr:clientData/>
  </xdr:twoCellAnchor>
  <xdr:twoCellAnchor editAs="oneCell">
    <xdr:from>
      <xdr:col>22</xdr:col>
      <xdr:colOff>0</xdr:colOff>
      <xdr:row>174</xdr:row>
      <xdr:rowOff>0</xdr:rowOff>
    </xdr:from>
    <xdr:to>
      <xdr:col>27</xdr:col>
      <xdr:colOff>0</xdr:colOff>
      <xdr:row>175</xdr:row>
      <xdr:rowOff>0</xdr:rowOff>
    </xdr:to>
    <xdr:sp macro="" textlink="">
      <xdr:nvSpPr>
        <xdr:cNvPr id="690" name="線ラベル（ルートA）">
          <a:extLst>
            <a:ext uri="{FF2B5EF4-FFF2-40B4-BE49-F238E27FC236}">
              <a16:creationId xmlns:a16="http://schemas.microsoft.com/office/drawing/2014/main" id="{8DBF3E5B-2B43-4BF2-9E35-245BD72FF78C}"/>
            </a:ext>
          </a:extLst>
        </xdr:cNvPr>
        <xdr:cNvSpPr/>
      </xdr:nvSpPr>
      <xdr:spPr>
        <a:xfrm>
          <a:off x="4191000" y="33147000"/>
          <a:ext cx="952500" cy="190500"/>
        </a:xfrm>
        <a:prstGeom prst="roundRect">
          <a:avLst>
            <a:gd name="adj" fmla="val 50000"/>
          </a:avLst>
        </a:prstGeom>
        <a:solidFill>
          <a:srgbClr val="FFFFFF"/>
        </a:solidFill>
        <a:ln w="9525" cap="flat">
          <a:solidFill>
            <a:srgbClr val="315C92"/>
          </a:solidFill>
          <a:round/>
        </a:ln>
      </xdr:spPr>
      <xdr:txBody>
        <a:bodyPr vertOverflow="overflow" horzOverflow="overflow" wrap="none" lIns="25400" tIns="0" rIns="25400" bIns="0" rtlCol="0" anchor="ctr">
          <a:noAutofit/>
        </a:bodyPr>
        <a:lstStyle/>
        <a:p>
          <a:pPr algn="ctr"/>
          <a:r>
            <a:rPr lang="ja-JP" altLang="en-US" sz="750" b="0" dirty="0">
              <a:solidFill>
                <a:srgbClr val="113866"/>
              </a:solidFill>
              <a:latin typeface="Meiryo UI"/>
              <a:ea typeface="Meiryo UI"/>
              <a:cs typeface="Meiryo UI"/>
            </a:rPr>
            <a:t>SFTP（日次）</a:t>
          </a:r>
          <a:endParaRPr lang="ja-JP" altLang="en-US" sz="750" dirty="0">
            <a:latin typeface="Meiryo UI"/>
            <a:ea typeface="Meiryo UI"/>
          </a:endParaRPr>
        </a:p>
      </xdr:txBody>
    </xdr:sp>
    <xdr:clientData/>
  </xdr:twoCellAnchor>
  <xdr:twoCellAnchor editAs="oneCell">
    <xdr:from>
      <xdr:col>33</xdr:col>
      <xdr:colOff>0</xdr:colOff>
      <xdr:row>174</xdr:row>
      <xdr:rowOff>0</xdr:rowOff>
    </xdr:from>
    <xdr:to>
      <xdr:col>38</xdr:col>
      <xdr:colOff>0</xdr:colOff>
      <xdr:row>175</xdr:row>
      <xdr:rowOff>0</xdr:rowOff>
    </xdr:to>
    <xdr:sp macro="" textlink="">
      <xdr:nvSpPr>
        <xdr:cNvPr id="691" name="線ラベル（ルートB）">
          <a:extLst>
            <a:ext uri="{FF2B5EF4-FFF2-40B4-BE49-F238E27FC236}">
              <a16:creationId xmlns:a16="http://schemas.microsoft.com/office/drawing/2014/main" id="{41199690-AA46-4D43-A60B-9BDCB5DF13E0}"/>
            </a:ext>
          </a:extLst>
        </xdr:cNvPr>
        <xdr:cNvSpPr/>
      </xdr:nvSpPr>
      <xdr:spPr>
        <a:xfrm>
          <a:off x="6286500" y="33147000"/>
          <a:ext cx="952500" cy="190500"/>
        </a:xfrm>
        <a:prstGeom prst="roundRect">
          <a:avLst>
            <a:gd name="adj" fmla="val 50000"/>
          </a:avLst>
        </a:prstGeom>
        <a:solidFill>
          <a:srgbClr val="FFFFFF"/>
        </a:solidFill>
        <a:ln w="9525" cap="flat">
          <a:solidFill>
            <a:srgbClr val="247966"/>
          </a:solidFill>
          <a:round/>
        </a:ln>
      </xdr:spPr>
      <xdr:txBody>
        <a:bodyPr vertOverflow="overflow" horzOverflow="overflow" wrap="none" lIns="25400" tIns="0" rIns="25400" bIns="0" rtlCol="0" anchor="ctr">
          <a:noAutofit/>
        </a:bodyPr>
        <a:lstStyle/>
        <a:p>
          <a:pPr algn="ctr"/>
          <a:r>
            <a:rPr lang="ja-JP" altLang="en-US" sz="750" b="0" dirty="0">
              <a:solidFill>
                <a:srgbClr val="005243"/>
              </a:solidFill>
              <a:latin typeface="Meiryo UI"/>
              <a:ea typeface="Meiryo UI"/>
              <a:cs typeface="Meiryo UI"/>
            </a:rPr>
            <a:t>SFTP（日次）</a:t>
          </a:r>
          <a:endParaRPr lang="ja-JP" altLang="en-US" sz="750" dirty="0">
            <a:latin typeface="Meiryo UI"/>
            <a:ea typeface="Meiryo UI"/>
          </a:endParaRPr>
        </a:p>
      </xdr:txBody>
    </xdr:sp>
    <xdr:clientData/>
  </xdr:twoCellAnchor>
  <xdr:twoCellAnchor editAs="oneCell">
    <xdr:from>
      <xdr:col>44</xdr:col>
      <xdr:colOff>0</xdr:colOff>
      <xdr:row>174</xdr:row>
      <xdr:rowOff>0</xdr:rowOff>
    </xdr:from>
    <xdr:to>
      <xdr:col>49</xdr:col>
      <xdr:colOff>0</xdr:colOff>
      <xdr:row>175</xdr:row>
      <xdr:rowOff>0</xdr:rowOff>
    </xdr:to>
    <xdr:sp macro="" textlink="">
      <xdr:nvSpPr>
        <xdr:cNvPr id="692" name="線ラベル（ルートC）">
          <a:extLst>
            <a:ext uri="{FF2B5EF4-FFF2-40B4-BE49-F238E27FC236}">
              <a16:creationId xmlns:a16="http://schemas.microsoft.com/office/drawing/2014/main" id="{959FCD66-5935-4704-9C21-3D7EE9A1AF1C}"/>
            </a:ext>
          </a:extLst>
        </xdr:cNvPr>
        <xdr:cNvSpPr/>
      </xdr:nvSpPr>
      <xdr:spPr>
        <a:xfrm>
          <a:off x="8382000" y="33147000"/>
          <a:ext cx="952500" cy="190500"/>
        </a:xfrm>
        <a:prstGeom prst="roundRect">
          <a:avLst>
            <a:gd name="adj" fmla="val 50000"/>
          </a:avLst>
        </a:prstGeom>
        <a:solidFill>
          <a:srgbClr val="FFFFFF"/>
        </a:solidFill>
        <a:ln w="9525" cap="flat">
          <a:solidFill>
            <a:srgbClr val="C46B39"/>
          </a:solidFill>
          <a:round/>
        </a:ln>
      </xdr:spPr>
      <xdr:txBody>
        <a:bodyPr vertOverflow="overflow" horzOverflow="overflow" wrap="none" lIns="25400" tIns="0" rIns="25400" bIns="0" rtlCol="0" anchor="ctr">
          <a:noAutofit/>
        </a:bodyPr>
        <a:lstStyle/>
        <a:p>
          <a:pPr algn="ctr"/>
          <a:r>
            <a:rPr lang="ja-JP" altLang="en-US" sz="750" b="0" dirty="0">
              <a:solidFill>
                <a:srgbClr val="954717"/>
              </a:solidFill>
              <a:latin typeface="Meiryo UI"/>
              <a:ea typeface="Meiryo UI"/>
              <a:cs typeface="Meiryo UI"/>
            </a:rPr>
            <a:t>SFTP（日次）</a:t>
          </a:r>
          <a:endParaRPr lang="ja-JP" altLang="en-US" sz="750" dirty="0">
            <a:latin typeface="Meiryo UI"/>
            <a:ea typeface="Meiryo UI"/>
          </a:endParaRPr>
        </a:p>
      </xdr:txBody>
    </xdr:sp>
    <xdr:clientData/>
  </xdr:twoCellAnchor>
  <xdr:twoCellAnchor editAs="oneCell">
    <xdr:from>
      <xdr:col>55</xdr:col>
      <xdr:colOff>0</xdr:colOff>
      <xdr:row>174</xdr:row>
      <xdr:rowOff>0</xdr:rowOff>
    </xdr:from>
    <xdr:to>
      <xdr:col>60</xdr:col>
      <xdr:colOff>0</xdr:colOff>
      <xdr:row>175</xdr:row>
      <xdr:rowOff>0</xdr:rowOff>
    </xdr:to>
    <xdr:sp macro="" textlink="">
      <xdr:nvSpPr>
        <xdr:cNvPr id="693" name="線ラベル（ルートD）">
          <a:extLst>
            <a:ext uri="{FF2B5EF4-FFF2-40B4-BE49-F238E27FC236}">
              <a16:creationId xmlns:a16="http://schemas.microsoft.com/office/drawing/2014/main" id="{6848B3C5-6544-4007-BB30-D3DB567505C4}"/>
            </a:ext>
          </a:extLst>
        </xdr:cNvPr>
        <xdr:cNvSpPr/>
      </xdr:nvSpPr>
      <xdr:spPr>
        <a:xfrm>
          <a:off x="10477500" y="33147000"/>
          <a:ext cx="952500" cy="190500"/>
        </a:xfrm>
        <a:prstGeom prst="roundRect">
          <a:avLst>
            <a:gd name="adj" fmla="val 50000"/>
          </a:avLst>
        </a:prstGeom>
        <a:solidFill>
          <a:srgbClr val="FFFFFF"/>
        </a:solidFill>
        <a:ln w="9525" cap="flat">
          <a:solidFill>
            <a:srgbClr val="876BA6"/>
          </a:solidFill>
          <a:round/>
        </a:ln>
      </xdr:spPr>
      <xdr:txBody>
        <a:bodyPr vertOverflow="overflow" horzOverflow="overflow" wrap="none" lIns="25400" tIns="0" rIns="25400" bIns="0" rtlCol="0" anchor="ctr">
          <a:noAutofit/>
        </a:bodyPr>
        <a:lstStyle/>
        <a:p>
          <a:pPr algn="ctr"/>
          <a:r>
            <a:rPr lang="ja-JP" altLang="en-US" sz="750" b="0" dirty="0">
              <a:solidFill>
                <a:srgbClr val="5D4578"/>
              </a:solidFill>
              <a:latin typeface="Meiryo UI"/>
              <a:ea typeface="Meiryo UI"/>
              <a:cs typeface="Meiryo UI"/>
            </a:rPr>
            <a:t>SFTP（日次）</a:t>
          </a:r>
          <a:endParaRPr lang="ja-JP" altLang="en-US" sz="750" dirty="0">
            <a:latin typeface="Meiryo UI"/>
            <a:ea typeface="Meiryo UI"/>
          </a:endParaRPr>
        </a:p>
      </xdr:txBody>
    </xdr:sp>
    <xdr:clientData/>
  </xdr:twoCellAnchor>
  <xdr:twoCellAnchor editAs="oneCell">
    <xdr:from>
      <xdr:col>66</xdr:col>
      <xdr:colOff>0</xdr:colOff>
      <xdr:row>174</xdr:row>
      <xdr:rowOff>0</xdr:rowOff>
    </xdr:from>
    <xdr:to>
      <xdr:col>71</xdr:col>
      <xdr:colOff>0</xdr:colOff>
      <xdr:row>175</xdr:row>
      <xdr:rowOff>0</xdr:rowOff>
    </xdr:to>
    <xdr:sp macro="" textlink="">
      <xdr:nvSpPr>
        <xdr:cNvPr id="694" name="線ラベル（ルートE）">
          <a:extLst>
            <a:ext uri="{FF2B5EF4-FFF2-40B4-BE49-F238E27FC236}">
              <a16:creationId xmlns:a16="http://schemas.microsoft.com/office/drawing/2014/main" id="{C385E758-D660-459E-882B-03016A946384}"/>
            </a:ext>
          </a:extLst>
        </xdr:cNvPr>
        <xdr:cNvSpPr/>
      </xdr:nvSpPr>
      <xdr:spPr>
        <a:xfrm>
          <a:off x="12573000" y="33147000"/>
          <a:ext cx="952500" cy="190500"/>
        </a:xfrm>
        <a:prstGeom prst="roundRect">
          <a:avLst>
            <a:gd name="adj" fmla="val 50000"/>
          </a:avLst>
        </a:prstGeom>
        <a:solidFill>
          <a:srgbClr val="FFFFFF"/>
        </a:solidFill>
        <a:ln w="9525" cap="flat">
          <a:solidFill>
            <a:srgbClr val="B04B68"/>
          </a:solidFill>
          <a:round/>
        </a:ln>
      </xdr:spPr>
      <xdr:txBody>
        <a:bodyPr vertOverflow="overflow" horzOverflow="overflow" wrap="none" lIns="25400" tIns="0" rIns="25400" bIns="0" rtlCol="0" anchor="ctr">
          <a:noAutofit/>
        </a:bodyPr>
        <a:lstStyle/>
        <a:p>
          <a:pPr algn="ctr"/>
          <a:r>
            <a:rPr lang="ja-JP" altLang="en-US" sz="750" b="0" dirty="0">
              <a:solidFill>
                <a:srgbClr val="7E2643"/>
              </a:solidFill>
              <a:latin typeface="Meiryo UI"/>
              <a:ea typeface="Meiryo UI"/>
              <a:cs typeface="Meiryo UI"/>
            </a:rPr>
            <a:t>SFTP（日次）</a:t>
          </a:r>
          <a:endParaRPr lang="ja-JP" altLang="en-US" sz="750" dirty="0">
            <a:latin typeface="Meiryo UI"/>
            <a:ea typeface="Meiryo UI"/>
          </a:endParaRPr>
        </a:p>
      </xdr:txBody>
    </xdr:sp>
    <xdr:clientData/>
  </xdr:twoCellAnchor>
  <xdr:twoCellAnchor editAs="oneCell">
    <xdr:from>
      <xdr:col>77</xdr:col>
      <xdr:colOff>0</xdr:colOff>
      <xdr:row>174</xdr:row>
      <xdr:rowOff>0</xdr:rowOff>
    </xdr:from>
    <xdr:to>
      <xdr:col>82</xdr:col>
      <xdr:colOff>0</xdr:colOff>
      <xdr:row>175</xdr:row>
      <xdr:rowOff>0</xdr:rowOff>
    </xdr:to>
    <xdr:sp macro="" textlink="">
      <xdr:nvSpPr>
        <xdr:cNvPr id="695" name="線ラベル（ルートF）">
          <a:extLst>
            <a:ext uri="{FF2B5EF4-FFF2-40B4-BE49-F238E27FC236}">
              <a16:creationId xmlns:a16="http://schemas.microsoft.com/office/drawing/2014/main" id="{40D94A7E-9A05-49E4-8131-9F566073404F}"/>
            </a:ext>
          </a:extLst>
        </xdr:cNvPr>
        <xdr:cNvSpPr/>
      </xdr:nvSpPr>
      <xdr:spPr>
        <a:xfrm>
          <a:off x="14668500" y="33147000"/>
          <a:ext cx="952500" cy="190500"/>
        </a:xfrm>
        <a:prstGeom prst="roundRect">
          <a:avLst>
            <a:gd name="adj" fmla="val 50000"/>
          </a:avLst>
        </a:prstGeom>
        <a:solidFill>
          <a:srgbClr val="FFFFFF"/>
        </a:solidFill>
        <a:ln w="9525" cap="flat">
          <a:solidFill>
            <a:srgbClr val="6B651D"/>
          </a:solidFill>
          <a:round/>
        </a:ln>
      </xdr:spPr>
      <xdr:txBody>
        <a:bodyPr vertOverflow="overflow" horzOverflow="overflow" wrap="none" lIns="25400" tIns="0" rIns="25400" bIns="0" rtlCol="0" anchor="ctr">
          <a:noAutofit/>
        </a:bodyPr>
        <a:lstStyle/>
        <a:p>
          <a:pPr algn="ctr"/>
          <a:r>
            <a:rPr lang="ja-JP" altLang="en-US" sz="750" b="0" dirty="0">
              <a:solidFill>
                <a:srgbClr val="433F00"/>
              </a:solidFill>
              <a:latin typeface="Meiryo UI"/>
              <a:ea typeface="Meiryo UI"/>
              <a:cs typeface="Meiryo UI"/>
            </a:rPr>
            <a:t>SFTP（日次）</a:t>
          </a:r>
          <a:endParaRPr lang="ja-JP" altLang="en-US" sz="750" dirty="0">
            <a:latin typeface="Meiryo UI"/>
            <a:ea typeface="Meiryo UI"/>
          </a:endParaRPr>
        </a:p>
      </xdr:txBody>
    </xdr:sp>
    <xdr:clientData/>
  </xdr:twoCellAnchor>
  <xdr:twoCellAnchor editAs="oneCell">
    <xdr:from>
      <xdr:col>11</xdr:col>
      <xdr:colOff>0</xdr:colOff>
      <xdr:row>177</xdr:row>
      <xdr:rowOff>0</xdr:rowOff>
    </xdr:from>
    <xdr:to>
      <xdr:col>13</xdr:col>
      <xdr:colOff>0</xdr:colOff>
      <xdr:row>178</xdr:row>
      <xdr:rowOff>0</xdr:rowOff>
    </xdr:to>
    <xdr:sp macro="" textlink="">
      <xdr:nvSpPr>
        <xdr:cNvPr id="696" name="タグ: 新規">
          <a:extLst>
            <a:ext uri="{FF2B5EF4-FFF2-40B4-BE49-F238E27FC236}">
              <a16:creationId xmlns:a16="http://schemas.microsoft.com/office/drawing/2014/main" id="{A056D06E-F766-4C3A-B9AA-706EAB7DEC23}"/>
            </a:ext>
          </a:extLst>
        </xdr:cNvPr>
        <xdr:cNvSpPr/>
      </xdr:nvSpPr>
      <xdr:spPr>
        <a:xfrm>
          <a:off x="2095500" y="33718500"/>
          <a:ext cx="381000" cy="190500"/>
        </a:xfrm>
        <a:prstGeom prst="rect">
          <a:avLst/>
        </a:prstGeom>
        <a:solidFill>
          <a:srgbClr val="C00000"/>
        </a:solidFill>
        <a:ln w="9525" cap="flat">
          <a:solidFill>
            <a:srgbClr val="C00000"/>
          </a:solidFill>
          <a:round/>
        </a:ln>
      </xdr:spPr>
      <xdr:txBody>
        <a:bodyPr vertOverflow="overflow" horzOverflow="overflow" wrap="none" lIns="0" tIns="0" rIns="0" bIns="0" rtlCol="0" anchor="ctr">
          <a:noAutofit/>
        </a:bodyPr>
        <a:lstStyle/>
        <a:p>
          <a:pPr algn="ctr"/>
          <a:r>
            <a:rPr lang="ja-JP" altLang="en-US" sz="700" b="1" dirty="0">
              <a:solidFill>
                <a:srgbClr val="FFFFFF"/>
              </a:solidFill>
              <a:latin typeface="Meiryo UI"/>
              <a:ea typeface="Meiryo UI"/>
              <a:cs typeface="Meiryo UI"/>
            </a:rPr>
            <a:t>新規</a:t>
          </a:r>
          <a:endParaRPr lang="ja-JP" altLang="en-US" sz="700" dirty="0">
            <a:latin typeface="Meiryo UI"/>
            <a:ea typeface="Meiryo UI"/>
          </a:endParaRPr>
        </a:p>
      </xdr:txBody>
    </xdr:sp>
    <xdr:clientData/>
  </xdr:twoCellAnchor>
  <xdr:twoCellAnchor editAs="oneCell">
    <xdr:from>
      <xdr:col>14</xdr:col>
      <xdr:colOff>0</xdr:colOff>
      <xdr:row>177</xdr:row>
      <xdr:rowOff>0</xdr:rowOff>
    </xdr:from>
    <xdr:to>
      <xdr:col>16</xdr:col>
      <xdr:colOff>0</xdr:colOff>
      <xdr:row>178</xdr:row>
      <xdr:rowOff>0</xdr:rowOff>
    </xdr:to>
    <xdr:sp macro="" textlink="">
      <xdr:nvSpPr>
        <xdr:cNvPr id="697" name="タグ: 変更">
          <a:extLst>
            <a:ext uri="{FF2B5EF4-FFF2-40B4-BE49-F238E27FC236}">
              <a16:creationId xmlns:a16="http://schemas.microsoft.com/office/drawing/2014/main" id="{60CD8F1A-0895-476B-AD43-22E43094FC1D}"/>
            </a:ext>
          </a:extLst>
        </xdr:cNvPr>
        <xdr:cNvSpPr/>
      </xdr:nvSpPr>
      <xdr:spPr>
        <a:xfrm>
          <a:off x="2667000" y="33718500"/>
          <a:ext cx="381000" cy="190500"/>
        </a:xfrm>
        <a:prstGeom prst="rect">
          <a:avLst/>
        </a:prstGeom>
        <a:solidFill>
          <a:srgbClr val="FFFFFF"/>
        </a:solidFill>
        <a:ln w="9525" cap="flat">
          <a:solidFill>
            <a:srgbClr val="C00000"/>
          </a:solidFill>
          <a:round/>
        </a:ln>
      </xdr:spPr>
      <xdr:txBody>
        <a:bodyPr vertOverflow="overflow" horzOverflow="overflow" wrap="none" lIns="0" tIns="0" rIns="0" bIns="0" rtlCol="0" anchor="ctr">
          <a:noAutofit/>
        </a:bodyPr>
        <a:lstStyle/>
        <a:p>
          <a:pPr algn="ctr"/>
          <a:r>
            <a:rPr lang="ja-JP" altLang="en-US" sz="700" b="1" dirty="0">
              <a:solidFill>
                <a:srgbClr val="C00000"/>
              </a:solidFill>
              <a:latin typeface="Meiryo UI"/>
              <a:ea typeface="Meiryo UI"/>
              <a:cs typeface="Meiryo UI"/>
            </a:rPr>
            <a:t>変更</a:t>
          </a:r>
          <a:endParaRPr lang="ja-JP" altLang="en-US" sz="700" dirty="0">
            <a:latin typeface="Meiryo UI"/>
            <a:ea typeface="Meiryo UI"/>
          </a:endParaRPr>
        </a:p>
      </xdr:txBody>
    </xdr:sp>
    <xdr:clientData/>
  </xdr:twoCellAnchor>
  <xdr:twoCellAnchor editAs="oneCell">
    <xdr:from>
      <xdr:col>17</xdr:col>
      <xdr:colOff>0</xdr:colOff>
      <xdr:row>177</xdr:row>
      <xdr:rowOff>0</xdr:rowOff>
    </xdr:from>
    <xdr:to>
      <xdr:col>19</xdr:col>
      <xdr:colOff>0</xdr:colOff>
      <xdr:row>178</xdr:row>
      <xdr:rowOff>0</xdr:rowOff>
    </xdr:to>
    <xdr:sp macro="" textlink="">
      <xdr:nvSpPr>
        <xdr:cNvPr id="698" name="タグ: 既存">
          <a:extLst>
            <a:ext uri="{FF2B5EF4-FFF2-40B4-BE49-F238E27FC236}">
              <a16:creationId xmlns:a16="http://schemas.microsoft.com/office/drawing/2014/main" id="{64E883A6-A0DD-4B73-A012-91C0DA0B8A71}"/>
            </a:ext>
          </a:extLst>
        </xdr:cNvPr>
        <xdr:cNvSpPr/>
      </xdr:nvSpPr>
      <xdr:spPr>
        <a:xfrm>
          <a:off x="3238500" y="33718500"/>
          <a:ext cx="381000" cy="190500"/>
        </a:xfrm>
        <a:prstGeom prst="rect">
          <a:avLst/>
        </a:prstGeom>
        <a:solidFill>
          <a:srgbClr val="E6E6E6"/>
        </a:solidFill>
        <a:ln w="9525" cap="flat">
          <a:solidFill>
            <a:srgbClr val="E6E6E6"/>
          </a:solidFill>
          <a:round/>
        </a:ln>
      </xdr:spPr>
      <xdr:txBody>
        <a:bodyPr vertOverflow="overflow" horzOverflow="overflow" wrap="none" lIns="0" tIns="0" rIns="0" bIns="0" rtlCol="0" anchor="ctr">
          <a:noAutofit/>
        </a:bodyPr>
        <a:lstStyle/>
        <a:p>
          <a:pPr algn="ctr"/>
          <a:r>
            <a:rPr lang="ja-JP" altLang="en-US" sz="700" b="1" dirty="0">
              <a:solidFill>
                <a:srgbClr val="595959"/>
              </a:solidFill>
              <a:latin typeface="Meiryo UI"/>
              <a:ea typeface="Meiryo UI"/>
              <a:cs typeface="Meiryo UI"/>
            </a:rPr>
            <a:t>既存</a:t>
          </a:r>
          <a:endParaRPr lang="ja-JP" altLang="en-US" sz="700" dirty="0">
            <a:latin typeface="Meiryo UI"/>
            <a:ea typeface="Meiryo UI"/>
          </a:endParaRPr>
        </a:p>
      </xdr:txBody>
    </xdr:sp>
    <xdr:clientData/>
  </xdr:twoCellAnchor>
  <xdr:twoCellAnchor editAs="oneCell">
    <xdr:from>
      <xdr:col>20</xdr:col>
      <xdr:colOff>0</xdr:colOff>
      <xdr:row>177</xdr:row>
      <xdr:rowOff>0</xdr:rowOff>
    </xdr:from>
    <xdr:to>
      <xdr:col>22</xdr:col>
      <xdr:colOff>0</xdr:colOff>
      <xdr:row>178</xdr:row>
      <xdr:rowOff>0</xdr:rowOff>
    </xdr:to>
    <xdr:sp macro="" textlink="">
      <xdr:nvSpPr>
        <xdr:cNvPr id="699" name="タグ: 将来">
          <a:extLst>
            <a:ext uri="{FF2B5EF4-FFF2-40B4-BE49-F238E27FC236}">
              <a16:creationId xmlns:a16="http://schemas.microsoft.com/office/drawing/2014/main" id="{5A25BD8B-CCE3-4A33-9B22-DF6346826435}"/>
            </a:ext>
          </a:extLst>
        </xdr:cNvPr>
        <xdr:cNvSpPr/>
      </xdr:nvSpPr>
      <xdr:spPr>
        <a:xfrm>
          <a:off x="3810000" y="33718500"/>
          <a:ext cx="381000" cy="190500"/>
        </a:xfrm>
        <a:prstGeom prst="rect">
          <a:avLst/>
        </a:prstGeom>
        <a:solidFill>
          <a:srgbClr val="FFFFFF"/>
        </a:solidFill>
        <a:ln w="9525" cap="flat">
          <a:solidFill>
            <a:srgbClr val="7F7F7F"/>
          </a:solidFill>
          <a:prstDash val="dash"/>
          <a:round/>
        </a:ln>
      </xdr:spPr>
      <xdr:txBody>
        <a:bodyPr vertOverflow="overflow" horzOverflow="overflow" wrap="none" lIns="0" tIns="0" rIns="0" bIns="0" rtlCol="0" anchor="ctr">
          <a:noAutofit/>
        </a:bodyPr>
        <a:lstStyle/>
        <a:p>
          <a:pPr algn="ctr"/>
          <a:r>
            <a:rPr lang="ja-JP" altLang="en-US" sz="700" b="1" dirty="0">
              <a:solidFill>
                <a:srgbClr val="595959"/>
              </a:solidFill>
              <a:latin typeface="Meiryo UI"/>
              <a:ea typeface="Meiryo UI"/>
              <a:cs typeface="Meiryo UI"/>
            </a:rPr>
            <a:t>将来</a:t>
          </a:r>
          <a:endParaRPr lang="ja-JP" altLang="en-US" sz="700" dirty="0">
            <a:latin typeface="Meiryo UI"/>
            <a:ea typeface="Meiryo UI"/>
          </a:endParaRPr>
        </a:p>
      </xdr:txBody>
    </xdr:sp>
    <xdr:clientData/>
  </xdr:twoCellAnchor>
  <xdr:twoCellAnchor editAs="oneCell">
    <xdr:from>
      <xdr:col>23</xdr:col>
      <xdr:colOff>0</xdr:colOff>
      <xdr:row>177</xdr:row>
      <xdr:rowOff>0</xdr:rowOff>
    </xdr:from>
    <xdr:to>
      <xdr:col>63</xdr:col>
      <xdr:colOff>0</xdr:colOff>
      <xdr:row>178</xdr:row>
      <xdr:rowOff>0</xdr:rowOff>
    </xdr:to>
    <xdr:sp macro="" textlink="">
      <xdr:nvSpPr>
        <xdr:cNvPr id="700" name="テキスト">
          <a:extLst>
            <a:ext uri="{FF2B5EF4-FFF2-40B4-BE49-F238E27FC236}">
              <a16:creationId xmlns:a16="http://schemas.microsoft.com/office/drawing/2014/main" id="{C41F39D3-8637-446C-92B4-CF6459242A73}"/>
            </a:ext>
          </a:extLst>
        </xdr:cNvPr>
        <xdr:cNvSpPr/>
      </xdr:nvSpPr>
      <xdr:spPr>
        <a:xfrm>
          <a:off x="4381500" y="33718500"/>
          <a:ext cx="7620000"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595959"/>
              </a:solidFill>
              <a:latin typeface="Meiryo UI"/>
              <a:ea typeface="Meiryo UI"/>
              <a:cs typeface="Meiryo UI"/>
            </a:rPr>
            <a:t>← 状態タグ（新規・変更は赤。差分レビュー時のみ使用）</a:t>
          </a:r>
          <a:endParaRPr lang="ja-JP" altLang="en-US" sz="750" dirty="0">
            <a:latin typeface="Meiryo UI"/>
            <a:ea typeface="Meiryo UI"/>
          </a:endParaRPr>
        </a:p>
      </xdr:txBody>
    </xdr:sp>
    <xdr:clientData/>
  </xdr:twoCellAnchor>
  <xdr:twoCellAnchor editAs="oneCell">
    <xdr:from>
      <xdr:col>11</xdr:col>
      <xdr:colOff>0</xdr:colOff>
      <xdr:row>186</xdr:row>
      <xdr:rowOff>0</xdr:rowOff>
    </xdr:from>
    <xdr:to>
      <xdr:col>19</xdr:col>
      <xdr:colOff>0</xdr:colOff>
      <xdr:row>194</xdr:row>
      <xdr:rowOff>0</xdr:rowOff>
    </xdr:to>
    <xdr:sp macro="" textlink="">
      <xdr:nvSpPr>
        <xdr:cNvPr id="701" name="ゾーン: 共通基盤・運用">
          <a:extLst>
            <a:ext uri="{FF2B5EF4-FFF2-40B4-BE49-F238E27FC236}">
              <a16:creationId xmlns:a16="http://schemas.microsoft.com/office/drawing/2014/main" id="{233010E5-37AD-433A-99C8-AE872E68E199}"/>
            </a:ext>
          </a:extLst>
        </xdr:cNvPr>
        <xdr:cNvSpPr/>
      </xdr:nvSpPr>
      <xdr:spPr>
        <a:xfrm>
          <a:off x="2095500" y="35433000"/>
          <a:ext cx="1524000" cy="1524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7F7F7"/>
        </a:solidFill>
        <a:ln w="9525" cap="flat">
          <a:solidFill>
            <a:srgbClr val="D9D9D9"/>
          </a:solidFill>
          <a:round/>
        </a:ln>
      </xdr:spPr>
      <xdr:txBody>
        <a:bodyPr vertOverflow="overflow" horzOverflow="overflow" wrap="square" lIns="76200" tIns="50800" rIns="76200" bIns="50800" rtlCol="0" anchor="t">
          <a:noAutofit/>
        </a:bodyPr>
        <a:lstStyle/>
        <a:p>
          <a:pPr algn="l"/>
          <a:r>
            <a:rPr lang="ja-JP" altLang="en-US" sz="950" b="1" dirty="0">
              <a:solidFill>
                <a:srgbClr val="262626"/>
              </a:solidFill>
              <a:latin typeface="Meiryo UI"/>
              <a:ea typeface="Meiryo UI"/>
              <a:cs typeface="Meiryo UI"/>
            </a:rPr>
            <a:t>共通基盤・運用</a:t>
          </a:r>
          <a:endParaRPr lang="ja-JP" altLang="en-US" sz="950" dirty="0">
            <a:latin typeface="Meiryo UI"/>
            <a:ea typeface="Meiryo UI"/>
          </a:endParaRPr>
        </a:p>
        <a:p>
          <a:pPr algn="l"/>
          <a:r>
            <a:rPr lang="ja-JP" altLang="en-US" sz="750" b="0" dirty="0">
              <a:solidFill>
                <a:srgbClr val="595959"/>
              </a:solidFill>
              <a:latin typeface="Meiryo UI"/>
              <a:ea typeface="Meiryo UI"/>
              <a:cs typeface="Meiryo UI"/>
            </a:rPr>
            <a:t>接続元のまとまり</a:t>
          </a:r>
          <a:endParaRPr lang="ja-JP" altLang="en-US" sz="750" dirty="0">
            <a:latin typeface="Meiryo UI"/>
            <a:ea typeface="Meiryo UI"/>
          </a:endParaRPr>
        </a:p>
      </xdr:txBody>
    </xdr:sp>
    <xdr:clientData/>
  </xdr:twoCellAnchor>
  <xdr:twoCellAnchor editAs="oneCell">
    <xdr:from>
      <xdr:col>22</xdr:col>
      <xdr:colOff>0</xdr:colOff>
      <xdr:row>186</xdr:row>
      <xdr:rowOff>0</xdr:rowOff>
    </xdr:from>
    <xdr:to>
      <xdr:col>30</xdr:col>
      <xdr:colOff>0</xdr:colOff>
      <xdr:row>194</xdr:row>
      <xdr:rowOff>0</xdr:rowOff>
    </xdr:to>
    <xdr:sp macro="" textlink="">
      <xdr:nvSpPr>
        <xdr:cNvPr id="702" name="ゾーン: ルートA｜Salesforce">
          <a:extLst>
            <a:ext uri="{FF2B5EF4-FFF2-40B4-BE49-F238E27FC236}">
              <a16:creationId xmlns:a16="http://schemas.microsoft.com/office/drawing/2014/main" id="{4CF1D1CC-8542-4EC4-9B91-3CAAA8655FA1}"/>
            </a:ext>
          </a:extLst>
        </xdr:cNvPr>
        <xdr:cNvSpPr/>
      </xdr:nvSpPr>
      <xdr:spPr>
        <a:xfrm>
          <a:off x="4191000" y="35433000"/>
          <a:ext cx="1524000" cy="1524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3F8FF"/>
        </a:solidFill>
        <a:ln w="9525" cap="flat">
          <a:solidFill>
            <a:srgbClr val="BCD3F2"/>
          </a:solidFill>
          <a:round/>
        </a:ln>
      </xdr:spPr>
      <xdr:txBody>
        <a:bodyPr vertOverflow="overflow" horzOverflow="overflow" wrap="square" lIns="76200" tIns="50800" rIns="76200" bIns="50800" rtlCol="0" anchor="t">
          <a:noAutofit/>
        </a:bodyPr>
        <a:lstStyle/>
        <a:p>
          <a:pPr algn="l"/>
          <a:r>
            <a:rPr lang="ja-JP" altLang="en-US" sz="950" b="1" dirty="0">
              <a:solidFill>
                <a:srgbClr val="113866"/>
              </a:solidFill>
              <a:latin typeface="Meiryo UI"/>
              <a:ea typeface="Meiryo UI"/>
              <a:cs typeface="Meiryo UI"/>
            </a:rPr>
            <a:t>ルートA｜Salesforce</a:t>
          </a:r>
          <a:endParaRPr lang="ja-JP" altLang="en-US" sz="950" dirty="0">
            <a:latin typeface="Meiryo UI"/>
            <a:ea typeface="Meiryo UI"/>
          </a:endParaRPr>
        </a:p>
        <a:p>
          <a:pPr algn="l"/>
          <a:r>
            <a:rPr lang="ja-JP" altLang="en-US" sz="750" b="0" dirty="0">
              <a:solidFill>
                <a:srgbClr val="595959"/>
              </a:solidFill>
              <a:latin typeface="Meiryo UI"/>
              <a:ea typeface="Meiryo UI"/>
              <a:cs typeface="Meiryo UI"/>
            </a:rPr>
            <a:t>接続元のまとまり</a:t>
          </a:r>
          <a:endParaRPr lang="ja-JP" altLang="en-US" sz="750" dirty="0">
            <a:latin typeface="Meiryo UI"/>
            <a:ea typeface="Meiryo UI"/>
          </a:endParaRPr>
        </a:p>
      </xdr:txBody>
    </xdr:sp>
    <xdr:clientData/>
  </xdr:twoCellAnchor>
  <xdr:twoCellAnchor editAs="oneCell">
    <xdr:from>
      <xdr:col>33</xdr:col>
      <xdr:colOff>0</xdr:colOff>
      <xdr:row>186</xdr:row>
      <xdr:rowOff>0</xdr:rowOff>
    </xdr:from>
    <xdr:to>
      <xdr:col>41</xdr:col>
      <xdr:colOff>0</xdr:colOff>
      <xdr:row>194</xdr:row>
      <xdr:rowOff>0</xdr:rowOff>
    </xdr:to>
    <xdr:sp macro="" textlink="">
      <xdr:nvSpPr>
        <xdr:cNvPr id="703" name="ゾーン: ルートB｜社内（イントラ）">
          <a:extLst>
            <a:ext uri="{FF2B5EF4-FFF2-40B4-BE49-F238E27FC236}">
              <a16:creationId xmlns:a16="http://schemas.microsoft.com/office/drawing/2014/main" id="{862F193D-2E75-4F72-A7D5-D8722204E3FE}"/>
            </a:ext>
          </a:extLst>
        </xdr:cNvPr>
        <xdr:cNvSpPr/>
      </xdr:nvSpPr>
      <xdr:spPr>
        <a:xfrm>
          <a:off x="6286500" y="35433000"/>
          <a:ext cx="1524000" cy="1524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1FAF7"/>
        </a:solidFill>
        <a:ln w="9525" cap="flat">
          <a:solidFill>
            <a:srgbClr val="B0DCCF"/>
          </a:solidFill>
          <a:round/>
        </a:ln>
      </xdr:spPr>
      <xdr:txBody>
        <a:bodyPr vertOverflow="overflow" horzOverflow="overflow" wrap="square" lIns="76200" tIns="50800" rIns="76200" bIns="50800" rtlCol="0" anchor="t">
          <a:noAutofit/>
        </a:bodyPr>
        <a:lstStyle/>
        <a:p>
          <a:pPr algn="l"/>
          <a:r>
            <a:rPr lang="ja-JP" altLang="en-US" sz="950" b="1" dirty="0">
              <a:solidFill>
                <a:srgbClr val="005243"/>
              </a:solidFill>
              <a:latin typeface="Meiryo UI"/>
              <a:ea typeface="Meiryo UI"/>
              <a:cs typeface="Meiryo UI"/>
            </a:rPr>
            <a:t>ルートB｜社内（イントラ）</a:t>
          </a:r>
          <a:endParaRPr lang="ja-JP" altLang="en-US" sz="950" dirty="0">
            <a:latin typeface="Meiryo UI"/>
            <a:ea typeface="Meiryo UI"/>
          </a:endParaRPr>
        </a:p>
        <a:p>
          <a:pPr algn="l"/>
          <a:r>
            <a:rPr lang="ja-JP" altLang="en-US" sz="750" b="0" dirty="0">
              <a:solidFill>
                <a:srgbClr val="595959"/>
              </a:solidFill>
              <a:latin typeface="Meiryo UI"/>
              <a:ea typeface="Meiryo UI"/>
              <a:cs typeface="Meiryo UI"/>
            </a:rPr>
            <a:t>接続元のまとまり</a:t>
          </a:r>
          <a:endParaRPr lang="ja-JP" altLang="en-US" sz="750" dirty="0">
            <a:latin typeface="Meiryo UI"/>
            <a:ea typeface="Meiryo UI"/>
          </a:endParaRPr>
        </a:p>
      </xdr:txBody>
    </xdr:sp>
    <xdr:clientData/>
  </xdr:twoCellAnchor>
  <xdr:twoCellAnchor editAs="oneCell">
    <xdr:from>
      <xdr:col>44</xdr:col>
      <xdr:colOff>0</xdr:colOff>
      <xdr:row>186</xdr:row>
      <xdr:rowOff>0</xdr:rowOff>
    </xdr:from>
    <xdr:to>
      <xdr:col>52</xdr:col>
      <xdr:colOff>0</xdr:colOff>
      <xdr:row>194</xdr:row>
      <xdr:rowOff>0</xdr:rowOff>
    </xdr:to>
    <xdr:sp macro="" textlink="">
      <xdr:nvSpPr>
        <xdr:cNvPr id="704" name="ゾーン: ルートC｜外部">
          <a:extLst>
            <a:ext uri="{FF2B5EF4-FFF2-40B4-BE49-F238E27FC236}">
              <a16:creationId xmlns:a16="http://schemas.microsoft.com/office/drawing/2014/main" id="{354578F9-7FC7-434F-B034-BA8AD6897A5F}"/>
            </a:ext>
          </a:extLst>
        </xdr:cNvPr>
        <xdr:cNvSpPr/>
      </xdr:nvSpPr>
      <xdr:spPr>
        <a:xfrm>
          <a:off x="8382000" y="35433000"/>
          <a:ext cx="1524000" cy="1524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EF6F2"/>
        </a:solidFill>
        <a:ln w="9525" cap="flat">
          <a:solidFill>
            <a:srgbClr val="EEC8B5"/>
          </a:solidFill>
          <a:round/>
        </a:ln>
      </xdr:spPr>
      <xdr:txBody>
        <a:bodyPr vertOverflow="overflow" horzOverflow="overflow" wrap="square" lIns="76200" tIns="50800" rIns="76200" bIns="50800" rtlCol="0" anchor="t">
          <a:noAutofit/>
        </a:bodyPr>
        <a:lstStyle/>
        <a:p>
          <a:pPr algn="l"/>
          <a:r>
            <a:rPr lang="ja-JP" altLang="en-US" sz="950" b="1" dirty="0">
              <a:solidFill>
                <a:srgbClr val="954717"/>
              </a:solidFill>
              <a:latin typeface="Meiryo UI"/>
              <a:ea typeface="Meiryo UI"/>
              <a:cs typeface="Meiryo UI"/>
            </a:rPr>
            <a:t>ルートC｜外部</a:t>
          </a:r>
          <a:endParaRPr lang="ja-JP" altLang="en-US" sz="950" dirty="0">
            <a:latin typeface="Meiryo UI"/>
            <a:ea typeface="Meiryo UI"/>
          </a:endParaRPr>
        </a:p>
        <a:p>
          <a:pPr algn="l"/>
          <a:r>
            <a:rPr lang="ja-JP" altLang="en-US" sz="750" b="0" dirty="0">
              <a:solidFill>
                <a:srgbClr val="595959"/>
              </a:solidFill>
              <a:latin typeface="Meiryo UI"/>
              <a:ea typeface="Meiryo UI"/>
              <a:cs typeface="Meiryo UI"/>
            </a:rPr>
            <a:t>接続元のまとまり</a:t>
          </a:r>
          <a:endParaRPr lang="ja-JP" altLang="en-US" sz="750" dirty="0">
            <a:latin typeface="Meiryo UI"/>
            <a:ea typeface="Meiryo UI"/>
          </a:endParaRPr>
        </a:p>
      </xdr:txBody>
    </xdr:sp>
    <xdr:clientData/>
  </xdr:twoCellAnchor>
  <xdr:twoCellAnchor editAs="oneCell">
    <xdr:from>
      <xdr:col>55</xdr:col>
      <xdr:colOff>0</xdr:colOff>
      <xdr:row>186</xdr:row>
      <xdr:rowOff>0</xdr:rowOff>
    </xdr:from>
    <xdr:to>
      <xdr:col>63</xdr:col>
      <xdr:colOff>0</xdr:colOff>
      <xdr:row>194</xdr:row>
      <xdr:rowOff>0</xdr:rowOff>
    </xdr:to>
    <xdr:sp macro="" textlink="">
      <xdr:nvSpPr>
        <xdr:cNvPr id="705" name="ゾーン: ルートD｜現場・IoT">
          <a:extLst>
            <a:ext uri="{FF2B5EF4-FFF2-40B4-BE49-F238E27FC236}">
              <a16:creationId xmlns:a16="http://schemas.microsoft.com/office/drawing/2014/main" id="{C717D9B9-813F-4F50-BF59-70A766689B03}"/>
            </a:ext>
          </a:extLst>
        </xdr:cNvPr>
        <xdr:cNvSpPr/>
      </xdr:nvSpPr>
      <xdr:spPr>
        <a:xfrm>
          <a:off x="10477500" y="35433000"/>
          <a:ext cx="1524000" cy="1524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AF6FD"/>
        </a:solidFill>
        <a:ln w="9525" cap="flat">
          <a:solidFill>
            <a:srgbClr val="DBCCEB"/>
          </a:solidFill>
          <a:round/>
        </a:ln>
      </xdr:spPr>
      <xdr:txBody>
        <a:bodyPr vertOverflow="overflow" horzOverflow="overflow" wrap="square" lIns="76200" tIns="50800" rIns="76200" bIns="50800" rtlCol="0" anchor="t">
          <a:noAutofit/>
        </a:bodyPr>
        <a:lstStyle/>
        <a:p>
          <a:pPr algn="l"/>
          <a:r>
            <a:rPr lang="ja-JP" altLang="en-US" sz="950" b="1" dirty="0">
              <a:solidFill>
                <a:srgbClr val="5D4578"/>
              </a:solidFill>
              <a:latin typeface="Meiryo UI"/>
              <a:ea typeface="Meiryo UI"/>
              <a:cs typeface="Meiryo UI"/>
            </a:rPr>
            <a:t>ルートD｜現場・IoT</a:t>
          </a:r>
          <a:endParaRPr lang="ja-JP" altLang="en-US" sz="950" dirty="0">
            <a:latin typeface="Meiryo UI"/>
            <a:ea typeface="Meiryo UI"/>
          </a:endParaRPr>
        </a:p>
        <a:p>
          <a:pPr algn="l"/>
          <a:r>
            <a:rPr lang="ja-JP" altLang="en-US" sz="750" b="0" dirty="0">
              <a:solidFill>
                <a:srgbClr val="595959"/>
              </a:solidFill>
              <a:latin typeface="Meiryo UI"/>
              <a:ea typeface="Meiryo UI"/>
              <a:cs typeface="Meiryo UI"/>
            </a:rPr>
            <a:t>接続元のまとまり</a:t>
          </a:r>
          <a:endParaRPr lang="ja-JP" altLang="en-US" sz="750" dirty="0">
            <a:latin typeface="Meiryo UI"/>
            <a:ea typeface="Meiryo UI"/>
          </a:endParaRPr>
        </a:p>
      </xdr:txBody>
    </xdr:sp>
    <xdr:clientData/>
  </xdr:twoCellAnchor>
  <xdr:twoCellAnchor editAs="oneCell">
    <xdr:from>
      <xdr:col>66</xdr:col>
      <xdr:colOff>0</xdr:colOff>
      <xdr:row>186</xdr:row>
      <xdr:rowOff>0</xdr:rowOff>
    </xdr:from>
    <xdr:to>
      <xdr:col>74</xdr:col>
      <xdr:colOff>0</xdr:colOff>
      <xdr:row>194</xdr:row>
      <xdr:rowOff>0</xdr:rowOff>
    </xdr:to>
    <xdr:sp macro="" textlink="">
      <xdr:nvSpPr>
        <xdr:cNvPr id="706" name="ゾーン: ルートE｜パートナー">
          <a:extLst>
            <a:ext uri="{FF2B5EF4-FFF2-40B4-BE49-F238E27FC236}">
              <a16:creationId xmlns:a16="http://schemas.microsoft.com/office/drawing/2014/main" id="{1A56EA67-267E-4829-B684-64F00A5FFBF7}"/>
            </a:ext>
          </a:extLst>
        </xdr:cNvPr>
        <xdr:cNvSpPr/>
      </xdr:nvSpPr>
      <xdr:spPr>
        <a:xfrm>
          <a:off x="12573000" y="35433000"/>
          <a:ext cx="1524000" cy="1524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FF5F7"/>
        </a:solidFill>
        <a:ln w="9525" cap="flat">
          <a:solidFill>
            <a:srgbClr val="F3C6CF"/>
          </a:solidFill>
          <a:round/>
        </a:ln>
      </xdr:spPr>
      <xdr:txBody>
        <a:bodyPr vertOverflow="overflow" horzOverflow="overflow" wrap="square" lIns="76200" tIns="50800" rIns="76200" bIns="50800" rtlCol="0" anchor="t">
          <a:noAutofit/>
        </a:bodyPr>
        <a:lstStyle/>
        <a:p>
          <a:pPr algn="l"/>
          <a:r>
            <a:rPr lang="ja-JP" altLang="en-US" sz="950" b="1" dirty="0">
              <a:solidFill>
                <a:srgbClr val="7E2643"/>
              </a:solidFill>
              <a:latin typeface="Meiryo UI"/>
              <a:ea typeface="Meiryo UI"/>
              <a:cs typeface="Meiryo UI"/>
            </a:rPr>
            <a:t>ルートE｜パートナー</a:t>
          </a:r>
          <a:endParaRPr lang="ja-JP" altLang="en-US" sz="950" dirty="0">
            <a:latin typeface="Meiryo UI"/>
            <a:ea typeface="Meiryo UI"/>
          </a:endParaRPr>
        </a:p>
        <a:p>
          <a:pPr algn="l"/>
          <a:r>
            <a:rPr lang="ja-JP" altLang="en-US" sz="750" b="0" dirty="0">
              <a:solidFill>
                <a:srgbClr val="595959"/>
              </a:solidFill>
              <a:latin typeface="Meiryo UI"/>
              <a:ea typeface="Meiryo UI"/>
              <a:cs typeface="Meiryo UI"/>
            </a:rPr>
            <a:t>接続元のまとまり</a:t>
          </a:r>
          <a:endParaRPr lang="ja-JP" altLang="en-US" sz="750" dirty="0">
            <a:latin typeface="Meiryo UI"/>
            <a:ea typeface="Meiryo UI"/>
          </a:endParaRPr>
        </a:p>
      </xdr:txBody>
    </xdr:sp>
    <xdr:clientData/>
  </xdr:twoCellAnchor>
  <xdr:twoCellAnchor editAs="oneCell">
    <xdr:from>
      <xdr:col>77</xdr:col>
      <xdr:colOff>0</xdr:colOff>
      <xdr:row>186</xdr:row>
      <xdr:rowOff>0</xdr:rowOff>
    </xdr:from>
    <xdr:to>
      <xdr:col>85</xdr:col>
      <xdr:colOff>0</xdr:colOff>
      <xdr:row>194</xdr:row>
      <xdr:rowOff>0</xdr:rowOff>
    </xdr:to>
    <xdr:sp macro="" textlink="">
      <xdr:nvSpPr>
        <xdr:cNvPr id="707" name="ゾーン: ルートF｜他クラウド">
          <a:extLst>
            <a:ext uri="{FF2B5EF4-FFF2-40B4-BE49-F238E27FC236}">
              <a16:creationId xmlns:a16="http://schemas.microsoft.com/office/drawing/2014/main" id="{8A5705D4-CBBF-45E1-9080-C44780F6F9B4}"/>
            </a:ext>
          </a:extLst>
        </xdr:cNvPr>
        <xdr:cNvSpPr/>
      </xdr:nvSpPr>
      <xdr:spPr>
        <a:xfrm>
          <a:off x="14668500" y="35433000"/>
          <a:ext cx="1524000" cy="1524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AF8F1"/>
        </a:solidFill>
        <a:ln w="9525" cap="flat">
          <a:solidFill>
            <a:srgbClr val="D9D2B1"/>
          </a:solidFill>
          <a:round/>
        </a:ln>
      </xdr:spPr>
      <xdr:txBody>
        <a:bodyPr vertOverflow="overflow" horzOverflow="overflow" wrap="square" lIns="76200" tIns="50800" rIns="76200" bIns="50800" rtlCol="0" anchor="t">
          <a:noAutofit/>
        </a:bodyPr>
        <a:lstStyle/>
        <a:p>
          <a:pPr algn="l"/>
          <a:r>
            <a:rPr lang="ja-JP" altLang="en-US" sz="950" b="1" dirty="0">
              <a:solidFill>
                <a:srgbClr val="433F00"/>
              </a:solidFill>
              <a:latin typeface="Meiryo UI"/>
              <a:ea typeface="Meiryo UI"/>
              <a:cs typeface="Meiryo UI"/>
            </a:rPr>
            <a:t>ルートF｜他クラウド</a:t>
          </a:r>
          <a:endParaRPr lang="ja-JP" altLang="en-US" sz="950" dirty="0">
            <a:latin typeface="Meiryo UI"/>
            <a:ea typeface="Meiryo UI"/>
          </a:endParaRPr>
        </a:p>
        <a:p>
          <a:pPr algn="l"/>
          <a:r>
            <a:rPr lang="ja-JP" altLang="en-US" sz="750" b="0" dirty="0">
              <a:solidFill>
                <a:srgbClr val="595959"/>
              </a:solidFill>
              <a:latin typeface="Meiryo UI"/>
              <a:ea typeface="Meiryo UI"/>
              <a:cs typeface="Meiryo UI"/>
            </a:rPr>
            <a:t>接続元のまとまり</a:t>
          </a:r>
          <a:endParaRPr lang="ja-JP" altLang="en-US" sz="750" dirty="0">
            <a:latin typeface="Meiryo UI"/>
            <a:ea typeface="Meiryo UI"/>
          </a:endParaRPr>
        </a:p>
      </xdr:txBody>
    </xdr:sp>
    <xdr:clientData/>
  </xdr:twoCellAnchor>
  <xdr:twoCellAnchor editAs="oneCell">
    <xdr:from>
      <xdr:col>11</xdr:col>
      <xdr:colOff>0</xdr:colOff>
      <xdr:row>196</xdr:row>
      <xdr:rowOff>0</xdr:rowOff>
    </xdr:from>
    <xdr:to>
      <xdr:col>19</xdr:col>
      <xdr:colOff>0</xdr:colOff>
      <xdr:row>204</xdr:row>
      <xdr:rowOff>0</xdr:rowOff>
    </xdr:to>
    <xdr:grpSp>
      <xdr:nvGrpSpPr>
        <xdr:cNvPr id="708" name="ゾーン: AWS Cloud（ロゴ付き）">
          <a:extLst>
            <a:ext uri="{FF2B5EF4-FFF2-40B4-BE49-F238E27FC236}">
              <a16:creationId xmlns:a16="http://schemas.microsoft.com/office/drawing/2014/main" id="{B9925CA5-B2AB-4A8D-9016-31C9CDEF39FA}"/>
            </a:ext>
          </a:extLst>
        </xdr:cNvPr>
        <xdr:cNvGrpSpPr/>
      </xdr:nvGrpSpPr>
      <xdr:grpSpPr>
        <a:xfrm>
          <a:off x="2095500" y="37338000"/>
          <a:ext cx="1524000" cy="1524000"/>
          <a:chOff x="2095500" y="37338000"/>
          <a:chExt cx="1524000" cy="1524000"/>
        </a:xfrm>
      </xdr:grpSpPr>
      <xdr:sp macro="" textlink="">
        <xdr:nvSpPr>
          <xdr:cNvPr id="709" name="枠: AWS Cloud">
            <a:extLst>
              <a:ext uri="{FF2B5EF4-FFF2-40B4-BE49-F238E27FC236}">
                <a16:creationId xmlns:a16="http://schemas.microsoft.com/office/drawing/2014/main" id="{8C3EB0C4-642D-4D18-A99B-F80D495C4C2F}"/>
              </a:ext>
            </a:extLst>
          </xdr:cNvPr>
          <xdr:cNvSpPr/>
        </xdr:nvSpPr>
        <xdr:spPr>
          <a:xfrm>
            <a:off x="2095500" y="37338000"/>
            <a:ext cx="1524000" cy="1524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FFFFF"/>
          </a:solidFill>
          <a:ln w="15875" cap="flat">
            <a:solidFill>
              <a:srgbClr val="262626"/>
            </a:solidFill>
            <a:round/>
          </a:ln>
        </xdr:spPr>
        <xdr:txBody>
          <a:bodyPr vertOverflow="overflow" horzOverflow="overflow" wrap="square" lIns="330200" tIns="44450" rIns="76200" bIns="38100" rtlCol="0" anchor="t">
            <a:noAutofit/>
          </a:bodyPr>
          <a:lstStyle/>
          <a:p>
            <a:pPr algn="l"/>
            <a:r>
              <a:rPr lang="ja-JP" altLang="en-US" sz="1000" b="1" dirty="0">
                <a:solidFill>
                  <a:srgbClr val="262626"/>
                </a:solidFill>
                <a:latin typeface="Meiryo UI"/>
                <a:ea typeface="Meiryo UI"/>
                <a:cs typeface="Meiryo UI"/>
              </a:rPr>
              <a:t>AWS Cloud</a:t>
            </a:r>
            <a:endParaRPr lang="ja-JP" altLang="en-US" sz="1000" dirty="0">
              <a:latin typeface="Meiryo UI"/>
              <a:ea typeface="Meiryo UI"/>
            </a:endParaRPr>
          </a:p>
        </xdr:txBody>
      </xdr:sp>
      <xdr:pic>
        <xdr:nvPicPr>
          <xdr:cNvPr id="710" name="ロゴ: AWS Cloud" descr="AWS Cloud">
            <a:extLst>
              <a:ext uri="{FF2B5EF4-FFF2-40B4-BE49-F238E27FC236}">
                <a16:creationId xmlns:a16="http://schemas.microsoft.com/office/drawing/2014/main" id="{E0F8F17B-4B7A-44A2-B56C-BDCFEAB386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095500" y="37338000"/>
            <a:ext cx="254000" cy="254000"/>
          </a:xfrm>
          <a:prstGeom prst="rect">
            <a:avLst/>
          </a:prstGeom>
        </xdr:spPr>
      </xdr:pic>
    </xdr:grpSp>
    <xdr:clientData/>
  </xdr:twoCellAnchor>
  <xdr:twoCellAnchor editAs="oneCell">
    <xdr:from>
      <xdr:col>22</xdr:col>
      <xdr:colOff>0</xdr:colOff>
      <xdr:row>196</xdr:row>
      <xdr:rowOff>0</xdr:rowOff>
    </xdr:from>
    <xdr:to>
      <xdr:col>30</xdr:col>
      <xdr:colOff>0</xdr:colOff>
      <xdr:row>204</xdr:row>
      <xdr:rowOff>0</xdr:rowOff>
    </xdr:to>
    <xdr:sp macro="" textlink="">
      <xdr:nvSpPr>
        <xdr:cNvPr id="711" name="枠: VPC（10.0.0.0/16）">
          <a:extLst>
            <a:ext uri="{FF2B5EF4-FFF2-40B4-BE49-F238E27FC236}">
              <a16:creationId xmlns:a16="http://schemas.microsoft.com/office/drawing/2014/main" id="{F6CB5F82-0A07-4A83-A291-A642D951373D}"/>
            </a:ext>
          </a:extLst>
        </xdr:cNvPr>
        <xdr:cNvSpPr/>
      </xdr:nvSpPr>
      <xdr:spPr>
        <a:xfrm>
          <a:off x="4191000" y="37338000"/>
          <a:ext cx="1524000" cy="1524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FFFFF"/>
        </a:solidFill>
        <a:ln w="12700" cap="flat">
          <a:solidFill>
            <a:srgbClr val="595959"/>
          </a:solidFill>
          <a:round/>
        </a:ln>
      </xdr:spPr>
      <xdr:txBody>
        <a:bodyPr vertOverflow="overflow" horzOverflow="overflow" wrap="square" lIns="63500" tIns="38100" rIns="63500" bIns="38100" rtlCol="0" anchor="t">
          <a:noAutofit/>
        </a:bodyPr>
        <a:lstStyle/>
        <a:p>
          <a:pPr algn="l"/>
          <a:r>
            <a:rPr lang="ja-JP" altLang="en-US" sz="850" b="1" dirty="0">
              <a:solidFill>
                <a:srgbClr val="262626"/>
              </a:solidFill>
              <a:latin typeface="Meiryo UI"/>
              <a:ea typeface="Meiryo UI"/>
              <a:cs typeface="Meiryo UI"/>
            </a:rPr>
            <a:t>VPC（10.0.0.0/16）</a:t>
          </a:r>
          <a:endParaRPr lang="ja-JP" altLang="en-US" sz="850" dirty="0">
            <a:latin typeface="Meiryo UI"/>
            <a:ea typeface="Meiryo UI"/>
          </a:endParaRPr>
        </a:p>
      </xdr:txBody>
    </xdr:sp>
    <xdr:clientData/>
  </xdr:twoCellAnchor>
  <xdr:twoCellAnchor editAs="oneCell">
    <xdr:from>
      <xdr:col>33</xdr:col>
      <xdr:colOff>0</xdr:colOff>
      <xdr:row>196</xdr:row>
      <xdr:rowOff>0</xdr:rowOff>
    </xdr:from>
    <xdr:to>
      <xdr:col>41</xdr:col>
      <xdr:colOff>0</xdr:colOff>
      <xdr:row>204</xdr:row>
      <xdr:rowOff>0</xdr:rowOff>
    </xdr:to>
    <xdr:sp macro="" textlink="">
      <xdr:nvSpPr>
        <xdr:cNvPr id="712" name="枠: プライベートサブネット">
          <a:extLst>
            <a:ext uri="{FF2B5EF4-FFF2-40B4-BE49-F238E27FC236}">
              <a16:creationId xmlns:a16="http://schemas.microsoft.com/office/drawing/2014/main" id="{888C6A5B-2DD3-4993-9578-5B2488C30C2A}"/>
            </a:ext>
          </a:extLst>
        </xdr:cNvPr>
        <xdr:cNvSpPr/>
      </xdr:nvSpPr>
      <xdr:spPr>
        <a:xfrm>
          <a:off x="6286500" y="37338000"/>
          <a:ext cx="1524000" cy="1524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2F2F2"/>
        </a:solidFill>
        <a:ln>
          <a:noFill/>
        </a:ln>
      </xdr:spPr>
      <xdr:txBody>
        <a:bodyPr vertOverflow="overflow" horzOverflow="overflow" wrap="square" lIns="63500" tIns="38100" rIns="63500" bIns="38100" rtlCol="0" anchor="t">
          <a:noAutofit/>
        </a:bodyPr>
        <a:lstStyle/>
        <a:p>
          <a:pPr algn="l"/>
          <a:r>
            <a:rPr lang="ja-JP" altLang="en-US" sz="850" b="1" dirty="0">
              <a:solidFill>
                <a:srgbClr val="404040"/>
              </a:solidFill>
              <a:latin typeface="Meiryo UI"/>
              <a:ea typeface="Meiryo UI"/>
              <a:cs typeface="Meiryo UI"/>
            </a:rPr>
            <a:t>プライベートサブネット</a:t>
          </a:r>
          <a:endParaRPr lang="ja-JP" altLang="en-US" sz="850" dirty="0">
            <a:latin typeface="Meiryo UI"/>
            <a:ea typeface="Meiryo UI"/>
          </a:endParaRPr>
        </a:p>
      </xdr:txBody>
    </xdr:sp>
    <xdr:clientData/>
  </xdr:twoCellAnchor>
  <xdr:twoCellAnchor editAs="oneCell">
    <xdr:from>
      <xdr:col>44</xdr:col>
      <xdr:colOff>0</xdr:colOff>
      <xdr:row>196</xdr:row>
      <xdr:rowOff>0</xdr:rowOff>
    </xdr:from>
    <xdr:to>
      <xdr:col>52</xdr:col>
      <xdr:colOff>0</xdr:colOff>
      <xdr:row>204</xdr:row>
      <xdr:rowOff>0</xdr:rowOff>
    </xdr:to>
    <xdr:sp macro="" textlink="">
      <xdr:nvSpPr>
        <xdr:cNvPr id="713" name="枠: 論理グループ（AZ・SG 等）">
          <a:extLst>
            <a:ext uri="{FF2B5EF4-FFF2-40B4-BE49-F238E27FC236}">
              <a16:creationId xmlns:a16="http://schemas.microsoft.com/office/drawing/2014/main" id="{20A22262-E543-456E-A970-41EF56A70D7B}"/>
            </a:ext>
          </a:extLst>
        </xdr:cNvPr>
        <xdr:cNvSpPr/>
      </xdr:nvSpPr>
      <xdr:spPr>
        <a:xfrm>
          <a:off x="8382000" y="37338000"/>
          <a:ext cx="1524000" cy="1524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noFill/>
        <a:ln w="9525" cap="flat">
          <a:solidFill>
            <a:srgbClr val="8C8C8C"/>
          </a:solidFill>
          <a:prstDash val="dash"/>
          <a:round/>
        </a:ln>
      </xdr:spPr>
      <xdr:txBody>
        <a:bodyPr vertOverflow="overflow" horzOverflow="overflow" wrap="square" lIns="63500" tIns="38100" rIns="63500" bIns="38100" rtlCol="0" anchor="t">
          <a:noAutofit/>
        </a:bodyPr>
        <a:lstStyle/>
        <a:p>
          <a:pPr algn="l"/>
          <a:r>
            <a:rPr lang="ja-JP" altLang="en-US" sz="850" b="1" dirty="0">
              <a:solidFill>
                <a:srgbClr val="404040"/>
              </a:solidFill>
              <a:latin typeface="Meiryo UI"/>
              <a:ea typeface="Meiryo UI"/>
              <a:cs typeface="Meiryo UI"/>
            </a:rPr>
            <a:t>論理グループ（AZ・SG 等）</a:t>
          </a:r>
          <a:endParaRPr lang="ja-JP" altLang="en-US" sz="850" dirty="0">
            <a:latin typeface="Meiryo UI"/>
            <a:ea typeface="Meiryo UI"/>
          </a:endParaRPr>
        </a:p>
      </xdr:txBody>
    </xdr:sp>
    <xdr:clientData/>
  </xdr:twoCellAnchor>
  <xdr:twoCellAnchor editAs="oneCell">
    <xdr:from>
      <xdr:col>55</xdr:col>
      <xdr:colOff>0</xdr:colOff>
      <xdr:row>196</xdr:row>
      <xdr:rowOff>0</xdr:rowOff>
    </xdr:from>
    <xdr:to>
      <xdr:col>63</xdr:col>
      <xdr:colOff>0</xdr:colOff>
      <xdr:row>204</xdr:row>
      <xdr:rowOff>0</xdr:rowOff>
    </xdr:to>
    <xdr:sp macro="" textlink="">
      <xdr:nvSpPr>
        <xdr:cNvPr id="714" name="枠: 社内拠点・データセンター">
          <a:extLst>
            <a:ext uri="{FF2B5EF4-FFF2-40B4-BE49-F238E27FC236}">
              <a16:creationId xmlns:a16="http://schemas.microsoft.com/office/drawing/2014/main" id="{739AB425-C5ED-4836-BE26-1E8522771018}"/>
            </a:ext>
          </a:extLst>
        </xdr:cNvPr>
        <xdr:cNvSpPr/>
      </xdr:nvSpPr>
      <xdr:spPr>
        <a:xfrm>
          <a:off x="10477500" y="37338000"/>
          <a:ext cx="1524000" cy="1524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solidFill>
          <a:srgbClr val="FAFAFA"/>
        </a:solidFill>
        <a:ln w="9525" cap="flat">
          <a:solidFill>
            <a:srgbClr val="BFBFBF"/>
          </a:solidFill>
          <a:round/>
        </a:ln>
      </xdr:spPr>
      <xdr:txBody>
        <a:bodyPr vertOverflow="overflow" horzOverflow="overflow" wrap="square" lIns="63500" tIns="38100" rIns="63500" bIns="38100" rtlCol="0" anchor="t">
          <a:noAutofit/>
        </a:bodyPr>
        <a:lstStyle/>
        <a:p>
          <a:pPr algn="l"/>
          <a:r>
            <a:rPr lang="ja-JP" altLang="en-US" sz="850" b="1" dirty="0">
              <a:solidFill>
                <a:srgbClr val="262626"/>
              </a:solidFill>
              <a:latin typeface="Meiryo UI"/>
              <a:ea typeface="Meiryo UI"/>
              <a:cs typeface="Meiryo UI"/>
            </a:rPr>
            <a:t>社内拠点・データセンター</a:t>
          </a:r>
          <a:endParaRPr lang="ja-JP" altLang="en-US" sz="850" dirty="0">
            <a:latin typeface="Meiryo UI"/>
            <a:ea typeface="Meiryo UI"/>
          </a:endParaRPr>
        </a:p>
      </xdr:txBody>
    </xdr:sp>
    <xdr:clientData/>
  </xdr:twoCellAnchor>
  <xdr:twoCellAnchor editAs="oneCell">
    <xdr:from>
      <xdr:col>66</xdr:col>
      <xdr:colOff>0</xdr:colOff>
      <xdr:row>196</xdr:row>
      <xdr:rowOff>0</xdr:rowOff>
    </xdr:from>
    <xdr:to>
      <xdr:col>74</xdr:col>
      <xdr:colOff>0</xdr:colOff>
      <xdr:row>204</xdr:row>
      <xdr:rowOff>0</xdr:rowOff>
    </xdr:to>
    <xdr:sp macro="" textlink="">
      <xdr:nvSpPr>
        <xdr:cNvPr id="715" name="枠: 新規・変更（赤破線）">
          <a:extLst>
            <a:ext uri="{FF2B5EF4-FFF2-40B4-BE49-F238E27FC236}">
              <a16:creationId xmlns:a16="http://schemas.microsoft.com/office/drawing/2014/main" id="{09C7F4C6-A97D-4FA8-BB74-D7B003A4A6A4}"/>
            </a:ext>
          </a:extLst>
        </xdr:cNvPr>
        <xdr:cNvSpPr/>
      </xdr:nvSpPr>
      <xdr:spPr>
        <a:xfrm>
          <a:off x="12573000" y="37338000"/>
          <a:ext cx="1524000" cy="1524000"/>
        </a:xfrm>
        <a:custGeom>
          <a:avLst/>
          <a:gdLst>
            <a:gd name="x1" fmla="*/ w 1 4"/>
            <a:gd name="x2" fmla="*/ w 1 2"/>
            <a:gd name="x3" fmla="*/ w 3 4"/>
            <a:gd name="y1" fmla="*/ h 1 4"/>
            <a:gd name="y2" fmla="*/ h 1 2"/>
            <a:gd name="y3" fmla="*/ h 3 4"/>
            <a:gd name="smin" fmla="min w h"/>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l" y="t"/>
              </a:moveTo>
              <a:lnTo>
                <a:pt x="r" y="t"/>
              </a:lnTo>
              <a:lnTo>
                <a:pt x="r" y="b"/>
              </a:lnTo>
              <a:lnTo>
                <a:pt x="l" y="b"/>
              </a:lnTo>
              <a:close/>
            </a:path>
          </a:pathLst>
        </a:custGeom>
        <a:noFill/>
        <a:ln w="15875" cap="flat">
          <a:solidFill>
            <a:srgbClr val="C00000"/>
          </a:solidFill>
          <a:prstDash val="dash"/>
          <a:round/>
        </a:ln>
      </xdr:spPr>
      <xdr:txBody>
        <a:bodyPr vertOverflow="overflow" horzOverflow="overflow" wrap="square" lIns="63500" tIns="38100" rIns="63500" bIns="38100" rtlCol="0" anchor="t">
          <a:noAutofit/>
        </a:bodyPr>
        <a:lstStyle/>
        <a:p>
          <a:pPr algn="l"/>
          <a:r>
            <a:rPr lang="ja-JP" altLang="en-US" sz="850" b="1" dirty="0">
              <a:solidFill>
                <a:srgbClr val="C00000"/>
              </a:solidFill>
              <a:latin typeface="Meiryo UI"/>
              <a:ea typeface="Meiryo UI"/>
              <a:cs typeface="Meiryo UI"/>
            </a:rPr>
            <a:t>新規・変更（赤破線）</a:t>
          </a:r>
          <a:endParaRPr lang="ja-JP" altLang="en-US" sz="850" dirty="0">
            <a:latin typeface="Meiryo UI"/>
            <a:ea typeface="Meiryo UI"/>
          </a:endParaRPr>
        </a:p>
      </xdr:txBody>
    </xdr:sp>
    <xdr:clientData/>
  </xdr:twoCellAnchor>
  <xdr:twoCellAnchor editAs="oneCell">
    <xdr:from>
      <xdr:col>2</xdr:col>
      <xdr:colOff>0</xdr:colOff>
      <xdr:row>210</xdr:row>
      <xdr:rowOff>0</xdr:rowOff>
    </xdr:from>
    <xdr:to>
      <xdr:col>50</xdr:col>
      <xdr:colOff>0</xdr:colOff>
      <xdr:row>216</xdr:row>
      <xdr:rowOff>0</xdr:rowOff>
    </xdr:to>
    <xdr:grpSp>
      <xdr:nvGrpSpPr>
        <xdr:cNvPr id="716" name="凡例（部品）">
          <a:extLst>
            <a:ext uri="{FF2B5EF4-FFF2-40B4-BE49-F238E27FC236}">
              <a16:creationId xmlns:a16="http://schemas.microsoft.com/office/drawing/2014/main" id="{154537F4-82E6-424B-9BF4-49A4EF4C8138}"/>
            </a:ext>
          </a:extLst>
        </xdr:cNvPr>
        <xdr:cNvGrpSpPr/>
      </xdr:nvGrpSpPr>
      <xdr:grpSpPr>
        <a:xfrm>
          <a:off x="381000" y="40005000"/>
          <a:ext cx="9144000" cy="1143000"/>
          <a:chOff x="381000" y="40005000"/>
          <a:chExt cx="9144000" cy="1143000"/>
        </a:xfrm>
      </xdr:grpSpPr>
      <xdr:sp macro="" textlink="">
        <xdr:nvSpPr>
          <xdr:cNvPr id="717" name="凡例: 背景">
            <a:extLst>
              <a:ext uri="{FF2B5EF4-FFF2-40B4-BE49-F238E27FC236}">
                <a16:creationId xmlns:a16="http://schemas.microsoft.com/office/drawing/2014/main" id="{66F27B22-1B64-4ED9-8F3E-81DAFB0E13DE}"/>
              </a:ext>
            </a:extLst>
          </xdr:cNvPr>
          <xdr:cNvSpPr/>
        </xdr:nvSpPr>
        <xdr:spPr>
          <a:xfrm>
            <a:off x="381000" y="40005000"/>
            <a:ext cx="9144000" cy="1143000"/>
          </a:xfrm>
          <a:prstGeom prst="rect">
            <a:avLst/>
          </a:prstGeom>
          <a:solidFill>
            <a:srgbClr val="FFFFFF"/>
          </a:solidFill>
          <a:ln w="9525" cap="flat">
            <a:solidFill>
              <a:srgbClr val="A6A6A6"/>
            </a:solidFill>
            <a:round/>
          </a:ln>
        </xdr:spPr>
        <xdr:txBody>
          <a:bodyPr vertOverflow="overflow" horzOverflow="overflow" wrap="square" lIns="63500" tIns="38100" rIns="63500" bIns="38100" rtlCol="0" anchor="t">
            <a:noAutofit/>
          </a:bodyPr>
          <a:lstStyle/>
          <a:p>
            <a:pPr algn="l"/>
            <a:r>
              <a:rPr lang="ja-JP" altLang="en-US" sz="850" b="1" dirty="0">
                <a:solidFill>
                  <a:srgbClr val="262626"/>
                </a:solidFill>
                <a:latin typeface="Meiryo UI"/>
                <a:ea typeface="Meiryo UI"/>
                <a:cs typeface="Meiryo UI"/>
              </a:rPr>
              <a:t>凡例</a:t>
            </a:r>
            <a:endParaRPr lang="ja-JP" altLang="en-US" sz="850" dirty="0">
              <a:latin typeface="Meiryo UI"/>
              <a:ea typeface="Meiryo UI"/>
            </a:endParaRPr>
          </a:p>
        </xdr:txBody>
      </xdr:sp>
      <xdr:sp macro="" textlink="">
        <xdr:nvSpPr>
          <xdr:cNvPr id="718" name="凡例: 見出し">
            <a:extLst>
              <a:ext uri="{FF2B5EF4-FFF2-40B4-BE49-F238E27FC236}">
                <a16:creationId xmlns:a16="http://schemas.microsoft.com/office/drawing/2014/main" id="{C3D986A3-AFA4-4A28-9B73-1C920C319B8F}"/>
              </a:ext>
            </a:extLst>
          </xdr:cNvPr>
          <xdr:cNvSpPr/>
        </xdr:nvSpPr>
        <xdr:spPr>
          <a:xfrm>
            <a:off x="495300" y="40185975"/>
            <a:ext cx="800100" cy="190500"/>
          </a:xfrm>
          <a:prstGeom prst="rect">
            <a:avLst/>
          </a:prstGeom>
          <a:noFill/>
          <a:ln>
            <a:noFill/>
          </a:ln>
        </xdr:spPr>
        <xdr:txBody>
          <a:bodyPr vertOverflow="overflow" horzOverflow="overflow" wrap="square" lIns="0" tIns="0" rIns="0" bIns="0" rtlCol="0" anchor="ctr">
            <a:noAutofit/>
          </a:bodyPr>
          <a:lstStyle/>
          <a:p>
            <a:pPr algn="l"/>
            <a:r>
              <a:rPr lang="ja-JP" altLang="en-US" sz="750" b="1" dirty="0">
                <a:solidFill>
                  <a:srgbClr val="595959"/>
                </a:solidFill>
                <a:latin typeface="Meiryo UI"/>
                <a:ea typeface="Meiryo UI"/>
                <a:cs typeface="Meiryo UI"/>
              </a:rPr>
              <a:t>ルート（色）</a:t>
            </a:r>
            <a:endParaRPr lang="ja-JP" altLang="en-US" sz="750" dirty="0">
              <a:latin typeface="Meiryo UI"/>
              <a:ea typeface="Meiryo UI"/>
            </a:endParaRPr>
          </a:p>
        </xdr:txBody>
      </xdr:sp>
      <xdr:sp macro="" textlink="">
        <xdr:nvSpPr>
          <xdr:cNvPr id="719" name="凡例: 見出し">
            <a:extLst>
              <a:ext uri="{FF2B5EF4-FFF2-40B4-BE49-F238E27FC236}">
                <a16:creationId xmlns:a16="http://schemas.microsoft.com/office/drawing/2014/main" id="{97D5C0FA-E28D-45B2-A70F-080D51C8AF34}"/>
              </a:ext>
            </a:extLst>
          </xdr:cNvPr>
          <xdr:cNvSpPr/>
        </xdr:nvSpPr>
        <xdr:spPr>
          <a:xfrm>
            <a:off x="495300" y="40643175"/>
            <a:ext cx="800100" cy="190500"/>
          </a:xfrm>
          <a:prstGeom prst="rect">
            <a:avLst/>
          </a:prstGeom>
          <a:noFill/>
          <a:ln>
            <a:noFill/>
          </a:ln>
        </xdr:spPr>
        <xdr:txBody>
          <a:bodyPr vertOverflow="overflow" horzOverflow="overflow" wrap="square" lIns="0" tIns="0" rIns="0" bIns="0" rtlCol="0" anchor="ctr">
            <a:noAutofit/>
          </a:bodyPr>
          <a:lstStyle/>
          <a:p>
            <a:pPr algn="l"/>
            <a:r>
              <a:rPr lang="ja-JP" altLang="en-US" sz="750" b="1" dirty="0">
                <a:solidFill>
                  <a:srgbClr val="595959"/>
                </a:solidFill>
                <a:latin typeface="Meiryo UI"/>
                <a:ea typeface="Meiryo UI"/>
                <a:cs typeface="Meiryo UI"/>
              </a:rPr>
              <a:t>線の種類</a:t>
            </a:r>
            <a:endParaRPr lang="ja-JP" altLang="en-US" sz="750" dirty="0">
              <a:latin typeface="Meiryo UI"/>
              <a:ea typeface="Meiryo UI"/>
            </a:endParaRPr>
          </a:p>
        </xdr:txBody>
      </xdr:sp>
      <xdr:sp macro="" textlink="">
        <xdr:nvSpPr>
          <xdr:cNvPr id="720" name="凡例: 見出し">
            <a:extLst>
              <a:ext uri="{FF2B5EF4-FFF2-40B4-BE49-F238E27FC236}">
                <a16:creationId xmlns:a16="http://schemas.microsoft.com/office/drawing/2014/main" id="{FBF2BA93-A328-459D-8684-FFD4FB625F97}"/>
              </a:ext>
            </a:extLst>
          </xdr:cNvPr>
          <xdr:cNvSpPr/>
        </xdr:nvSpPr>
        <xdr:spPr>
          <a:xfrm>
            <a:off x="495300" y="40871775"/>
            <a:ext cx="800100" cy="190500"/>
          </a:xfrm>
          <a:prstGeom prst="rect">
            <a:avLst/>
          </a:prstGeom>
          <a:noFill/>
          <a:ln>
            <a:noFill/>
          </a:ln>
        </xdr:spPr>
        <xdr:txBody>
          <a:bodyPr vertOverflow="overflow" horzOverflow="overflow" wrap="square" lIns="0" tIns="0" rIns="0" bIns="0" rtlCol="0" anchor="ctr">
            <a:noAutofit/>
          </a:bodyPr>
          <a:lstStyle/>
          <a:p>
            <a:pPr algn="l"/>
            <a:r>
              <a:rPr lang="ja-JP" altLang="en-US" sz="750" b="1" dirty="0">
                <a:solidFill>
                  <a:srgbClr val="595959"/>
                </a:solidFill>
                <a:latin typeface="Meiryo UI"/>
                <a:ea typeface="Meiryo UI"/>
                <a:cs typeface="Meiryo UI"/>
              </a:rPr>
              <a:t>図形・記号</a:t>
            </a:r>
            <a:endParaRPr lang="ja-JP" altLang="en-US" sz="750" dirty="0">
              <a:latin typeface="Meiryo UI"/>
              <a:ea typeface="Meiryo UI"/>
            </a:endParaRPr>
          </a:p>
        </xdr:txBody>
      </xdr:sp>
      <xdr:cxnSp macro="">
        <xdr:nvCxnSpPr>
          <xdr:cNvPr id="721" name="凡例: 線（ルートA）">
            <a:extLst>
              <a:ext uri="{FF2B5EF4-FFF2-40B4-BE49-F238E27FC236}">
                <a16:creationId xmlns:a16="http://schemas.microsoft.com/office/drawing/2014/main" id="{3AB744E7-8A00-4B6B-ABEB-DE3BDC0C6548}"/>
              </a:ext>
            </a:extLst>
          </xdr:cNvPr>
          <xdr:cNvCxnSpPr/>
        </xdr:nvCxnSpPr>
        <xdr:spPr>
          <a:xfrm>
            <a:off x="1333500" y="40281225"/>
            <a:ext cx="419100" cy="0"/>
          </a:xfrm>
          <a:prstGeom prst="straightConnector1">
            <a:avLst/>
          </a:prstGeom>
          <a:ln w="19050" cap="flat">
            <a:solidFill>
              <a:srgbClr val="315C92"/>
            </a:solidFill>
            <a:round/>
            <a:tailEnd type="triangle" w="med" len="med"/>
          </a:ln>
        </xdr:spPr>
      </xdr:cxnSp>
      <xdr:sp macro="" textlink="">
        <xdr:nvSpPr>
          <xdr:cNvPr id="722" name="凡例: 記号A">
            <a:extLst>
              <a:ext uri="{FF2B5EF4-FFF2-40B4-BE49-F238E27FC236}">
                <a16:creationId xmlns:a16="http://schemas.microsoft.com/office/drawing/2014/main" id="{B99C7BE8-60F5-403B-8862-84446172A19E}"/>
              </a:ext>
            </a:extLst>
          </xdr:cNvPr>
          <xdr:cNvSpPr/>
        </xdr:nvSpPr>
        <xdr:spPr>
          <a:xfrm>
            <a:off x="1809750" y="40205025"/>
            <a:ext cx="152400" cy="152400"/>
          </a:xfrm>
          <a:prstGeom prst="ellipse">
            <a:avLst/>
          </a:prstGeom>
          <a:solidFill>
            <a:srgbClr val="315C92"/>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A</a:t>
            </a:r>
            <a:endParaRPr lang="ja-JP" altLang="en-US" sz="650" dirty="0">
              <a:latin typeface="Meiryo UI"/>
              <a:ea typeface="Meiryo UI"/>
            </a:endParaRPr>
          </a:p>
        </xdr:txBody>
      </xdr:sp>
      <xdr:sp macro="" textlink="表紙!$G$31">
        <xdr:nvSpPr>
          <xdr:cNvPr id="723" name="凡例: ルートA名（表紙と連動）">
            <a:extLst>
              <a:ext uri="{FF2B5EF4-FFF2-40B4-BE49-F238E27FC236}">
                <a16:creationId xmlns:a16="http://schemas.microsoft.com/office/drawing/2014/main" id="{D527116F-A5E9-46B0-9EB6-79EBBBF81123}"/>
              </a:ext>
            </a:extLst>
          </xdr:cNvPr>
          <xdr:cNvSpPr/>
        </xdr:nvSpPr>
        <xdr:spPr>
          <a:xfrm>
            <a:off x="2000250" y="40185975"/>
            <a:ext cx="1338262" cy="190500"/>
          </a:xfrm>
          <a:prstGeom prst="rect">
            <a:avLst/>
          </a:prstGeom>
          <a:noFill/>
          <a:ln>
            <a:noFill/>
          </a:ln>
        </xdr:spPr>
        <xdr:txBody>
          <a:bodyPr vertOverflow="overflow" horzOverflow="overflow" wrap="square" lIns="12700" tIns="0" rIns="12700" bIns="0" rtlCol="0" anchor="ctr">
            <a:noAutofit/>
          </a:bodyPr>
          <a:lstStyle/>
          <a:p>
            <a:pPr algn="l"/>
            <a:fld id="{5A1C0F3E-7B2D-4C8A-9E41-000000000007}" type="TxLink">
              <a:rPr lang="ja-JP" altLang="en-US" sz="750" b="0">
                <a:solidFill>
                  <a:srgbClr val="404040"/>
                </a:solidFill>
                <a:latin typeface="Meiryo UI"/>
                <a:ea typeface="Meiryo UI"/>
                <a:cs typeface="Meiryo UI"/>
              </a:rPr>
              <a:pPr algn="l"/>
              <a:t>Salesforce連携</a:t>
            </a:fld>
            <a:endParaRPr lang="ja-JP" altLang="en-US" sz="750"/>
          </a:p>
        </xdr:txBody>
      </xdr:sp>
      <xdr:cxnSp macro="">
        <xdr:nvCxnSpPr>
          <xdr:cNvPr id="724" name="凡例: 線（ルートB）">
            <a:extLst>
              <a:ext uri="{FF2B5EF4-FFF2-40B4-BE49-F238E27FC236}">
                <a16:creationId xmlns:a16="http://schemas.microsoft.com/office/drawing/2014/main" id="{69C1A24D-72E2-492A-A936-39FCBFEA492A}"/>
              </a:ext>
            </a:extLst>
          </xdr:cNvPr>
          <xdr:cNvCxnSpPr/>
        </xdr:nvCxnSpPr>
        <xdr:spPr>
          <a:xfrm>
            <a:off x="3357562" y="40281225"/>
            <a:ext cx="419100" cy="0"/>
          </a:xfrm>
          <a:prstGeom prst="straightConnector1">
            <a:avLst/>
          </a:prstGeom>
          <a:ln w="19050" cap="flat">
            <a:solidFill>
              <a:srgbClr val="247966"/>
            </a:solidFill>
            <a:round/>
            <a:tailEnd type="triangle" w="med" len="med"/>
          </a:ln>
        </xdr:spPr>
      </xdr:cxnSp>
      <xdr:sp macro="" textlink="">
        <xdr:nvSpPr>
          <xdr:cNvPr id="725" name="凡例: 記号B">
            <a:extLst>
              <a:ext uri="{FF2B5EF4-FFF2-40B4-BE49-F238E27FC236}">
                <a16:creationId xmlns:a16="http://schemas.microsoft.com/office/drawing/2014/main" id="{2969E095-705E-4DCA-801D-9998A43F04E8}"/>
              </a:ext>
            </a:extLst>
          </xdr:cNvPr>
          <xdr:cNvSpPr/>
        </xdr:nvSpPr>
        <xdr:spPr>
          <a:xfrm>
            <a:off x="3833812" y="40205025"/>
            <a:ext cx="152400" cy="152400"/>
          </a:xfrm>
          <a:prstGeom prst="ellipse">
            <a:avLst/>
          </a:prstGeom>
          <a:solidFill>
            <a:srgbClr val="247966"/>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B</a:t>
            </a:r>
            <a:endParaRPr lang="ja-JP" altLang="en-US" sz="650" dirty="0">
              <a:latin typeface="Meiryo UI"/>
              <a:ea typeface="Meiryo UI"/>
            </a:endParaRPr>
          </a:p>
        </xdr:txBody>
      </xdr:sp>
      <xdr:sp macro="" textlink="表紙!$G$32">
        <xdr:nvSpPr>
          <xdr:cNvPr id="726" name="凡例: ルートB名（表紙と連動）">
            <a:extLst>
              <a:ext uri="{FF2B5EF4-FFF2-40B4-BE49-F238E27FC236}">
                <a16:creationId xmlns:a16="http://schemas.microsoft.com/office/drawing/2014/main" id="{49FAD82F-D60B-484B-AB9C-ECBFAA3DAB57}"/>
              </a:ext>
            </a:extLst>
          </xdr:cNvPr>
          <xdr:cNvSpPr/>
        </xdr:nvSpPr>
        <xdr:spPr>
          <a:xfrm>
            <a:off x="4024312" y="40185975"/>
            <a:ext cx="1338262" cy="190500"/>
          </a:xfrm>
          <a:prstGeom prst="rect">
            <a:avLst/>
          </a:prstGeom>
          <a:noFill/>
          <a:ln>
            <a:noFill/>
          </a:ln>
        </xdr:spPr>
        <xdr:txBody>
          <a:bodyPr vertOverflow="overflow" horzOverflow="overflow" wrap="square" lIns="12700" tIns="0" rIns="12700" bIns="0" rtlCol="0" anchor="ctr">
            <a:noAutofit/>
          </a:bodyPr>
          <a:lstStyle/>
          <a:p>
            <a:pPr algn="l"/>
            <a:fld id="{5A1C0F3E-7B2D-4C8A-9E41-000000000008}" type="TxLink">
              <a:rPr lang="ja-JP" altLang="en-US" sz="750" b="0">
                <a:solidFill>
                  <a:srgbClr val="404040"/>
                </a:solidFill>
                <a:latin typeface="Meiryo UI"/>
                <a:ea typeface="Meiryo UI"/>
                <a:cs typeface="Meiryo UI"/>
              </a:rPr>
              <a:pPr algn="l"/>
              <a:t>社内（イントラ）連携</a:t>
            </a:fld>
            <a:endParaRPr lang="ja-JP" altLang="en-US" sz="750"/>
          </a:p>
        </xdr:txBody>
      </xdr:sp>
      <xdr:cxnSp macro="">
        <xdr:nvCxnSpPr>
          <xdr:cNvPr id="727" name="凡例: 線（ルートC）">
            <a:extLst>
              <a:ext uri="{FF2B5EF4-FFF2-40B4-BE49-F238E27FC236}">
                <a16:creationId xmlns:a16="http://schemas.microsoft.com/office/drawing/2014/main" id="{6B75A856-AC6E-49FB-8E66-F0128F35B30C}"/>
              </a:ext>
            </a:extLst>
          </xdr:cNvPr>
          <xdr:cNvCxnSpPr/>
        </xdr:nvCxnSpPr>
        <xdr:spPr>
          <a:xfrm>
            <a:off x="5381625" y="40281225"/>
            <a:ext cx="419100" cy="0"/>
          </a:xfrm>
          <a:prstGeom prst="straightConnector1">
            <a:avLst/>
          </a:prstGeom>
          <a:ln w="19050" cap="flat">
            <a:solidFill>
              <a:srgbClr val="C46B39"/>
            </a:solidFill>
            <a:round/>
            <a:tailEnd type="triangle" w="med" len="med"/>
          </a:ln>
        </xdr:spPr>
      </xdr:cxnSp>
      <xdr:sp macro="" textlink="">
        <xdr:nvSpPr>
          <xdr:cNvPr id="728" name="凡例: 記号C">
            <a:extLst>
              <a:ext uri="{FF2B5EF4-FFF2-40B4-BE49-F238E27FC236}">
                <a16:creationId xmlns:a16="http://schemas.microsoft.com/office/drawing/2014/main" id="{9E82BE41-15B4-494F-AB78-F9B858494F7B}"/>
              </a:ext>
            </a:extLst>
          </xdr:cNvPr>
          <xdr:cNvSpPr/>
        </xdr:nvSpPr>
        <xdr:spPr>
          <a:xfrm>
            <a:off x="5857875" y="40205025"/>
            <a:ext cx="152400" cy="152400"/>
          </a:xfrm>
          <a:prstGeom prst="ellipse">
            <a:avLst/>
          </a:prstGeom>
          <a:solidFill>
            <a:srgbClr val="C46B39"/>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C</a:t>
            </a:r>
            <a:endParaRPr lang="ja-JP" altLang="en-US" sz="650" dirty="0">
              <a:latin typeface="Meiryo UI"/>
              <a:ea typeface="Meiryo UI"/>
            </a:endParaRPr>
          </a:p>
        </xdr:txBody>
      </xdr:sp>
      <xdr:sp macro="" textlink="表紙!$G$33">
        <xdr:nvSpPr>
          <xdr:cNvPr id="729" name="凡例: ルートC名（表紙と連動）">
            <a:extLst>
              <a:ext uri="{FF2B5EF4-FFF2-40B4-BE49-F238E27FC236}">
                <a16:creationId xmlns:a16="http://schemas.microsoft.com/office/drawing/2014/main" id="{D85AE1DD-21B7-4BC7-A7D2-18906D433BC5}"/>
              </a:ext>
            </a:extLst>
          </xdr:cNvPr>
          <xdr:cNvSpPr/>
        </xdr:nvSpPr>
        <xdr:spPr>
          <a:xfrm>
            <a:off x="6048375" y="40185975"/>
            <a:ext cx="1338262" cy="190500"/>
          </a:xfrm>
          <a:prstGeom prst="rect">
            <a:avLst/>
          </a:prstGeom>
          <a:noFill/>
          <a:ln>
            <a:noFill/>
          </a:ln>
        </xdr:spPr>
        <xdr:txBody>
          <a:bodyPr vertOverflow="overflow" horzOverflow="overflow" wrap="square" lIns="12700" tIns="0" rIns="12700" bIns="0" rtlCol="0" anchor="ctr">
            <a:noAutofit/>
          </a:bodyPr>
          <a:lstStyle/>
          <a:p>
            <a:pPr algn="l"/>
            <a:fld id="{5A1C0F3E-7B2D-4C8A-9E41-000000000009}" type="TxLink">
              <a:rPr lang="ja-JP" altLang="en-US" sz="750" b="0">
                <a:solidFill>
                  <a:srgbClr val="404040"/>
                </a:solidFill>
                <a:latin typeface="Meiryo UI"/>
                <a:ea typeface="Meiryo UI"/>
                <a:cs typeface="Meiryo UI"/>
              </a:rPr>
              <a:pPr algn="l"/>
              <a:t>外部連携</a:t>
            </a:fld>
            <a:endParaRPr lang="ja-JP" altLang="en-US" sz="750"/>
          </a:p>
        </xdr:txBody>
      </xdr:sp>
      <xdr:cxnSp macro="">
        <xdr:nvCxnSpPr>
          <xdr:cNvPr id="749" name="凡例: 線（ルートD）">
            <a:extLst>
              <a:ext uri="{FF2B5EF4-FFF2-40B4-BE49-F238E27FC236}">
                <a16:creationId xmlns:a16="http://schemas.microsoft.com/office/drawing/2014/main" id="{E455B6D1-6D45-4019-BBAA-C497182CE070}"/>
              </a:ext>
            </a:extLst>
          </xdr:cNvPr>
          <xdr:cNvCxnSpPr/>
        </xdr:nvCxnSpPr>
        <xdr:spPr>
          <a:xfrm>
            <a:off x="7405687" y="40281225"/>
            <a:ext cx="419100" cy="0"/>
          </a:xfrm>
          <a:prstGeom prst="straightConnector1">
            <a:avLst/>
          </a:prstGeom>
          <a:ln w="19050" cap="flat">
            <a:solidFill>
              <a:srgbClr val="876BA6"/>
            </a:solidFill>
            <a:round/>
            <a:tailEnd type="triangle" w="med" len="med"/>
          </a:ln>
        </xdr:spPr>
      </xdr:cxnSp>
      <xdr:sp macro="" textlink="">
        <xdr:nvSpPr>
          <xdr:cNvPr id="750" name="凡例: 記号D">
            <a:extLst>
              <a:ext uri="{FF2B5EF4-FFF2-40B4-BE49-F238E27FC236}">
                <a16:creationId xmlns:a16="http://schemas.microsoft.com/office/drawing/2014/main" id="{78448949-9FB1-4F37-844A-9E29A4E4AB07}"/>
              </a:ext>
            </a:extLst>
          </xdr:cNvPr>
          <xdr:cNvSpPr/>
        </xdr:nvSpPr>
        <xdr:spPr>
          <a:xfrm>
            <a:off x="7881937" y="40205025"/>
            <a:ext cx="152400" cy="152400"/>
          </a:xfrm>
          <a:prstGeom prst="ellipse">
            <a:avLst/>
          </a:prstGeom>
          <a:solidFill>
            <a:srgbClr val="876BA6"/>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D</a:t>
            </a:r>
            <a:endParaRPr lang="ja-JP" altLang="en-US" sz="650" dirty="0">
              <a:latin typeface="Meiryo UI"/>
              <a:ea typeface="Meiryo UI"/>
            </a:endParaRPr>
          </a:p>
        </xdr:txBody>
      </xdr:sp>
      <xdr:sp macro="" textlink="表紙!$G$34">
        <xdr:nvSpPr>
          <xdr:cNvPr id="751" name="凡例: ルートD名（表紙と連動）">
            <a:extLst>
              <a:ext uri="{FF2B5EF4-FFF2-40B4-BE49-F238E27FC236}">
                <a16:creationId xmlns:a16="http://schemas.microsoft.com/office/drawing/2014/main" id="{7B9C25FC-F807-405E-829F-CF984FCBAFAE}"/>
              </a:ext>
            </a:extLst>
          </xdr:cNvPr>
          <xdr:cNvSpPr/>
        </xdr:nvSpPr>
        <xdr:spPr>
          <a:xfrm>
            <a:off x="8072437" y="40185975"/>
            <a:ext cx="1338262" cy="190500"/>
          </a:xfrm>
          <a:prstGeom prst="rect">
            <a:avLst/>
          </a:prstGeom>
          <a:noFill/>
          <a:ln>
            <a:noFill/>
          </a:ln>
        </xdr:spPr>
        <xdr:txBody>
          <a:bodyPr vertOverflow="overflow" horzOverflow="overflow" wrap="square" lIns="12700" tIns="0" rIns="12700" bIns="0" rtlCol="0" anchor="ctr">
            <a:noAutofit/>
          </a:bodyPr>
          <a:lstStyle/>
          <a:p>
            <a:pPr algn="l"/>
            <a:fld id="{016D7FB1-7EC2-46C4-8A35-DC1032BA4CC6}" type="TxLink">
              <a:rPr lang="ja-JP" altLang="en-US" sz="750" b="0">
                <a:solidFill>
                  <a:srgbClr val="404040"/>
                </a:solidFill>
                <a:latin typeface="Meiryo UI"/>
                <a:ea typeface="Meiryo UI"/>
                <a:cs typeface="Meiryo UI"/>
              </a:rPr>
              <a:pPr algn="l"/>
              <a:t>現場・IoT連携</a:t>
            </a:fld>
            <a:endParaRPr lang="ja-JP" altLang="en-US" sz="750"/>
          </a:p>
        </xdr:txBody>
      </xdr:sp>
      <xdr:cxnSp macro="">
        <xdr:nvCxnSpPr>
          <xdr:cNvPr id="752" name="凡例: 線（ルートE）">
            <a:extLst>
              <a:ext uri="{FF2B5EF4-FFF2-40B4-BE49-F238E27FC236}">
                <a16:creationId xmlns:a16="http://schemas.microsoft.com/office/drawing/2014/main" id="{B7F16B25-AA2E-46B0-93D3-6255B456CA0D}"/>
              </a:ext>
            </a:extLst>
          </xdr:cNvPr>
          <xdr:cNvCxnSpPr/>
        </xdr:nvCxnSpPr>
        <xdr:spPr>
          <a:xfrm>
            <a:off x="1333500" y="40509825"/>
            <a:ext cx="419100" cy="0"/>
          </a:xfrm>
          <a:prstGeom prst="straightConnector1">
            <a:avLst/>
          </a:prstGeom>
          <a:ln w="19050" cap="flat">
            <a:solidFill>
              <a:srgbClr val="B04B68"/>
            </a:solidFill>
            <a:round/>
            <a:tailEnd type="triangle" w="med" len="med"/>
          </a:ln>
        </xdr:spPr>
      </xdr:cxnSp>
      <xdr:sp macro="" textlink="">
        <xdr:nvSpPr>
          <xdr:cNvPr id="753" name="凡例: 記号E">
            <a:extLst>
              <a:ext uri="{FF2B5EF4-FFF2-40B4-BE49-F238E27FC236}">
                <a16:creationId xmlns:a16="http://schemas.microsoft.com/office/drawing/2014/main" id="{D7E47708-1A8F-4D54-B7CA-62832E15048D}"/>
              </a:ext>
            </a:extLst>
          </xdr:cNvPr>
          <xdr:cNvSpPr/>
        </xdr:nvSpPr>
        <xdr:spPr>
          <a:xfrm>
            <a:off x="1809750" y="40433625"/>
            <a:ext cx="152400" cy="152400"/>
          </a:xfrm>
          <a:prstGeom prst="ellipse">
            <a:avLst/>
          </a:prstGeom>
          <a:solidFill>
            <a:srgbClr val="B04B68"/>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E</a:t>
            </a:r>
            <a:endParaRPr lang="ja-JP" altLang="en-US" sz="650" dirty="0">
              <a:latin typeface="Meiryo UI"/>
              <a:ea typeface="Meiryo UI"/>
            </a:endParaRPr>
          </a:p>
        </xdr:txBody>
      </xdr:sp>
      <xdr:sp macro="" textlink="表紙!$G$35">
        <xdr:nvSpPr>
          <xdr:cNvPr id="754" name="凡例: ルートE名（表紙と連動）">
            <a:extLst>
              <a:ext uri="{FF2B5EF4-FFF2-40B4-BE49-F238E27FC236}">
                <a16:creationId xmlns:a16="http://schemas.microsoft.com/office/drawing/2014/main" id="{9C1D53ED-9530-411E-AA42-E32497D4DBE6}"/>
              </a:ext>
            </a:extLst>
          </xdr:cNvPr>
          <xdr:cNvSpPr/>
        </xdr:nvSpPr>
        <xdr:spPr>
          <a:xfrm>
            <a:off x="2000250" y="40414575"/>
            <a:ext cx="1338262" cy="190500"/>
          </a:xfrm>
          <a:prstGeom prst="rect">
            <a:avLst/>
          </a:prstGeom>
          <a:noFill/>
          <a:ln>
            <a:noFill/>
          </a:ln>
        </xdr:spPr>
        <xdr:txBody>
          <a:bodyPr vertOverflow="overflow" horzOverflow="overflow" wrap="square" lIns="12700" tIns="0" rIns="12700" bIns="0" rtlCol="0" anchor="ctr">
            <a:noAutofit/>
          </a:bodyPr>
          <a:lstStyle/>
          <a:p>
            <a:pPr algn="l"/>
            <a:fld id="{B384AF04-0DF8-4049-A707-A1BC4D75D42D}" type="TxLink">
              <a:rPr lang="ja-JP" altLang="en-US" sz="750" b="0">
                <a:solidFill>
                  <a:srgbClr val="404040"/>
                </a:solidFill>
                <a:latin typeface="Meiryo UI"/>
                <a:ea typeface="Meiryo UI"/>
                <a:cs typeface="Meiryo UI"/>
              </a:rPr>
              <a:pPr algn="l"/>
              <a:t>パートナー連携</a:t>
            </a:fld>
            <a:endParaRPr lang="ja-JP" altLang="en-US" sz="750"/>
          </a:p>
        </xdr:txBody>
      </xdr:sp>
      <xdr:cxnSp macro="">
        <xdr:nvCxnSpPr>
          <xdr:cNvPr id="755" name="凡例: 線（ルートF）">
            <a:extLst>
              <a:ext uri="{FF2B5EF4-FFF2-40B4-BE49-F238E27FC236}">
                <a16:creationId xmlns:a16="http://schemas.microsoft.com/office/drawing/2014/main" id="{51EF57A7-220D-47BC-A6B2-574A0161D047}"/>
              </a:ext>
            </a:extLst>
          </xdr:cNvPr>
          <xdr:cNvCxnSpPr/>
        </xdr:nvCxnSpPr>
        <xdr:spPr>
          <a:xfrm>
            <a:off x="3357562" y="40509825"/>
            <a:ext cx="419100" cy="0"/>
          </a:xfrm>
          <a:prstGeom prst="straightConnector1">
            <a:avLst/>
          </a:prstGeom>
          <a:ln w="19050" cap="flat">
            <a:solidFill>
              <a:srgbClr val="6B651D"/>
            </a:solidFill>
            <a:round/>
            <a:tailEnd type="triangle" w="med" len="med"/>
          </a:ln>
        </xdr:spPr>
      </xdr:cxnSp>
      <xdr:sp macro="" textlink="">
        <xdr:nvSpPr>
          <xdr:cNvPr id="756" name="凡例: 記号F">
            <a:extLst>
              <a:ext uri="{FF2B5EF4-FFF2-40B4-BE49-F238E27FC236}">
                <a16:creationId xmlns:a16="http://schemas.microsoft.com/office/drawing/2014/main" id="{4A4E8941-C822-4CED-85F9-8E0F5E971C7C}"/>
              </a:ext>
            </a:extLst>
          </xdr:cNvPr>
          <xdr:cNvSpPr/>
        </xdr:nvSpPr>
        <xdr:spPr>
          <a:xfrm>
            <a:off x="3833812" y="40433625"/>
            <a:ext cx="152400" cy="152400"/>
          </a:xfrm>
          <a:prstGeom prst="ellipse">
            <a:avLst/>
          </a:prstGeom>
          <a:solidFill>
            <a:srgbClr val="6B651D"/>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F</a:t>
            </a:r>
            <a:endParaRPr lang="ja-JP" altLang="en-US" sz="650" dirty="0">
              <a:latin typeface="Meiryo UI"/>
              <a:ea typeface="Meiryo UI"/>
            </a:endParaRPr>
          </a:p>
        </xdr:txBody>
      </xdr:sp>
      <xdr:sp macro="" textlink="表紙!$G$36">
        <xdr:nvSpPr>
          <xdr:cNvPr id="757" name="凡例: ルートF名（表紙と連動）">
            <a:extLst>
              <a:ext uri="{FF2B5EF4-FFF2-40B4-BE49-F238E27FC236}">
                <a16:creationId xmlns:a16="http://schemas.microsoft.com/office/drawing/2014/main" id="{8FC62C74-5DC5-4EAC-BF5C-3C22E4D483DE}"/>
              </a:ext>
            </a:extLst>
          </xdr:cNvPr>
          <xdr:cNvSpPr/>
        </xdr:nvSpPr>
        <xdr:spPr>
          <a:xfrm>
            <a:off x="4024312" y="40414575"/>
            <a:ext cx="1338262" cy="190500"/>
          </a:xfrm>
          <a:prstGeom prst="rect">
            <a:avLst/>
          </a:prstGeom>
          <a:noFill/>
          <a:ln>
            <a:noFill/>
          </a:ln>
        </xdr:spPr>
        <xdr:txBody>
          <a:bodyPr vertOverflow="overflow" horzOverflow="overflow" wrap="square" lIns="12700" tIns="0" rIns="12700" bIns="0" rtlCol="0" anchor="ctr">
            <a:noAutofit/>
          </a:bodyPr>
          <a:lstStyle/>
          <a:p>
            <a:pPr algn="l"/>
            <a:fld id="{95F68B1A-48A4-47A9-A696-5DFB20EE3025}" type="TxLink">
              <a:rPr lang="ja-JP" altLang="en-US" sz="750" b="0">
                <a:solidFill>
                  <a:srgbClr val="404040"/>
                </a:solidFill>
                <a:latin typeface="Meiryo UI"/>
                <a:ea typeface="Meiryo UI"/>
                <a:cs typeface="Meiryo UI"/>
              </a:rPr>
              <a:pPr algn="l"/>
              <a:t>他クラウド連携</a:t>
            </a:fld>
            <a:endParaRPr lang="ja-JP" altLang="en-US" sz="750"/>
          </a:p>
        </xdr:txBody>
      </xdr:sp>
      <xdr:cxnSp macro="">
        <xdr:nvCxnSpPr>
          <xdr:cNvPr id="730" name="凡例: 線（共通）">
            <a:extLst>
              <a:ext uri="{FF2B5EF4-FFF2-40B4-BE49-F238E27FC236}">
                <a16:creationId xmlns:a16="http://schemas.microsoft.com/office/drawing/2014/main" id="{13639339-F54D-4D6D-A686-7D4D3907A73B}"/>
              </a:ext>
            </a:extLst>
          </xdr:cNvPr>
          <xdr:cNvCxnSpPr/>
        </xdr:nvCxnSpPr>
        <xdr:spPr>
          <a:xfrm>
            <a:off x="5381625" y="40509825"/>
            <a:ext cx="419100" cy="0"/>
          </a:xfrm>
          <a:prstGeom prst="straightConnector1">
            <a:avLst/>
          </a:prstGeom>
          <a:ln w="19050" cap="flat">
            <a:solidFill>
              <a:srgbClr val="404040"/>
            </a:solidFill>
            <a:round/>
            <a:tailEnd type="triangle" w="med" len="med"/>
          </a:ln>
        </xdr:spPr>
      </xdr:cxnSp>
      <xdr:sp macro="" textlink="">
        <xdr:nvSpPr>
          <xdr:cNvPr id="731" name="凡例: 共通">
            <a:extLst>
              <a:ext uri="{FF2B5EF4-FFF2-40B4-BE49-F238E27FC236}">
                <a16:creationId xmlns:a16="http://schemas.microsoft.com/office/drawing/2014/main" id="{B6A2AEEE-4581-4B91-AA82-7A091D8AB101}"/>
              </a:ext>
            </a:extLst>
          </xdr:cNvPr>
          <xdr:cNvSpPr/>
        </xdr:nvSpPr>
        <xdr:spPr>
          <a:xfrm>
            <a:off x="5857875" y="40414575"/>
            <a:ext cx="15287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共通（複数ルート・基盤）</a:t>
            </a:r>
            <a:endParaRPr lang="ja-JP" altLang="en-US" sz="750" dirty="0">
              <a:latin typeface="Meiryo UI"/>
              <a:ea typeface="Meiryo UI"/>
            </a:endParaRPr>
          </a:p>
        </xdr:txBody>
      </xdr:sp>
      <xdr:cxnSp macro="">
        <xdr:nvCxnSpPr>
          <xdr:cNvPr id="732" name="凡例: オンライン連携">
            <a:extLst>
              <a:ext uri="{FF2B5EF4-FFF2-40B4-BE49-F238E27FC236}">
                <a16:creationId xmlns:a16="http://schemas.microsoft.com/office/drawing/2014/main" id="{F7E3B865-8A82-4D61-B8FB-7A4641F9B5F1}"/>
              </a:ext>
            </a:extLst>
          </xdr:cNvPr>
          <xdr:cNvCxnSpPr/>
        </xdr:nvCxnSpPr>
        <xdr:spPr>
          <a:xfrm>
            <a:off x="1333500" y="40738425"/>
            <a:ext cx="419100" cy="0"/>
          </a:xfrm>
          <a:prstGeom prst="straightConnector1">
            <a:avLst/>
          </a:prstGeom>
          <a:ln w="19050" cap="flat">
            <a:solidFill>
              <a:srgbClr val="404040"/>
            </a:solidFill>
            <a:round/>
            <a:tailEnd type="triangle" w="med" len="med"/>
          </a:ln>
        </xdr:spPr>
      </xdr:cxnSp>
      <xdr:sp macro="" textlink="">
        <xdr:nvSpPr>
          <xdr:cNvPr id="733" name="凡例: 実線矢印：オンライン・イベント">
            <a:extLst>
              <a:ext uri="{FF2B5EF4-FFF2-40B4-BE49-F238E27FC236}">
                <a16:creationId xmlns:a16="http://schemas.microsoft.com/office/drawing/2014/main" id="{1D7C3F7D-B366-40F9-BA60-A714B277272F}"/>
              </a:ext>
            </a:extLst>
          </xdr:cNvPr>
          <xdr:cNvSpPr/>
        </xdr:nvSpPr>
        <xdr:spPr>
          <a:xfrm>
            <a:off x="1809750" y="40643175"/>
            <a:ext cx="15287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実線矢印：オンライン・イベント</a:t>
            </a:r>
            <a:endParaRPr lang="ja-JP" altLang="en-US" sz="750" dirty="0">
              <a:latin typeface="Meiryo UI"/>
              <a:ea typeface="Meiryo UI"/>
            </a:endParaRPr>
          </a:p>
        </xdr:txBody>
      </xdr:sp>
      <xdr:cxnSp macro="">
        <xdr:nvCxnSpPr>
          <xdr:cNvPr id="734" name="凡例: バッチ・ファイル">
            <a:extLst>
              <a:ext uri="{FF2B5EF4-FFF2-40B4-BE49-F238E27FC236}">
                <a16:creationId xmlns:a16="http://schemas.microsoft.com/office/drawing/2014/main" id="{9DD5F609-B2A5-4127-B3F9-85B58A0EEEF4}"/>
              </a:ext>
            </a:extLst>
          </xdr:cNvPr>
          <xdr:cNvCxnSpPr/>
        </xdr:nvCxnSpPr>
        <xdr:spPr>
          <a:xfrm>
            <a:off x="3357562" y="40738425"/>
            <a:ext cx="419100" cy="0"/>
          </a:xfrm>
          <a:prstGeom prst="straightConnector1">
            <a:avLst/>
          </a:prstGeom>
          <a:ln w="19050" cap="flat">
            <a:solidFill>
              <a:srgbClr val="404040"/>
            </a:solidFill>
            <a:prstDash val="dash"/>
            <a:round/>
            <a:tailEnd type="triangle" w="med" len="med"/>
          </a:ln>
        </xdr:spPr>
      </xdr:cxnSp>
      <xdr:sp macro="" textlink="">
        <xdr:nvSpPr>
          <xdr:cNvPr id="735" name="凡例: 破線矢印：バッチ・ファイル">
            <a:extLst>
              <a:ext uri="{FF2B5EF4-FFF2-40B4-BE49-F238E27FC236}">
                <a16:creationId xmlns:a16="http://schemas.microsoft.com/office/drawing/2014/main" id="{C681906B-0217-44A4-A9CA-3C7EFDE87580}"/>
              </a:ext>
            </a:extLst>
          </xdr:cNvPr>
          <xdr:cNvSpPr/>
        </xdr:nvSpPr>
        <xdr:spPr>
          <a:xfrm>
            <a:off x="3833812" y="40643175"/>
            <a:ext cx="15287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破線矢印：バッチ・ファイル</a:t>
            </a:r>
            <a:endParaRPr lang="ja-JP" altLang="en-US" sz="750" dirty="0">
              <a:latin typeface="Meiryo UI"/>
              <a:ea typeface="Meiryo UI"/>
            </a:endParaRPr>
          </a:p>
        </xdr:txBody>
      </xdr:sp>
      <xdr:cxnSp macro="">
        <xdr:nvCxnSpPr>
          <xdr:cNvPr id="736" name="凡例: 監視・運用">
            <a:extLst>
              <a:ext uri="{FF2B5EF4-FFF2-40B4-BE49-F238E27FC236}">
                <a16:creationId xmlns:a16="http://schemas.microsoft.com/office/drawing/2014/main" id="{B3B645D0-89F6-4829-9FF3-8D18A6EA3DF2}"/>
              </a:ext>
            </a:extLst>
          </xdr:cNvPr>
          <xdr:cNvCxnSpPr/>
        </xdr:nvCxnSpPr>
        <xdr:spPr>
          <a:xfrm>
            <a:off x="5381625" y="40738425"/>
            <a:ext cx="419100" cy="0"/>
          </a:xfrm>
          <a:prstGeom prst="straightConnector1">
            <a:avLst/>
          </a:prstGeom>
          <a:ln w="12700" cap="flat">
            <a:solidFill>
              <a:srgbClr val="404040"/>
            </a:solidFill>
            <a:prstDash val="sysDot"/>
            <a:round/>
            <a:tailEnd type="triangle" w="med" len="med"/>
          </a:ln>
        </xdr:spPr>
      </xdr:cxnSp>
      <xdr:sp macro="" textlink="">
        <xdr:nvSpPr>
          <xdr:cNvPr id="737" name="凡例: 点線矢印：監視・運用">
            <a:extLst>
              <a:ext uri="{FF2B5EF4-FFF2-40B4-BE49-F238E27FC236}">
                <a16:creationId xmlns:a16="http://schemas.microsoft.com/office/drawing/2014/main" id="{8AB28BD8-42A4-4C2F-BC56-D344B1D07D7C}"/>
              </a:ext>
            </a:extLst>
          </xdr:cNvPr>
          <xdr:cNvSpPr/>
        </xdr:nvSpPr>
        <xdr:spPr>
          <a:xfrm>
            <a:off x="5857875" y="40643175"/>
            <a:ext cx="15287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点線矢印：監視・運用</a:t>
            </a:r>
            <a:endParaRPr lang="ja-JP" altLang="en-US" sz="750" dirty="0">
              <a:latin typeface="Meiryo UI"/>
              <a:ea typeface="Meiryo UI"/>
            </a:endParaRPr>
          </a:p>
        </xdr:txBody>
      </xdr:sp>
      <xdr:cxnSp macro="">
        <xdr:nvCxnSpPr>
          <xdr:cNvPr id="738" name="凡例: 専用線・閉域網">
            <a:extLst>
              <a:ext uri="{FF2B5EF4-FFF2-40B4-BE49-F238E27FC236}">
                <a16:creationId xmlns:a16="http://schemas.microsoft.com/office/drawing/2014/main" id="{6B960FE8-071D-41D5-87BE-D52FF3A511CD}"/>
              </a:ext>
            </a:extLst>
          </xdr:cNvPr>
          <xdr:cNvCxnSpPr/>
        </xdr:nvCxnSpPr>
        <xdr:spPr>
          <a:xfrm>
            <a:off x="7405688" y="40738425"/>
            <a:ext cx="419100" cy="0"/>
          </a:xfrm>
          <a:prstGeom prst="straightConnector1">
            <a:avLst/>
          </a:prstGeom>
          <a:ln w="38100" cap="flat">
            <a:solidFill>
              <a:srgbClr val="404040"/>
            </a:solidFill>
            <a:round/>
          </a:ln>
        </xdr:spPr>
      </xdr:cxnSp>
      <xdr:sp macro="" textlink="">
        <xdr:nvSpPr>
          <xdr:cNvPr id="739" name="凡例: 太線：専用線・閉域網">
            <a:extLst>
              <a:ext uri="{FF2B5EF4-FFF2-40B4-BE49-F238E27FC236}">
                <a16:creationId xmlns:a16="http://schemas.microsoft.com/office/drawing/2014/main" id="{3E8479AB-B533-4136-A5DC-C00B3B5548F0}"/>
              </a:ext>
            </a:extLst>
          </xdr:cNvPr>
          <xdr:cNvSpPr/>
        </xdr:nvSpPr>
        <xdr:spPr>
          <a:xfrm>
            <a:off x="7881938" y="40643175"/>
            <a:ext cx="15287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太線：専用線・閉域網</a:t>
            </a:r>
            <a:endParaRPr lang="ja-JP" altLang="en-US" sz="750" dirty="0">
              <a:latin typeface="Meiryo UI"/>
              <a:ea typeface="Meiryo UI"/>
            </a:endParaRPr>
          </a:p>
        </xdr:txBody>
      </xdr:sp>
      <xdr:sp macro="" textlink="">
        <xdr:nvSpPr>
          <xdr:cNvPr id="740" name="凡例: 角丸">
            <a:extLst>
              <a:ext uri="{FF2B5EF4-FFF2-40B4-BE49-F238E27FC236}">
                <a16:creationId xmlns:a16="http://schemas.microsoft.com/office/drawing/2014/main" id="{173F79FA-34B7-4D8E-AC32-FD5D8BFE027A}"/>
              </a:ext>
            </a:extLst>
          </xdr:cNvPr>
          <xdr:cNvSpPr/>
        </xdr:nvSpPr>
        <xdr:spPr>
          <a:xfrm>
            <a:off x="1333500" y="40881300"/>
            <a:ext cx="304800" cy="171450"/>
          </a:xfrm>
          <a:custGeom>
            <a:avLst/>
            <a:gdLst>
              <a:gd name="x1" fmla="*/ w 1 4"/>
              <a:gd name="x2" fmla="*/ w 1 2"/>
              <a:gd name="x3" fmla="*/ w 3 4"/>
              <a:gd name="y1" fmla="*/ h 1 4"/>
              <a:gd name="y2" fmla="*/ h 1 2"/>
              <a:gd name="y3" fmla="*/ h 3 4"/>
              <a:gd name="smin" fmla="min w h"/>
              <a:gd name="hm" fmla="*/ smin 1 2"/>
              <a:gd name="rd" fmla="min 38100 hm"/>
              <a:gd name="rx" fmla="+- r 0 rd"/>
              <a:gd name="by" fmla="+- b 0 rd"/>
            </a:gdLst>
            <a:ahLst/>
            <a:cxnLst>
              <a:cxn ang="10800000">
                <a:pos x="l" y="t"/>
              </a:cxn>
              <a:cxn ang="16200000">
                <a:pos x="x1" y="t"/>
              </a:cxn>
              <a:cxn ang="16200000">
                <a:pos x="x2" y="t"/>
              </a:cxn>
              <a:cxn ang="16200000">
                <a:pos x="x3" y="t"/>
              </a:cxn>
              <a:cxn ang="0">
                <a:pos x="r" y="t"/>
              </a:cxn>
              <a:cxn ang="0">
                <a:pos x="r" y="y1"/>
              </a:cxn>
              <a:cxn ang="0">
                <a:pos x="r" y="y2"/>
              </a:cxn>
              <a:cxn ang="0">
                <a:pos x="r" y="y3"/>
              </a:cxn>
              <a:cxn ang="0">
                <a:pos x="r" y="b"/>
              </a:cxn>
              <a:cxn ang="5400000">
                <a:pos x="x3" y="b"/>
              </a:cxn>
              <a:cxn ang="5400000">
                <a:pos x="x2" y="b"/>
              </a:cxn>
              <a:cxn ang="5400000">
                <a:pos x="x1" y="b"/>
              </a:cxn>
              <a:cxn ang="10800000">
                <a:pos x="l" y="b"/>
              </a:cxn>
              <a:cxn ang="10800000">
                <a:pos x="l" y="y3"/>
              </a:cxn>
              <a:cxn ang="10800000">
                <a:pos x="l" y="y2"/>
              </a:cxn>
              <a:cxn ang="10800000">
                <a:pos x="l" y="y1"/>
              </a:cxn>
            </a:cxnLst>
            <a:rect l="l" t="t" r="r" b="b"/>
            <a:pathLst>
              <a:path>
                <a:moveTo>
                  <a:pt x="rd" y="t"/>
                </a:moveTo>
                <a:lnTo>
                  <a:pt x="rx" y="t"/>
                </a:lnTo>
                <a:arcTo wR="rd" hR="rd" stAng="16200000" swAng="5400000"/>
                <a:lnTo>
                  <a:pt x="r" y="by"/>
                </a:lnTo>
                <a:arcTo wR="rd" hR="rd" stAng="0" swAng="5400000"/>
                <a:lnTo>
                  <a:pt x="rd" y="b"/>
                </a:lnTo>
                <a:arcTo wR="rd" hR="rd" stAng="5400000" swAng="5400000"/>
                <a:lnTo>
                  <a:pt x="l" y="rd"/>
                </a:lnTo>
                <a:arcTo wR="rd" hR="rd" stAng="10800000" swAng="5400000"/>
                <a:close/>
              </a:path>
            </a:pathLst>
          </a:custGeom>
          <a:solidFill>
            <a:srgbClr val="FFFFFF"/>
          </a:solidFill>
          <a:ln w="9525" cap="flat">
            <a:solidFill>
              <a:srgbClr val="404040"/>
            </a:solidFill>
            <a:round/>
          </a:ln>
        </xdr:spPr>
        <xdr:txBody>
          <a:bodyPr vertOverflow="overflow" horzOverflow="overflow" wrap="square" lIns="38100" tIns="19050" rIns="38100" bIns="19050" rtlCol="0" anchor="ctr">
            <a:noAutofit/>
          </a:bodyPr>
          <a:lstStyle/>
          <a:p>
            <a:pPr algn="ctr"/>
            <a:endParaRPr lang="ja-JP" altLang="en-US" sz="600" dirty="0">
              <a:latin typeface="Meiryo UI"/>
              <a:ea typeface="Meiryo UI"/>
            </a:endParaRPr>
          </a:p>
        </xdr:txBody>
      </xdr:sp>
      <xdr:sp macro="" textlink="">
        <xdr:nvSpPr>
          <xdr:cNvPr id="741" name="凡例: 円柱">
            <a:extLst>
              <a:ext uri="{FF2B5EF4-FFF2-40B4-BE49-F238E27FC236}">
                <a16:creationId xmlns:a16="http://schemas.microsoft.com/office/drawing/2014/main" id="{A0EBC3C8-1F96-4668-8A52-CAFA414DA5DE}"/>
              </a:ext>
            </a:extLst>
          </xdr:cNvPr>
          <xdr:cNvSpPr/>
        </xdr:nvSpPr>
        <xdr:spPr>
          <a:xfrm>
            <a:off x="1676400" y="40862250"/>
            <a:ext cx="171450" cy="209550"/>
          </a:xfrm>
          <a:custGeom>
            <a:avLst/>
            <a:gdLst>
              <a:gd name="x1" fmla="*/ w 1 4"/>
              <a:gd name="x2" fmla="*/ w 1 2"/>
              <a:gd name="x3" fmla="*/ w 3 4"/>
              <a:gd name="y1" fmla="*/ h 1 4"/>
              <a:gd name="y2" fmla="*/ h 1 2"/>
              <a:gd name="y3" fmla="*/ h 3 4"/>
              <a:gd name="smin" fmla="min w h"/>
              <a:gd name="ry" fmla="*/ smin 1 8"/>
              <a:gd name="wr" fmla="*/ w 1 2"/>
              <a:gd name="ty" fmla="*/ ry 13397 100000"/>
              <a:gd name="by" fmla="+- b 0 ty"/>
              <a:gd name="y4" fmla="+- b 0 ry"/>
              <a:gd name="ry2" fmla="*/ ry 2 1"/>
            </a:gdLst>
            <a:ahLst/>
            <a:cxnLst>
              <a:cxn ang="10800000">
                <a:pos x="l" y="ry"/>
              </a:cxn>
              <a:cxn ang="16200000">
                <a:pos x="x1" y="ty"/>
              </a:cxn>
              <a:cxn ang="16200000">
                <a:pos x="x2" y="t"/>
              </a:cxn>
              <a:cxn ang="16200000">
                <a:pos x="x3" y="ty"/>
              </a:cxn>
              <a:cxn ang="0">
                <a:pos x="r" y="ry"/>
              </a:cxn>
              <a:cxn ang="0">
                <a:pos x="r" y="y1"/>
              </a:cxn>
              <a:cxn ang="0">
                <a:pos x="r" y="y2"/>
              </a:cxn>
              <a:cxn ang="0">
                <a:pos x="r" y="y3"/>
              </a:cxn>
              <a:cxn ang="0">
                <a:pos x="r" y="y4"/>
              </a:cxn>
              <a:cxn ang="5400000">
                <a:pos x="x3" y="by"/>
              </a:cxn>
              <a:cxn ang="5400000">
                <a:pos x="x2" y="b"/>
              </a:cxn>
              <a:cxn ang="5400000">
                <a:pos x="x1" y="by"/>
              </a:cxn>
              <a:cxn ang="10800000">
                <a:pos x="l" y="y4"/>
              </a:cxn>
              <a:cxn ang="10800000">
                <a:pos x="l" y="y3"/>
              </a:cxn>
              <a:cxn ang="10800000">
                <a:pos x="l" y="y2"/>
              </a:cxn>
              <a:cxn ang="10800000">
                <a:pos x="l" y="y1"/>
              </a:cxn>
            </a:cxnLst>
            <a:rect l="l" t="t" r="r" b="b"/>
            <a:pathLst>
              <a:path stroke="0" extrusionOk="0">
                <a:moveTo>
                  <a:pt x="l" y="ry"/>
                </a:moveTo>
                <a:arcTo wR="wr" hR="ry" stAng="10800000" swAng="-10800000"/>
                <a:lnTo>
                  <a:pt x="r" y="y4"/>
                </a:lnTo>
                <a:arcTo wR="wr" hR="ry" stAng="0" swAng="10800000"/>
                <a:close/>
              </a:path>
              <a:path fill="lighten" stroke="0" extrusionOk="0">
                <a:moveTo>
                  <a:pt x="l" y="ry"/>
                </a:moveTo>
                <a:arcTo wR="wr" hR="ry" stAng="10800000" swAng="10800000"/>
                <a:arcTo wR="wr" hR="ry" stAng="0" swAng="10800000"/>
                <a:close/>
              </a:path>
              <a:path fill="none" extrusionOk="0">
                <a:moveTo>
                  <a:pt x="r" y="ry"/>
                </a:moveTo>
                <a:arcTo wR="wr" hR="ry" stAng="0" swAng="10800000"/>
                <a:arcTo wR="wr" hR="ry" stAng="10800000" swAng="10800000"/>
                <a:lnTo>
                  <a:pt x="r" y="y4"/>
                </a:lnTo>
                <a:arcTo wR="wr" hR="ry" stAng="0" swAng="10800000"/>
                <a:lnTo>
                  <a:pt x="l" y="ry"/>
                </a:lnTo>
              </a:path>
            </a:pathLst>
          </a:custGeom>
          <a:solidFill>
            <a:srgbClr val="FFFFFF"/>
          </a:solidFill>
          <a:ln w="9525" cap="flat">
            <a:solidFill>
              <a:srgbClr val="404040"/>
            </a:solidFill>
            <a:round/>
          </a:ln>
        </xdr:spPr>
        <xdr:txBody>
          <a:bodyPr vertOverflow="overflow" horzOverflow="overflow" wrap="square" lIns="38100" tIns="19050" rIns="38100" bIns="19050" rtlCol="0" anchor="ctr">
            <a:noAutofit/>
          </a:bodyPr>
          <a:lstStyle/>
          <a:p>
            <a:pPr algn="ctr"/>
            <a:endParaRPr lang="ja-JP" altLang="en-US" sz="600" dirty="0">
              <a:latin typeface="Meiryo UI"/>
              <a:ea typeface="Meiryo UI"/>
            </a:endParaRPr>
          </a:p>
        </xdr:txBody>
      </xdr:sp>
      <xdr:sp macro="" textlink="">
        <xdr:nvSpPr>
          <xdr:cNvPr id="742" name="凡例: 図形の説明">
            <a:extLst>
              <a:ext uri="{FF2B5EF4-FFF2-40B4-BE49-F238E27FC236}">
                <a16:creationId xmlns:a16="http://schemas.microsoft.com/office/drawing/2014/main" id="{99C1D4A0-6EB4-4A19-986C-4834F317B67A}"/>
              </a:ext>
            </a:extLst>
          </xdr:cNvPr>
          <xdr:cNvSpPr/>
        </xdr:nvSpPr>
        <xdr:spPr>
          <a:xfrm>
            <a:off x="1885950" y="40871775"/>
            <a:ext cx="145256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システム・サービス／DB</a:t>
            </a:r>
            <a:endParaRPr lang="ja-JP" altLang="en-US" sz="750" dirty="0">
              <a:latin typeface="Meiryo UI"/>
              <a:ea typeface="Meiryo UI"/>
            </a:endParaRPr>
          </a:p>
        </xdr:txBody>
      </xdr:sp>
      <xdr:sp macro="" textlink="">
        <xdr:nvSpPr>
          <xdr:cNvPr id="743" name="凡例: 番号">
            <a:extLst>
              <a:ext uri="{FF2B5EF4-FFF2-40B4-BE49-F238E27FC236}">
                <a16:creationId xmlns:a16="http://schemas.microsoft.com/office/drawing/2014/main" id="{127055F7-CFB2-43E1-9DF8-450B60EC182B}"/>
              </a:ext>
            </a:extLst>
          </xdr:cNvPr>
          <xdr:cNvSpPr/>
        </xdr:nvSpPr>
        <xdr:spPr>
          <a:xfrm>
            <a:off x="3357562" y="40881300"/>
            <a:ext cx="304800" cy="171450"/>
          </a:xfrm>
          <a:prstGeom prst="roundRect">
            <a:avLst>
              <a:gd name="adj" fmla="val 50000"/>
            </a:avLst>
          </a:prstGeom>
          <a:solidFill>
            <a:srgbClr val="315C92"/>
          </a:solidFill>
          <a:ln>
            <a:noFill/>
          </a:ln>
        </xdr:spPr>
        <xdr:txBody>
          <a:bodyPr vertOverflow="overflow" horzOverflow="overflow" wrap="none" lIns="0" tIns="0" rIns="0" bIns="0" rtlCol="0" anchor="ctr">
            <a:noAutofit/>
          </a:bodyPr>
          <a:lstStyle/>
          <a:p>
            <a:pPr algn="ctr"/>
            <a:r>
              <a:rPr lang="ja-JP" altLang="en-US" sz="650" b="1" dirty="0">
                <a:solidFill>
                  <a:srgbClr val="FFFFFF"/>
                </a:solidFill>
                <a:latin typeface="Meiryo UI"/>
                <a:ea typeface="Meiryo UI"/>
                <a:cs typeface="Meiryo UI"/>
              </a:rPr>
              <a:t>A1</a:t>
            </a:r>
            <a:endParaRPr lang="ja-JP" altLang="en-US" sz="650" dirty="0">
              <a:latin typeface="Meiryo UI"/>
              <a:ea typeface="Meiryo UI"/>
            </a:endParaRPr>
          </a:p>
        </xdr:txBody>
      </xdr:sp>
      <xdr:sp macro="" textlink="">
        <xdr:nvSpPr>
          <xdr:cNvPr id="744" name="凡例: 番号の説明">
            <a:extLst>
              <a:ext uri="{FF2B5EF4-FFF2-40B4-BE49-F238E27FC236}">
                <a16:creationId xmlns:a16="http://schemas.microsoft.com/office/drawing/2014/main" id="{EAF37D4A-C325-49FD-8DA5-B5FE8E5DA7B1}"/>
              </a:ext>
            </a:extLst>
          </xdr:cNvPr>
          <xdr:cNvSpPr/>
        </xdr:nvSpPr>
        <xdr:spPr>
          <a:xfrm>
            <a:off x="3700462" y="40871775"/>
            <a:ext cx="166211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連携番号（→連携一覧）</a:t>
            </a:r>
            <a:endParaRPr lang="ja-JP" altLang="en-US" sz="750" dirty="0">
              <a:latin typeface="Meiryo UI"/>
              <a:ea typeface="Meiryo UI"/>
            </a:endParaRPr>
          </a:p>
        </xdr:txBody>
      </xdr:sp>
      <xdr:sp macro="" textlink="">
        <xdr:nvSpPr>
          <xdr:cNvPr id="745" name="凡例: ポイント">
            <a:extLst>
              <a:ext uri="{FF2B5EF4-FFF2-40B4-BE49-F238E27FC236}">
                <a16:creationId xmlns:a16="http://schemas.microsoft.com/office/drawing/2014/main" id="{1FA24546-7B0B-44BA-B195-8662B8BEC48D}"/>
              </a:ext>
            </a:extLst>
          </xdr:cNvPr>
          <xdr:cNvSpPr/>
        </xdr:nvSpPr>
        <xdr:spPr>
          <a:xfrm>
            <a:off x="5381625" y="40881300"/>
            <a:ext cx="304800" cy="171450"/>
          </a:xfrm>
          <a:prstGeom prst="rect">
            <a:avLst/>
          </a:prstGeom>
          <a:solidFill>
            <a:srgbClr val="315C92"/>
          </a:solidFill>
          <a:ln>
            <a:noFill/>
          </a:ln>
        </xdr:spPr>
        <xdr:txBody>
          <a:bodyPr vertOverflow="overflow" horzOverflow="overflow" wrap="none" lIns="0" tIns="0" rIns="0" bIns="0" rtlCol="0" anchor="ctr">
            <a:noAutofit/>
          </a:bodyPr>
          <a:lstStyle/>
          <a:p>
            <a:pPr algn="ctr"/>
            <a:r>
              <a:rPr lang="ja-JP" altLang="en-US" sz="500" b="1" dirty="0">
                <a:solidFill>
                  <a:srgbClr val="FFFFFF"/>
                </a:solidFill>
                <a:latin typeface="Meiryo UI"/>
                <a:ea typeface="Meiryo UI"/>
                <a:cs typeface="Meiryo UI"/>
              </a:rPr>
              <a:t>POINT</a:t>
            </a:r>
            <a:endParaRPr lang="ja-JP" altLang="en-US" sz="500" dirty="0">
              <a:latin typeface="Meiryo UI"/>
              <a:ea typeface="Meiryo UI"/>
            </a:endParaRPr>
          </a:p>
        </xdr:txBody>
      </xdr:sp>
      <xdr:sp macro="" textlink="">
        <xdr:nvSpPr>
          <xdr:cNvPr id="746" name="凡例: ポイントの説明">
            <a:extLst>
              <a:ext uri="{FF2B5EF4-FFF2-40B4-BE49-F238E27FC236}">
                <a16:creationId xmlns:a16="http://schemas.microsoft.com/office/drawing/2014/main" id="{7C5D87DE-2EA2-4777-ACE0-EB0B373833BB}"/>
              </a:ext>
            </a:extLst>
          </xdr:cNvPr>
          <xdr:cNvSpPr/>
        </xdr:nvSpPr>
        <xdr:spPr>
          <a:xfrm>
            <a:off x="5724525" y="40871775"/>
            <a:ext cx="166211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ポイント・付記（ルート色）</a:t>
            </a:r>
            <a:endParaRPr lang="ja-JP" altLang="en-US" sz="750" dirty="0">
              <a:latin typeface="Meiryo UI"/>
              <a:ea typeface="Meiryo UI"/>
            </a:endParaRPr>
          </a:p>
        </xdr:txBody>
      </xdr:sp>
      <xdr:sp macro="" textlink="">
        <xdr:nvSpPr>
          <xdr:cNvPr id="747" name="凡例: 新規">
            <a:extLst>
              <a:ext uri="{FF2B5EF4-FFF2-40B4-BE49-F238E27FC236}">
                <a16:creationId xmlns:a16="http://schemas.microsoft.com/office/drawing/2014/main" id="{71F0DE13-E7D5-4C4D-B9D4-29F3D4F9A023}"/>
              </a:ext>
            </a:extLst>
          </xdr:cNvPr>
          <xdr:cNvSpPr/>
        </xdr:nvSpPr>
        <xdr:spPr>
          <a:xfrm>
            <a:off x="7405688" y="40881300"/>
            <a:ext cx="304800" cy="171450"/>
          </a:xfrm>
          <a:prstGeom prst="rect">
            <a:avLst/>
          </a:prstGeom>
          <a:noFill/>
          <a:ln w="12700" cap="flat">
            <a:solidFill>
              <a:srgbClr val="C00000"/>
            </a:solidFill>
            <a:prstDash val="dash"/>
            <a:round/>
          </a:ln>
        </xdr:spPr>
        <xdr:txBody>
          <a:bodyPr vertOverflow="overflow" horzOverflow="overflow" wrap="square" lIns="38100" tIns="19050" rIns="38100" bIns="19050" rtlCol="0" anchor="ctr">
            <a:noAutofit/>
          </a:bodyPr>
          <a:lstStyle/>
          <a:p>
            <a:pPr algn="ctr"/>
            <a:endParaRPr lang="ja-JP" altLang="en-US" sz="600" dirty="0">
              <a:latin typeface="Meiryo UI"/>
              <a:ea typeface="Meiryo UI"/>
            </a:endParaRPr>
          </a:p>
        </xdr:txBody>
      </xdr:sp>
      <xdr:sp macro="" textlink="">
        <xdr:nvSpPr>
          <xdr:cNvPr id="748" name="凡例: 新規の説明">
            <a:extLst>
              <a:ext uri="{FF2B5EF4-FFF2-40B4-BE49-F238E27FC236}">
                <a16:creationId xmlns:a16="http://schemas.microsoft.com/office/drawing/2014/main" id="{3F7A1E2A-E55C-4DCF-BCA2-85C82CD9CE79}"/>
              </a:ext>
            </a:extLst>
          </xdr:cNvPr>
          <xdr:cNvSpPr/>
        </xdr:nvSpPr>
        <xdr:spPr>
          <a:xfrm>
            <a:off x="7748587" y="40871775"/>
            <a:ext cx="1662112" cy="190500"/>
          </a:xfrm>
          <a:prstGeom prst="rect">
            <a:avLst/>
          </a:prstGeom>
          <a:noFill/>
          <a:ln>
            <a:noFill/>
          </a:ln>
        </xdr:spPr>
        <xdr:txBody>
          <a:bodyPr vertOverflow="overflow" horzOverflow="overflow" wrap="square" lIns="12700" tIns="0" rIns="12700" bIns="0" rtlCol="0" anchor="ctr">
            <a:noAutofit/>
          </a:bodyPr>
          <a:lstStyle/>
          <a:p>
            <a:pPr algn="l"/>
            <a:r>
              <a:rPr lang="ja-JP" altLang="en-US" sz="750" b="0" dirty="0">
                <a:solidFill>
                  <a:srgbClr val="404040"/>
                </a:solidFill>
                <a:latin typeface="Meiryo UI"/>
                <a:ea typeface="Meiryo UI"/>
                <a:cs typeface="Meiryo UI"/>
              </a:rPr>
              <a:t>新規・変更箇所（赤破線）</a:t>
            </a:r>
            <a:endParaRPr lang="ja-JP" altLang="en-US" sz="750" dirty="0">
              <a:latin typeface="Meiryo UI"/>
              <a:ea typeface="Meiryo UI"/>
            </a:endParaRPr>
          </a:p>
        </xdr:txBody>
      </xdr:sp>
    </xdr:grp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Flows" displayName="tblFlows" ref="B5:L65" totalsRowShown="0">
  <autoFilter ref="B5:L65" xr:uid="{00000000-0009-0000-0100-000001000000}"/>
  <tableColumns count="11">
    <tableColumn id="1" xr3:uid="{00000000-0010-0000-0000-000001000000}" name="No." dataDxfId="26"/>
    <tableColumn id="2" xr3:uid="{00000000-0010-0000-0000-000002000000}" name="ルート" dataDxfId="25"/>
    <tableColumn id="3" xr3:uid="{00000000-0010-0000-0000-000003000000}" name="連携元" dataDxfId="24"/>
    <tableColumn id="4" xr3:uid="{00000000-0010-0000-0000-000004000000}" name="連携先" dataDxfId="23"/>
    <tableColumn id="5" xr3:uid="{00000000-0010-0000-0000-000005000000}" name="連携方式" dataDxfId="22"/>
    <tableColumn id="6" xr3:uid="{00000000-0010-0000-0000-000006000000}" name="データ・内容" dataDxfId="21"/>
    <tableColumn id="7" xr3:uid="{00000000-0010-0000-0000-000007000000}" name="タイミング・頻度" dataDxfId="20"/>
    <tableColumn id="8" xr3:uid="{00000000-0010-0000-0000-000008000000}" name="経路（回線）" dataDxfId="19"/>
    <tableColumn id="9" xr3:uid="{00000000-0010-0000-0000-000009000000}" name="プロトコル・認証" dataDxfId="18"/>
    <tableColumn id="10" xr3:uid="{00000000-0010-0000-0000-00000A000000}" name="方向" dataDxfId="17"/>
    <tableColumn id="11" xr3:uid="{00000000-0010-0000-0000-00000B000000}" name="備考" dataDxfId="16"/>
  </tableColumns>
  <tableStyleInfo name="TableStyleLight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Nodes" displayName="tblNodes" ref="B5:I65" totalsRowShown="0">
  <autoFilter ref="B5:I65" xr:uid="{00000000-0009-0000-0100-000002000000}"/>
  <tableColumns count="8">
    <tableColumn id="1" xr3:uid="{00000000-0010-0000-0100-000001000000}" name="ID" dataDxfId="15"/>
    <tableColumn id="2" xr3:uid="{00000000-0010-0000-0100-000002000000}" name="ルート" dataDxfId="14"/>
    <tableColumn id="3" xr3:uid="{00000000-0010-0000-0100-000003000000}" name="名称（図の表記）" dataDxfId="13"/>
    <tableColumn id="4" xr3:uid="{00000000-0010-0000-0100-000004000000}" name="種別（サービス・製品）" dataDxfId="12"/>
    <tableColumn id="5" xr3:uid="{00000000-0010-0000-0100-000005000000}" name="役割・用途" dataDxfId="11"/>
    <tableColumn id="6" xr3:uid="{00000000-0010-0000-0100-000006000000}" name="配置先（ゾーン）" dataDxfId="10"/>
    <tableColumn id="7" xr3:uid="{00000000-0010-0000-0100-000007000000}" name="図形" dataDxfId="9"/>
    <tableColumn id="8" xr3:uid="{00000000-0010-0000-0100-000008000000}" name="備考" dataDxfId="8"/>
  </tableColumns>
  <tableStyleInfo name="TableStyleLight1" showFirstColumn="0"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62626"/>
    <pageSetUpPr fitToPage="1"/>
  </sheetPr>
  <dimension ref="A1:BX51"/>
  <sheetViews>
    <sheetView showGridLines="0" tabSelected="1" zoomScale="85" zoomScaleNormal="85" workbookViewId="0"/>
  </sheetViews>
  <sheetFormatPr defaultRowHeight="15" customHeight="1" x14ac:dyDescent="0.25"/>
  <cols>
    <col min="1" max="161" width="2.80859375" customWidth="1"/>
  </cols>
  <sheetData>
    <row r="1" ht="15" customHeight="1" x14ac:dyDescent="0.25">
      <c r="A1" s="1"/>
    </row>
    <row r="2" ht="15" customHeight="1" x14ac:dyDescent="0.25">
      <c r="A2" s="1"/>
    </row>
    <row r="3" ht="15" customHeight="1" x14ac:dyDescent="0.25">
      <c r="A3" s="1"/>
      <c r="C3" s="17" t="s">
        <v>0</v>
      </c>
      <c r="D3" s="17"/>
      <c r="E3" s="17"/>
      <c r="F3" s="17"/>
      <c r="G3" s="17"/>
      <c r="H3" s="17"/>
      <c r="I3" s="17"/>
      <c r="J3" s="17"/>
      <c r="K3" s="17"/>
      <c r="L3" s="17"/>
      <c r="M3" s="17"/>
      <c r="N3" s="17"/>
      <c r="O3" s="17"/>
      <c r="P3" s="17"/>
      <c r="Q3" s="17"/>
      <c r="R3" s="17"/>
      <c r="S3" s="17"/>
      <c r="T3" s="17"/>
      <c r="U3" s="17"/>
      <c r="V3" s="17"/>
      <c r="W3" s="17"/>
      <c r="X3" s="17"/>
      <c r="Y3" s="17"/>
      <c r="Z3" s="17"/>
      <c r="AA3" s="17"/>
      <c r="AB3" s="17"/>
      <c r="AC3" s="17"/>
      <c r="AD3" s="17"/>
      <c r="AE3" s="17"/>
      <c r="AF3" s="17"/>
      <c r="AG3" s="17"/>
      <c r="AH3" s="17"/>
      <c r="AI3" s="17"/>
      <c r="AJ3" s="17"/>
      <c r="AK3" s="17"/>
      <c r="AL3" s="17"/>
      <c r="AM3" s="17"/>
      <c r="AN3" s="17"/>
      <c r="AO3" s="17"/>
    </row>
    <row r="4" ht="15" customHeight="1" x14ac:dyDescent="0.25">
      <c r="A4" s="1"/>
    </row>
    <row r="5" ht="15" customHeight="1" x14ac:dyDescent="0.25">
      <c r="A5" s="1"/>
      <c r="C5" s="18" t="str">
        <f>IF(システム名="","",システム名&amp;"　")&amp;文書名</f>
        <v>○○システム　システム構成図</v>
      </c>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row>
    <row r="6" ht="15" customHeight="1" x14ac:dyDescent="0.25">
      <c r="A6" s="1"/>
      <c r="C6" s="18"/>
      <c r="D6" s="18"/>
      <c r="E6" s="18"/>
      <c r="F6" s="18"/>
      <c r="G6" s="18"/>
      <c r="H6" s="18"/>
      <c r="I6" s="18"/>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row>
    <row r="7" ht="15" customHeight="1" x14ac:dyDescent="0.25">
      <c r="A7" s="1"/>
      <c r="C7" s="18"/>
      <c r="D7" s="18"/>
      <c r="E7" s="18"/>
      <c r="F7" s="18"/>
      <c r="G7" s="18"/>
      <c r="H7" s="18"/>
      <c r="I7" s="18"/>
      <c r="J7" s="18"/>
      <c r="K7" s="18"/>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row>
    <row r="8" ht="15" customHeight="1" x14ac:dyDescent="0.25">
      <c r="A8" s="1"/>
    </row>
    <row r="9" ht="15" customHeight="1" x14ac:dyDescent="0.25">
      <c r="A9" s="1"/>
      <c r="C9" s="19" t="s">
        <v>1</v>
      </c>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c r="BM9" s="19"/>
      <c r="BN9" s="19"/>
      <c r="BO9" s="19"/>
      <c r="BP9" s="19"/>
      <c r="BQ9" s="19"/>
      <c r="BR9" s="19"/>
      <c r="BS9" s="19"/>
      <c r="BT9" s="19"/>
      <c r="BU9" s="19"/>
      <c r="BV9" s="19"/>
    </row>
    <row r="10" ht="15" customHeight="1" x14ac:dyDescent="0.25">
      <c r="A10" s="1"/>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c r="BM10" s="19"/>
      <c r="BN10" s="19"/>
      <c r="BO10" s="19"/>
      <c r="BP10" s="19"/>
      <c r="BQ10" s="19"/>
      <c r="BR10" s="19"/>
      <c r="BS10" s="19"/>
      <c r="BT10" s="19"/>
      <c r="BU10" s="19"/>
      <c r="BV10" s="19"/>
    </row>
    <row r="11" ht="15" customHeight="1" x14ac:dyDescent="0.25">
      <c r="A11" s="1"/>
    </row>
    <row r="12" ht="15" customHeight="1" x14ac:dyDescent="0.25">
      <c r="A12" s="1"/>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2"/>
      <c r="BV12" s="2"/>
    </row>
    <row r="13" ht="15" customHeight="1" x14ac:dyDescent="0.25">
      <c r="A13" s="1"/>
    </row>
    <row r="14" ht="15" customHeight="1" x14ac:dyDescent="0.25">
      <c r="A14" s="1"/>
      <c r="C14" s="20" t="s">
        <v>2</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K14" s="20" t="s">
        <v>21</v>
      </c>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row>
    <row r="15" ht="15" customHeight="1" x14ac:dyDescent="0.25">
      <c r="A15" s="1"/>
      <c r="C15" s="21" t="s">
        <v>3</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K15" s="21" t="s">
        <v>22</v>
      </c>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c r="BM15" s="21"/>
      <c r="BN15" s="21"/>
      <c r="BO15" s="21"/>
      <c r="BP15" s="21"/>
      <c r="BQ15" s="21"/>
      <c r="BR15" s="21"/>
      <c r="BS15" s="21"/>
      <c r="BT15" s="21"/>
      <c r="BU15" s="21"/>
      <c r="BV15" s="21"/>
    </row>
    <row r="16" ht="15" customHeight="1" x14ac:dyDescent="0.25">
      <c r="A16" s="1"/>
      <c r="C16" s="22" t="s">
        <v>4</v>
      </c>
      <c r="D16" s="22"/>
      <c r="E16" s="22"/>
      <c r="F16" s="22"/>
      <c r="G16" s="22"/>
      <c r="H16" s="22"/>
      <c r="I16" s="22"/>
      <c r="J16" s="23" t="s">
        <v>5</v>
      </c>
      <c r="K16" s="23"/>
      <c r="L16" s="23"/>
      <c r="M16" s="23"/>
      <c r="N16" s="23"/>
      <c r="O16" s="23"/>
      <c r="P16" s="23"/>
      <c r="Q16" s="23"/>
      <c r="R16" s="23"/>
      <c r="S16" s="23"/>
      <c r="T16" s="23"/>
      <c r="U16" s="23"/>
      <c r="V16" s="23"/>
      <c r="W16" s="23"/>
      <c r="X16" s="23"/>
      <c r="Y16" s="23"/>
      <c r="Z16" s="23"/>
      <c r="AA16" s="23"/>
      <c r="AB16" s="23"/>
      <c r="AC16" s="23"/>
      <c r="AD16" s="23"/>
      <c r="AE16" s="23"/>
      <c r="AF16" s="23"/>
      <c r="AK16" s="25" t="s">
        <v>23</v>
      </c>
      <c r="AL16" s="25"/>
      <c r="AM16" s="26" t="s">
        <v>24</v>
      </c>
      <c r="AN16" s="26"/>
      <c r="AO16" s="26"/>
      <c r="AP16" s="26"/>
      <c r="AQ16" s="26"/>
      <c r="AR16" s="26"/>
      <c r="AS16" s="26"/>
      <c r="AT16" s="26"/>
      <c r="AU16" s="26"/>
      <c r="AV16" s="26" t="s">
        <v>25</v>
      </c>
      <c r="AW16" s="26"/>
      <c r="AX16" s="26"/>
      <c r="AY16" s="26"/>
      <c r="AZ16" s="26"/>
      <c r="BA16" s="26"/>
      <c r="BB16" s="26"/>
      <c r="BC16" s="26"/>
      <c r="BD16" s="26"/>
      <c r="BE16" s="26"/>
      <c r="BF16" s="26"/>
      <c r="BG16" s="26"/>
      <c r="BH16" s="26"/>
      <c r="BI16" s="26"/>
      <c r="BJ16" s="26"/>
      <c r="BK16" s="26"/>
      <c r="BL16" s="26"/>
      <c r="BM16" s="26"/>
      <c r="BN16" s="26"/>
      <c r="BO16" s="26"/>
      <c r="BP16" s="26"/>
      <c r="BQ16" s="26"/>
      <c r="BR16" s="26"/>
      <c r="BS16" s="26"/>
      <c r="BT16" s="26"/>
      <c r="BU16" s="26"/>
      <c r="BV16" s="26"/>
    </row>
    <row r="17" ht="15" customHeight="1" x14ac:dyDescent="0.25">
      <c r="A17" s="1"/>
      <c r="C17" s="22" t="s">
        <v>6</v>
      </c>
      <c r="D17" s="22"/>
      <c r="E17" s="22"/>
      <c r="F17" s="22"/>
      <c r="G17" s="22"/>
      <c r="H17" s="22"/>
      <c r="I17" s="22"/>
      <c r="J17" s="23" t="s">
        <v>7</v>
      </c>
      <c r="K17" s="23"/>
      <c r="L17" s="23"/>
      <c r="M17" s="23"/>
      <c r="N17" s="23"/>
      <c r="O17" s="23"/>
      <c r="P17" s="23"/>
      <c r="Q17" s="23"/>
      <c r="R17" s="23"/>
      <c r="S17" s="23"/>
      <c r="T17" s="23"/>
      <c r="U17" s="23"/>
      <c r="V17" s="23"/>
      <c r="W17" s="23"/>
      <c r="X17" s="23"/>
      <c r="Y17" s="23"/>
      <c r="Z17" s="23"/>
      <c r="AA17" s="23"/>
      <c r="AB17" s="23"/>
      <c r="AC17" s="23"/>
      <c r="AD17" s="23"/>
      <c r="AE17" s="23"/>
      <c r="AF17" s="23"/>
      <c r="AK17" s="27">
        <v>1</v>
      </c>
      <c r="AL17" s="27"/>
      <c r="AM17" s="28" t="s">
        <v>26</v>
      </c>
      <c r="AN17" s="28"/>
      <c r="AO17" s="28"/>
      <c r="AP17" s="28"/>
      <c r="AQ17" s="28"/>
      <c r="AR17" s="28"/>
      <c r="AS17" s="28"/>
      <c r="AT17" s="28"/>
      <c r="AU17" s="28"/>
      <c r="AV17" s="29" t="s">
        <v>27</v>
      </c>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row>
    <row r="18" ht="15" customHeight="1" x14ac:dyDescent="0.25">
      <c r="A18" s="1"/>
      <c r="C18" s="22" t="s">
        <v>8</v>
      </c>
      <c r="D18" s="22"/>
      <c r="E18" s="22"/>
      <c r="F18" s="22"/>
      <c r="G18" s="22"/>
      <c r="H18" s="22"/>
      <c r="I18" s="22"/>
      <c r="J18" s="23" t="s">
        <v>9</v>
      </c>
      <c r="K18" s="23"/>
      <c r="L18" s="23"/>
      <c r="M18" s="23"/>
      <c r="N18" s="23"/>
      <c r="O18" s="23"/>
      <c r="P18" s="23"/>
      <c r="Q18" s="23"/>
      <c r="R18" s="23"/>
      <c r="S18" s="23"/>
      <c r="T18" s="23"/>
      <c r="U18" s="23"/>
      <c r="V18" s="23"/>
      <c r="W18" s="23"/>
      <c r="X18" s="23"/>
      <c r="Y18" s="23"/>
      <c r="Z18" s="23"/>
      <c r="AA18" s="23"/>
      <c r="AB18" s="23"/>
      <c r="AC18" s="23"/>
      <c r="AD18" s="23"/>
      <c r="AE18" s="23"/>
      <c r="AF18" s="23"/>
      <c r="AK18" s="27">
        <v>2</v>
      </c>
      <c r="AL18" s="27"/>
      <c r="AM18" s="28" t="s">
        <v>28</v>
      </c>
      <c r="AN18" s="28"/>
      <c r="AO18" s="28"/>
      <c r="AP18" s="28"/>
      <c r="AQ18" s="28"/>
      <c r="AR18" s="28"/>
      <c r="AS18" s="28"/>
      <c r="AT18" s="28"/>
      <c r="AU18" s="28"/>
      <c r="AV18" s="29" t="s">
        <v>29</v>
      </c>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row>
    <row r="19" ht="15" customHeight="1" x14ac:dyDescent="0.25">
      <c r="A19" s="1"/>
      <c r="C19" s="22" t="s">
        <v>10</v>
      </c>
      <c r="D19" s="22"/>
      <c r="E19" s="22"/>
      <c r="F19" s="22"/>
      <c r="G19" s="22"/>
      <c r="H19" s="22"/>
      <c r="I19" s="22"/>
      <c r="J19" s="23" t="s">
        <v>11</v>
      </c>
      <c r="K19" s="23"/>
      <c r="L19" s="23"/>
      <c r="M19" s="23"/>
      <c r="N19" s="23"/>
      <c r="O19" s="23"/>
      <c r="P19" s="23"/>
      <c r="Q19" s="23"/>
      <c r="R19" s="23"/>
      <c r="S19" s="23"/>
      <c r="T19" s="23"/>
      <c r="U19" s="23"/>
      <c r="V19" s="23"/>
      <c r="W19" s="23"/>
      <c r="X19" s="23"/>
      <c r="Y19" s="23"/>
      <c r="Z19" s="23"/>
      <c r="AA19" s="23"/>
      <c r="AB19" s="23"/>
      <c r="AC19" s="23"/>
      <c r="AD19" s="23"/>
      <c r="AE19" s="23"/>
      <c r="AF19" s="23"/>
      <c r="AK19" s="27">
        <v>3</v>
      </c>
      <c r="AL19" s="27"/>
      <c r="AM19" s="28" t="s">
        <v>30</v>
      </c>
      <c r="AN19" s="28"/>
      <c r="AO19" s="28"/>
      <c r="AP19" s="28"/>
      <c r="AQ19" s="28"/>
      <c r="AR19" s="28"/>
      <c r="AS19" s="28"/>
      <c r="AT19" s="28"/>
      <c r="AU19" s="28"/>
      <c r="AV19" s="29" t="s">
        <v>31</v>
      </c>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row>
    <row r="20" ht="15" customHeight="1" x14ac:dyDescent="0.25">
      <c r="A20" s="1"/>
      <c r="C20" s="22" t="s">
        <v>12</v>
      </c>
      <c r="D20" s="22"/>
      <c r="E20" s="22"/>
      <c r="F20" s="22"/>
      <c r="G20" s="22"/>
      <c r="H20" s="22"/>
      <c r="I20" s="22"/>
      <c r="J20" s="24">
        <v>46298</v>
      </c>
      <c r="K20" s="24"/>
      <c r="L20" s="24"/>
      <c r="M20" s="24"/>
      <c r="N20" s="24"/>
      <c r="O20" s="24"/>
      <c r="P20" s="24"/>
      <c r="Q20" s="24"/>
      <c r="R20" s="24"/>
      <c r="S20" s="24"/>
      <c r="T20" s="24"/>
      <c r="U20" s="24"/>
      <c r="V20" s="24"/>
      <c r="W20" s="24"/>
      <c r="X20" s="24"/>
      <c r="Y20" s="24"/>
      <c r="Z20" s="24"/>
      <c r="AA20" s="24"/>
      <c r="AB20" s="24"/>
      <c r="AC20" s="24"/>
      <c r="AD20" s="24"/>
      <c r="AE20" s="24"/>
      <c r="AF20" s="24"/>
      <c r="AK20" s="27">
        <v>4</v>
      </c>
      <c r="AL20" s="27"/>
      <c r="AM20" s="28" t="s">
        <v>32</v>
      </c>
      <c r="AN20" s="28"/>
      <c r="AO20" s="28"/>
      <c r="AP20" s="28"/>
      <c r="AQ20" s="28"/>
      <c r="AR20" s="28"/>
      <c r="AS20" s="28"/>
      <c r="AT20" s="28"/>
      <c r="AU20" s="28"/>
      <c r="AV20" s="29" t="s">
        <v>33</v>
      </c>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row>
    <row r="21" ht="15" customHeight="1" x14ac:dyDescent="0.25">
      <c r="A21" s="1"/>
      <c r="C21" s="22" t="s">
        <v>13</v>
      </c>
      <c r="D21" s="22"/>
      <c r="E21" s="22"/>
      <c r="F21" s="22"/>
      <c r="G21" s="22"/>
      <c r="H21" s="22"/>
      <c r="I21" s="22"/>
      <c r="J21" s="24">
        <v>46298</v>
      </c>
      <c r="K21" s="24"/>
      <c r="L21" s="24"/>
      <c r="M21" s="24"/>
      <c r="N21" s="24"/>
      <c r="O21" s="24"/>
      <c r="P21" s="24"/>
      <c r="Q21" s="24"/>
      <c r="R21" s="24"/>
      <c r="S21" s="24"/>
      <c r="T21" s="24"/>
      <c r="U21" s="24"/>
      <c r="V21" s="24"/>
      <c r="W21" s="24"/>
      <c r="X21" s="24"/>
      <c r="Y21" s="24"/>
      <c r="Z21" s="24"/>
      <c r="AA21" s="24"/>
      <c r="AB21" s="24"/>
      <c r="AC21" s="24"/>
      <c r="AD21" s="24"/>
      <c r="AE21" s="24"/>
      <c r="AF21" s="24"/>
      <c r="AK21" s="27">
        <v>5</v>
      </c>
      <c r="AL21" s="27"/>
      <c r="AM21" s="28" t="s">
        <v>34</v>
      </c>
      <c r="AN21" s="28"/>
      <c r="AO21" s="28"/>
      <c r="AP21" s="28"/>
      <c r="AQ21" s="28"/>
      <c r="AR21" s="28"/>
      <c r="AS21" s="28"/>
      <c r="AT21" s="28"/>
      <c r="AU21" s="28"/>
      <c r="AV21" s="29" t="s">
        <v>35</v>
      </c>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row>
    <row r="22" ht="15" customHeight="1" x14ac:dyDescent="0.25">
      <c r="A22" s="1"/>
      <c r="C22" s="22" t="s">
        <v>14</v>
      </c>
      <c r="D22" s="22"/>
      <c r="E22" s="22"/>
      <c r="F22" s="22"/>
      <c r="G22" s="22"/>
      <c r="H22" s="22"/>
      <c r="I22" s="22"/>
      <c r="J22" s="23" t="s">
        <v>15</v>
      </c>
      <c r="K22" s="23"/>
      <c r="L22" s="23"/>
      <c r="M22" s="23"/>
      <c r="N22" s="23"/>
      <c r="O22" s="23"/>
      <c r="P22" s="23"/>
      <c r="Q22" s="23"/>
      <c r="R22" s="23"/>
      <c r="S22" s="23"/>
      <c r="T22" s="23"/>
      <c r="U22" s="23"/>
      <c r="V22" s="23"/>
      <c r="W22" s="23"/>
      <c r="X22" s="23"/>
      <c r="Y22" s="23"/>
      <c r="Z22" s="23"/>
      <c r="AA22" s="23"/>
      <c r="AB22" s="23"/>
      <c r="AC22" s="23"/>
      <c r="AD22" s="23"/>
      <c r="AE22" s="23"/>
      <c r="AF22" s="23"/>
      <c r="AK22" s="27">
        <v>6</v>
      </c>
      <c r="AL22" s="27"/>
      <c r="AM22" s="28" t="s">
        <v>36</v>
      </c>
      <c r="AN22" s="28"/>
      <c r="AO22" s="28"/>
      <c r="AP22" s="28"/>
      <c r="AQ22" s="28"/>
      <c r="AR22" s="28"/>
      <c r="AS22" s="28"/>
      <c r="AT22" s="28"/>
      <c r="AU22" s="28"/>
      <c r="AV22" s="29" t="s">
        <v>37</v>
      </c>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row>
    <row r="23" ht="15" customHeight="1" x14ac:dyDescent="0.25">
      <c r="A23" s="1"/>
      <c r="C23" s="22" t="s">
        <v>16</v>
      </c>
      <c r="D23" s="22"/>
      <c r="E23" s="22"/>
      <c r="F23" s="22"/>
      <c r="G23" s="22"/>
      <c r="H23" s="22"/>
      <c r="I23" s="22"/>
      <c r="J23" s="23" t="s">
        <v>15</v>
      </c>
      <c r="K23" s="23"/>
      <c r="L23" s="23"/>
      <c r="M23" s="23"/>
      <c r="N23" s="23"/>
      <c r="O23" s="23"/>
      <c r="P23" s="23"/>
      <c r="Q23" s="23"/>
      <c r="R23" s="23"/>
      <c r="S23" s="23"/>
      <c r="T23" s="23"/>
      <c r="U23" s="23"/>
      <c r="V23" s="23"/>
      <c r="W23" s="23"/>
      <c r="X23" s="23"/>
      <c r="Y23" s="23"/>
      <c r="Z23" s="23"/>
      <c r="AA23" s="23"/>
      <c r="AB23" s="23"/>
      <c r="AC23" s="23"/>
      <c r="AD23" s="23"/>
      <c r="AE23" s="23"/>
      <c r="AF23" s="23"/>
    </row>
    <row r="24" ht="15" customHeight="1" x14ac:dyDescent="0.25">
      <c r="A24" s="1"/>
      <c r="C24" s="22" t="s">
        <v>17</v>
      </c>
      <c r="D24" s="22"/>
      <c r="E24" s="22"/>
      <c r="F24" s="22"/>
      <c r="G24" s="22"/>
      <c r="H24" s="22"/>
      <c r="I24" s="22"/>
      <c r="J24" s="23" t="s">
        <v>18</v>
      </c>
      <c r="K24" s="23"/>
      <c r="L24" s="23"/>
      <c r="M24" s="23"/>
      <c r="N24" s="23"/>
      <c r="O24" s="23"/>
      <c r="P24" s="23"/>
      <c r="Q24" s="23"/>
      <c r="R24" s="23"/>
      <c r="S24" s="23"/>
      <c r="T24" s="23"/>
      <c r="U24" s="23"/>
      <c r="V24" s="23"/>
      <c r="W24" s="23"/>
      <c r="X24" s="23"/>
      <c r="Y24" s="23"/>
      <c r="Z24" s="23"/>
      <c r="AA24" s="23"/>
      <c r="AB24" s="23"/>
      <c r="AC24" s="23"/>
      <c r="AD24" s="23"/>
      <c r="AE24" s="23"/>
      <c r="AF24" s="23"/>
      <c r="AK24" s="20" t="s">
        <v>60</v>
      </c>
      <c r="AL24" s="20"/>
      <c r="AM24" s="20"/>
      <c r="AN24" s="20"/>
      <c r="AO24" s="20"/>
      <c r="AP24" s="20"/>
      <c r="AQ24" s="20"/>
      <c r="AR24" s="20"/>
      <c r="AS24" s="20"/>
      <c r="AT24" s="20"/>
      <c r="AU24" s="20"/>
      <c r="AV24" s="20"/>
      <c r="AW24" s="20"/>
      <c r="AX24" s="20"/>
      <c r="AY24" s="20"/>
      <c r="AZ24" s="20"/>
      <c r="BA24" s="20"/>
      <c r="BB24" s="20"/>
      <c r="BC24" s="20"/>
      <c r="BD24" s="20"/>
      <c r="BE24" s="20"/>
      <c r="BF24" s="20"/>
      <c r="BG24" s="20"/>
      <c r="BH24" s="20"/>
      <c r="BI24" s="20"/>
    </row>
    <row r="25" ht="15" customHeight="1" x14ac:dyDescent="0.25">
      <c r="A25" s="1"/>
      <c r="C25" s="22" t="s">
        <v>19</v>
      </c>
      <c r="D25" s="22"/>
      <c r="E25" s="22"/>
      <c r="F25" s="22"/>
      <c r="G25" s="22"/>
      <c r="H25" s="22"/>
      <c r="I25" s="22"/>
      <c r="J25" s="23" t="s">
        <v>20</v>
      </c>
      <c r="K25" s="23"/>
      <c r="L25" s="23"/>
      <c r="M25" s="23"/>
      <c r="N25" s="23"/>
      <c r="O25" s="23"/>
      <c r="P25" s="23"/>
      <c r="Q25" s="23"/>
      <c r="R25" s="23"/>
      <c r="S25" s="23"/>
      <c r="T25" s="23"/>
      <c r="U25" s="23"/>
      <c r="V25" s="23"/>
      <c r="W25" s="23"/>
      <c r="X25" s="23"/>
      <c r="Y25" s="23"/>
      <c r="Z25" s="23"/>
      <c r="AA25" s="23"/>
      <c r="AB25" s="23"/>
      <c r="AC25" s="23"/>
      <c r="AD25" s="23"/>
      <c r="AE25" s="23"/>
      <c r="AF25" s="23"/>
      <c r="AK25" s="25" t="s">
        <v>10</v>
      </c>
      <c r="AL25" s="25"/>
      <c r="AM25" s="25"/>
      <c r="AN25" s="25" t="s">
        <v>61</v>
      </c>
      <c r="AO25" s="25"/>
      <c r="AP25" s="25"/>
      <c r="AQ25" s="25"/>
      <c r="AR25" s="25"/>
      <c r="AS25" s="25" t="s">
        <v>62</v>
      </c>
      <c r="AT25" s="25"/>
      <c r="AU25" s="25"/>
      <c r="AV25" s="25"/>
      <c r="AW25" s="25"/>
      <c r="AX25" s="25"/>
      <c r="AY25" s="25"/>
      <c r="AZ25" s="25"/>
      <c r="BA25" s="25"/>
      <c r="BB25" s="25"/>
      <c r="BC25" s="25"/>
      <c r="BD25" s="25"/>
      <c r="BE25" s="25"/>
      <c r="BF25" s="25"/>
      <c r="BG25" s="25"/>
      <c r="BH25" s="25"/>
      <c r="BI25" s="25"/>
      <c r="BJ25" s="25"/>
      <c r="BK25" s="25"/>
      <c r="BL25" s="25"/>
      <c r="BM25" s="25"/>
      <c r="BN25" s="25"/>
      <c r="BO25" s="25" t="s">
        <v>63</v>
      </c>
      <c r="BP25" s="25"/>
      <c r="BQ25" s="25"/>
      <c r="BR25" s="25"/>
      <c r="BS25" s="25"/>
      <c r="BT25" s="25"/>
      <c r="BU25" s="25"/>
      <c r="BV25" s="25"/>
    </row>
    <row r="26" ht="15" customHeight="1" x14ac:dyDescent="0.25">
      <c r="A26" s="1"/>
      <c r="AK26" s="41" t="s">
        <v>11</v>
      </c>
      <c r="AL26" s="41"/>
      <c r="AM26" s="41"/>
      <c r="AN26" s="42">
        <v>46298</v>
      </c>
      <c r="AO26" s="42"/>
      <c r="AP26" s="42"/>
      <c r="AQ26" s="42"/>
      <c r="AR26" s="42"/>
      <c r="AS26" s="43" t="s">
        <v>64</v>
      </c>
      <c r="AT26" s="43"/>
      <c r="AU26" s="43"/>
      <c r="AV26" s="43"/>
      <c r="AW26" s="43"/>
      <c r="AX26" s="43"/>
      <c r="AY26" s="43"/>
      <c r="AZ26" s="43"/>
      <c r="BA26" s="43"/>
      <c r="BB26" s="43"/>
      <c r="BC26" s="43"/>
      <c r="BD26" s="43"/>
      <c r="BE26" s="43"/>
      <c r="BF26" s="43"/>
      <c r="BG26" s="43"/>
      <c r="BH26" s="43"/>
      <c r="BI26" s="43"/>
      <c r="BJ26" s="43"/>
      <c r="BK26" s="43"/>
      <c r="BL26" s="43"/>
      <c r="BM26" s="43"/>
      <c r="BN26" s="43"/>
      <c r="BO26" s="41" t="s">
        <v>15</v>
      </c>
      <c r="BP26" s="41"/>
      <c r="BQ26" s="41"/>
      <c r="BR26" s="41"/>
      <c r="BS26" s="41"/>
      <c r="BT26" s="41"/>
      <c r="BU26" s="41"/>
      <c r="BV26" s="41"/>
    </row>
    <row r="27" ht="15" customHeight="1" x14ac:dyDescent="0.25">
      <c r="A27" s="1"/>
      <c r="AK27" s="41"/>
      <c r="AL27" s="41"/>
      <c r="AM27" s="41"/>
      <c r="AN27" s="42"/>
      <c r="AO27" s="42"/>
      <c r="AP27" s="42"/>
      <c r="AQ27" s="42"/>
      <c r="AR27" s="42"/>
      <c r="AS27" s="43"/>
      <c r="AT27" s="43"/>
      <c r="AU27" s="43"/>
      <c r="AV27" s="43"/>
      <c r="AW27" s="43"/>
      <c r="AX27" s="43"/>
      <c r="AY27" s="43"/>
      <c r="AZ27" s="43"/>
      <c r="BA27" s="43"/>
      <c r="BB27" s="43"/>
      <c r="BC27" s="43"/>
      <c r="BD27" s="43"/>
      <c r="BE27" s="43"/>
      <c r="BF27" s="43"/>
      <c r="BG27" s="43"/>
      <c r="BH27" s="43"/>
      <c r="BI27" s="43"/>
      <c r="BJ27" s="43"/>
      <c r="BK27" s="43"/>
      <c r="BL27" s="43"/>
      <c r="BM27" s="43"/>
      <c r="BN27" s="43"/>
      <c r="BO27" s="41"/>
      <c r="BP27" s="41"/>
      <c r="BQ27" s="41"/>
      <c r="BR27" s="41"/>
      <c r="BS27" s="41"/>
      <c r="BT27" s="41"/>
      <c r="BU27" s="41"/>
      <c r="BV27" s="41"/>
    </row>
    <row r="28" ht="15" customHeight="1" x14ac:dyDescent="0.25">
      <c r="A28" s="1"/>
      <c r="C28" s="20" t="s">
        <v>38</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K28" s="41"/>
      <c r="AL28" s="41"/>
      <c r="AM28" s="41"/>
      <c r="AN28" s="42"/>
      <c r="AO28" s="42"/>
      <c r="AP28" s="42"/>
      <c r="AQ28" s="42"/>
      <c r="AR28" s="42"/>
      <c r="AS28" s="43"/>
      <c r="AT28" s="43"/>
      <c r="AU28" s="43"/>
      <c r="AV28" s="43"/>
      <c r="AW28" s="43"/>
      <c r="AX28" s="43"/>
      <c r="AY28" s="43"/>
      <c r="AZ28" s="43"/>
      <c r="BA28" s="43"/>
      <c r="BB28" s="43"/>
      <c r="BC28" s="43"/>
      <c r="BD28" s="43"/>
      <c r="BE28" s="43"/>
      <c r="BF28" s="43"/>
      <c r="BG28" s="43"/>
      <c r="BH28" s="43"/>
      <c r="BI28" s="43"/>
      <c r="BJ28" s="43"/>
      <c r="BK28" s="43"/>
      <c r="BL28" s="43"/>
      <c r="BM28" s="43"/>
      <c r="BN28" s="43"/>
      <c r="BO28" s="41"/>
      <c r="BP28" s="41"/>
      <c r="BQ28" s="41"/>
      <c r="BR28" s="41"/>
      <c r="BS28" s="41"/>
      <c r="BT28" s="41"/>
      <c r="BU28" s="41"/>
      <c r="BV28" s="41"/>
    </row>
    <row r="29" ht="15" customHeight="1" x14ac:dyDescent="0.25">
      <c r="A29" s="1"/>
      <c r="C29" s="21" t="s">
        <v>39</v>
      </c>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c r="AK29" s="41"/>
      <c r="AL29" s="41"/>
      <c r="AM29" s="41"/>
      <c r="AN29" s="42"/>
      <c r="AO29" s="42"/>
      <c r="AP29" s="42"/>
      <c r="AQ29" s="42"/>
      <c r="AR29" s="42"/>
      <c r="AS29" s="43"/>
      <c r="AT29" s="43"/>
      <c r="AU29" s="43"/>
      <c r="AV29" s="43"/>
      <c r="AW29" s="43"/>
      <c r="AX29" s="43"/>
      <c r="AY29" s="43"/>
      <c r="AZ29" s="43"/>
      <c r="BA29" s="43"/>
      <c r="BB29" s="43"/>
      <c r="BC29" s="43"/>
      <c r="BD29" s="43"/>
      <c r="BE29" s="43"/>
      <c r="BF29" s="43"/>
      <c r="BG29" s="43"/>
      <c r="BH29" s="43"/>
      <c r="BI29" s="43"/>
      <c r="BJ29" s="43"/>
      <c r="BK29" s="43"/>
      <c r="BL29" s="43"/>
      <c r="BM29" s="43"/>
      <c r="BN29" s="43"/>
      <c r="BO29" s="41"/>
      <c r="BP29" s="41"/>
      <c r="BQ29" s="41"/>
      <c r="BR29" s="41"/>
      <c r="BS29" s="41"/>
      <c r="BT29" s="41"/>
      <c r="BU29" s="41"/>
      <c r="BV29" s="41"/>
    </row>
    <row r="30" ht="15" customHeight="1" x14ac:dyDescent="0.25">
      <c r="A30" s="1"/>
      <c r="C30" s="25" t="s">
        <v>40</v>
      </c>
      <c r="D30" s="25"/>
      <c r="E30" s="25" t="s">
        <v>41</v>
      </c>
      <c r="F30" s="25"/>
      <c r="G30" s="26" t="s">
        <v>42</v>
      </c>
      <c r="H30" s="26"/>
      <c r="I30" s="26"/>
      <c r="J30" s="26"/>
      <c r="K30" s="26"/>
      <c r="L30" s="26"/>
      <c r="M30" s="26"/>
      <c r="N30" s="26"/>
      <c r="O30" s="26"/>
      <c r="P30" s="26"/>
      <c r="Q30" s="26" t="s">
        <v>43</v>
      </c>
      <c r="R30" s="26"/>
      <c r="S30" s="26"/>
      <c r="T30" s="26"/>
      <c r="U30" s="26"/>
      <c r="V30" s="26"/>
      <c r="W30" s="26"/>
      <c r="X30" s="26"/>
      <c r="Y30" s="26"/>
      <c r="Z30" s="26"/>
      <c r="AA30" s="26"/>
      <c r="AB30" s="26"/>
      <c r="AC30" s="26"/>
      <c r="AD30" s="26"/>
      <c r="AE30" s="26"/>
      <c r="AF30" s="26"/>
      <c r="AG30" s="26"/>
      <c r="AH30" s="26"/>
      <c r="AK30" s="41"/>
      <c r="AL30" s="41"/>
      <c r="AM30" s="41"/>
      <c r="AN30" s="42"/>
      <c r="AO30" s="42"/>
      <c r="AP30" s="42"/>
      <c r="AQ30" s="42"/>
      <c r="AR30" s="42"/>
      <c r="AS30" s="43"/>
      <c r="AT30" s="43"/>
      <c r="AU30" s="43"/>
      <c r="AV30" s="43"/>
      <c r="AW30" s="43"/>
      <c r="AX30" s="43"/>
      <c r="AY30" s="43"/>
      <c r="AZ30" s="43"/>
      <c r="BA30" s="43"/>
      <c r="BB30" s="43"/>
      <c r="BC30" s="43"/>
      <c r="BD30" s="43"/>
      <c r="BE30" s="43"/>
      <c r="BF30" s="43"/>
      <c r="BG30" s="43"/>
      <c r="BH30" s="43"/>
      <c r="BI30" s="43"/>
      <c r="BJ30" s="43"/>
      <c r="BK30" s="43"/>
      <c r="BL30" s="43"/>
      <c r="BM30" s="43"/>
      <c r="BN30" s="43"/>
      <c r="BO30" s="41"/>
      <c r="BP30" s="41"/>
      <c r="BQ30" s="41"/>
      <c r="BR30" s="41"/>
      <c r="BS30" s="41"/>
      <c r="BT30" s="41"/>
      <c r="BU30" s="41"/>
      <c r="BV30" s="41"/>
    </row>
    <row r="31" ht="15" customHeight="1" x14ac:dyDescent="0.25">
      <c r="A31" s="1"/>
      <c r="C31" s="30" t="s">
        <v>44</v>
      </c>
      <c r="D31" s="30"/>
      <c r="E31" s="31" t="s">
        <v>45</v>
      </c>
      <c r="F31" s="31"/>
      <c r="G31" s="32" t="s">
        <v>46</v>
      </c>
      <c r="H31" s="32"/>
      <c r="I31" s="32"/>
      <c r="J31" s="32"/>
      <c r="K31" s="32"/>
      <c r="L31" s="32"/>
      <c r="M31" s="32"/>
      <c r="N31" s="32"/>
      <c r="O31" s="32"/>
      <c r="P31" s="32"/>
      <c r="Q31" s="33" t="s">
        <v>47</v>
      </c>
      <c r="R31" s="33"/>
      <c r="S31" s="33"/>
      <c r="T31" s="33"/>
      <c r="U31" s="33"/>
      <c r="V31" s="33"/>
      <c r="W31" s="33"/>
      <c r="X31" s="33"/>
      <c r="Y31" s="33"/>
      <c r="Z31" s="33"/>
      <c r="AA31" s="33"/>
      <c r="AB31" s="33"/>
      <c r="AC31" s="33"/>
      <c r="AD31" s="33"/>
      <c r="AE31" s="33"/>
      <c r="AF31" s="33"/>
      <c r="AG31" s="33"/>
      <c r="AH31" s="33"/>
    </row>
    <row r="32" ht="15" customHeight="1" x14ac:dyDescent="0.25">
      <c r="A32" s="1"/>
      <c r="C32" s="34" t="s">
        <v>48</v>
      </c>
      <c r="D32" s="34"/>
      <c r="E32" s="35" t="s">
        <v>49</v>
      </c>
      <c r="F32" s="35"/>
      <c r="G32" s="32" t="s">
        <v>50</v>
      </c>
      <c r="H32" s="32"/>
      <c r="I32" s="32"/>
      <c r="J32" s="32"/>
      <c r="K32" s="32"/>
      <c r="L32" s="32"/>
      <c r="M32" s="32"/>
      <c r="N32" s="32"/>
      <c r="O32" s="32"/>
      <c r="P32" s="32"/>
      <c r="Q32" s="33" t="s">
        <v>51</v>
      </c>
      <c r="R32" s="33"/>
      <c r="S32" s="33"/>
      <c r="T32" s="33"/>
      <c r="U32" s="33"/>
      <c r="V32" s="33"/>
      <c r="W32" s="33"/>
      <c r="X32" s="33"/>
      <c r="Y32" s="33"/>
      <c r="Z32" s="33"/>
      <c r="AA32" s="33"/>
      <c r="AB32" s="33"/>
      <c r="AC32" s="33"/>
      <c r="AD32" s="33"/>
      <c r="AE32" s="33"/>
      <c r="AF32" s="33"/>
      <c r="AG32" s="33"/>
      <c r="AH32" s="33"/>
    </row>
    <row r="33" ht="15" customHeight="1" x14ac:dyDescent="0.25">
      <c r="A33" s="1"/>
      <c r="C33" s="36" t="s">
        <v>52</v>
      </c>
      <c r="D33" s="36"/>
      <c r="E33" s="37" t="s">
        <v>53</v>
      </c>
      <c r="F33" s="37"/>
      <c r="G33" s="32" t="s">
        <v>54</v>
      </c>
      <c r="H33" s="32"/>
      <c r="I33" s="32"/>
      <c r="J33" s="32"/>
      <c r="K33" s="32"/>
      <c r="L33" s="32"/>
      <c r="M33" s="32"/>
      <c r="N33" s="32"/>
      <c r="O33" s="32"/>
      <c r="P33" s="32"/>
      <c r="Q33" s="33" t="s">
        <v>55</v>
      </c>
      <c r="R33" s="33"/>
      <c r="S33" s="33"/>
      <c r="T33" s="33"/>
      <c r="U33" s="33"/>
      <c r="V33" s="33"/>
      <c r="W33" s="33"/>
      <c r="X33" s="33"/>
      <c r="Y33" s="33"/>
      <c r="Z33" s="33"/>
      <c r="AA33" s="33"/>
      <c r="AB33" s="33"/>
      <c r="AC33" s="33"/>
      <c r="AD33" s="33"/>
      <c r="AE33" s="33"/>
      <c r="AF33" s="33"/>
      <c r="AG33" s="33"/>
      <c r="AH33" s="33"/>
    </row>
    <row r="34" ht="15" customHeight="1" x14ac:dyDescent="0.25">
      <c r="A34" s="1"/>
      <c r="C34" s="78" t="s">
        <v>453</v>
      </c>
      <c r="D34" s="78"/>
      <c r="E34" s="79" t="s">
        <v>454</v>
      </c>
      <c r="F34" s="79"/>
      <c r="G34" s="32" t="s">
        <v>455</v>
      </c>
      <c r="H34" s="32"/>
      <c r="I34" s="32"/>
      <c r="J34" s="32"/>
      <c r="K34" s="32"/>
      <c r="L34" s="32"/>
      <c r="M34" s="32"/>
      <c r="N34" s="32"/>
      <c r="O34" s="32"/>
      <c r="P34" s="32"/>
      <c r="Q34" s="33" t="s">
        <v>456</v>
      </c>
      <c r="R34" s="33"/>
      <c r="S34" s="33"/>
      <c r="T34" s="33"/>
      <c r="U34" s="33"/>
      <c r="V34" s="33"/>
      <c r="W34" s="33"/>
      <c r="X34" s="33"/>
      <c r="Y34" s="33"/>
      <c r="Z34" s="33"/>
      <c r="AA34" s="33"/>
      <c r="AB34" s="33"/>
      <c r="AC34" s="33"/>
      <c r="AD34" s="33"/>
      <c r="AE34" s="33"/>
      <c r="AF34" s="33"/>
      <c r="AG34" s="33"/>
      <c r="AH34" s="33"/>
    </row>
    <row r="35" ht="15" customHeight="1" x14ac:dyDescent="0.25">
      <c r="A35" s="1"/>
      <c r="C35" s="82" t="s">
        <v>457</v>
      </c>
      <c r="D35" s="82"/>
      <c r="E35" s="83" t="s">
        <v>458</v>
      </c>
      <c r="F35" s="83"/>
      <c r="G35" s="32" t="s">
        <v>459</v>
      </c>
      <c r="H35" s="32"/>
      <c r="I35" s="32"/>
      <c r="J35" s="32"/>
      <c r="K35" s="32"/>
      <c r="L35" s="32"/>
      <c r="M35" s="32"/>
      <c r="N35" s="32"/>
      <c r="O35" s="32"/>
      <c r="P35" s="32"/>
      <c r="Q35" s="33" t="s">
        <v>460</v>
      </c>
      <c r="R35" s="33"/>
      <c r="S35" s="33"/>
      <c r="T35" s="33"/>
      <c r="U35" s="33"/>
      <c r="V35" s="33"/>
      <c r="W35" s="33"/>
      <c r="X35" s="33"/>
      <c r="Y35" s="33"/>
      <c r="Z35" s="33"/>
      <c r="AA35" s="33"/>
      <c r="AB35" s="33"/>
      <c r="AC35" s="33"/>
      <c r="AD35" s="33"/>
      <c r="AE35" s="33"/>
      <c r="AF35" s="33"/>
      <c r="AG35" s="33"/>
      <c r="AH35" s="33"/>
    </row>
    <row r="36" ht="15" customHeight="1" x14ac:dyDescent="0.25">
      <c r="A36" s="1"/>
      <c r="C36" s="86" t="s">
        <v>461</v>
      </c>
      <c r="D36" s="86"/>
      <c r="E36" s="87" t="s">
        <v>462</v>
      </c>
      <c r="F36" s="87"/>
      <c r="G36" s="32" t="s">
        <v>463</v>
      </c>
      <c r="H36" s="32"/>
      <c r="I36" s="32"/>
      <c r="J36" s="32"/>
      <c r="K36" s="32"/>
      <c r="L36" s="32"/>
      <c r="M36" s="32"/>
      <c r="N36" s="32"/>
      <c r="O36" s="32"/>
      <c r="P36" s="32"/>
      <c r="Q36" s="33" t="s">
        <v>464</v>
      </c>
      <c r="R36" s="33"/>
      <c r="S36" s="33"/>
      <c r="T36" s="33"/>
      <c r="U36" s="33"/>
      <c r="V36" s="33"/>
      <c r="W36" s="33"/>
      <c r="X36" s="33"/>
      <c r="Y36" s="33"/>
      <c r="Z36" s="33"/>
      <c r="AA36" s="33"/>
      <c r="AB36" s="33"/>
      <c r="AC36" s="33"/>
      <c r="AD36" s="33"/>
      <c r="AE36" s="33"/>
      <c r="AF36" s="33"/>
      <c r="AG36" s="33"/>
      <c r="AH36" s="33"/>
    </row>
    <row r="37" ht="15" customHeight="1" x14ac:dyDescent="0.25">
      <c r="A37" s="1"/>
      <c r="C37" s="38" t="s">
        <v>56</v>
      </c>
      <c r="D37" s="38"/>
      <c r="E37" s="39" t="s">
        <v>57</v>
      </c>
      <c r="F37" s="39"/>
      <c r="G37" s="40" t="s">
        <v>58</v>
      </c>
      <c r="H37" s="40"/>
      <c r="I37" s="40"/>
      <c r="J37" s="40"/>
      <c r="K37" s="40"/>
      <c r="L37" s="40"/>
      <c r="M37" s="40"/>
      <c r="N37" s="40"/>
      <c r="O37" s="40"/>
      <c r="P37" s="40"/>
      <c r="Q37" s="33" t="s">
        <v>59</v>
      </c>
      <c r="R37" s="33"/>
      <c r="S37" s="33"/>
      <c r="T37" s="33"/>
      <c r="U37" s="33"/>
      <c r="V37" s="33"/>
      <c r="W37" s="33"/>
      <c r="X37" s="33"/>
      <c r="Y37" s="33"/>
      <c r="Z37" s="33"/>
      <c r="AA37" s="33"/>
      <c r="AB37" s="33"/>
      <c r="AC37" s="33"/>
      <c r="AD37" s="33"/>
      <c r="AE37" s="33"/>
      <c r="AF37" s="33"/>
      <c r="AG37" s="33"/>
      <c r="AH37" s="33"/>
    </row>
    <row r="38" ht="15" customHeight="1" x14ac:dyDescent="0.25">
      <c r="A38" s="1"/>
    </row>
    <row r="39" ht="15" customHeight="1" x14ac:dyDescent="0.25">
      <c r="A39" s="1"/>
      <c r="C39" s="20" t="s">
        <v>65</v>
      </c>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row>
    <row r="40" ht="15" customHeight="1" x14ac:dyDescent="0.25">
      <c r="A40" s="1"/>
    </row>
    <row r="41" ht="15" customHeight="1" x14ac:dyDescent="0.25">
      <c r="A41" s="1"/>
    </row>
    <row r="42" ht="15" customHeight="1" x14ac:dyDescent="0.25">
      <c r="A42" s="1"/>
    </row>
    <row r="43" ht="15" customHeight="1" x14ac:dyDescent="0.25">
      <c r="A43" s="1"/>
    </row>
    <row r="44" ht="15" customHeight="1" x14ac:dyDescent="0.25">
      <c r="A44" s="1"/>
    </row>
    <row r="45" ht="15" customHeight="1" x14ac:dyDescent="0.25">
      <c r="A45" s="1"/>
    </row>
    <row r="46" ht="15" x14ac:dyDescent="0.25" customHeight="1">
      <c r="A46" s="1"/>
      <c r="C46" s="44" t="s">
        <v>66</v>
      </c>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row>
    <row r="47" ht="15" x14ac:dyDescent="0.25" customHeight="1">
      <c r="A47" s="1"/>
    </row>
    <row r="48" ht="15" x14ac:dyDescent="0.25" customHeight="1">
      <c r="A48" s="1"/>
      <c r="C48" s="45" t="s">
        <v>67</v>
      </c>
      <c r="D48" s="45"/>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c r="AG48" s="45"/>
      <c r="AH48" s="45"/>
      <c r="AI48" s="45"/>
      <c r="AJ48" s="45"/>
      <c r="AK48" s="45"/>
      <c r="AL48" s="45"/>
      <c r="AM48" s="45"/>
      <c r="AN48" s="45"/>
      <c r="AO48" s="45"/>
      <c r="AP48" s="45"/>
      <c r="AQ48" s="45"/>
      <c r="AR48" s="45"/>
      <c r="AS48" s="45"/>
      <c r="AT48" s="45"/>
      <c r="AU48" s="45"/>
      <c r="AV48" s="45"/>
      <c r="AW48" s="45"/>
      <c r="AX48" s="45"/>
      <c r="AY48" s="45"/>
      <c r="AZ48" s="45"/>
      <c r="BA48" s="45"/>
      <c r="BB48" s="45"/>
      <c r="BC48" s="45"/>
      <c r="BD48" s="45"/>
      <c r="BE48" s="45"/>
      <c r="BF48" s="45"/>
      <c r="BG48" s="45"/>
      <c r="BH48" s="45"/>
      <c r="BI48" s="45"/>
      <c r="BJ48" s="45"/>
      <c r="BK48" s="45"/>
      <c r="BL48" s="45"/>
      <c r="BM48" s="45"/>
      <c r="BN48" s="45"/>
      <c r="BO48" s="45"/>
      <c r="BP48" s="45"/>
      <c r="BQ48" s="45"/>
      <c r="BR48" s="45"/>
      <c r="BS48" s="45"/>
      <c r="BT48" s="45"/>
      <c r="BU48" s="45"/>
      <c r="BV48" s="45"/>
    </row>
    <row r="49" ht="15" x14ac:dyDescent="0.25" customHeight="1">
      <c r="A49" s="1"/>
    </row>
    <row r="50" ht="15" x14ac:dyDescent="0.25" customHeight="1">
      <c r="A50" s="1"/>
    </row>
    <row r="51" ht="15" x14ac:dyDescent="0.25" customHeight="1">
      <c r="A51" s="1"/>
      <c r="B51" s="21" t="str">
        <f>"機密区分："&amp;機密区分</f>
        <v>機密区分：社外秘</v>
      </c>
      <c r="C51" s="21"/>
      <c r="D51" s="21"/>
      <c r="E51" s="21"/>
      <c r="F51" s="21"/>
      <c r="G51" s="21"/>
      <c r="H51" s="21"/>
      <c r="I51" s="21"/>
      <c r="J51" s="21"/>
      <c r="K51" s="21"/>
      <c r="L51" s="21"/>
      <c r="M51" s="21"/>
      <c r="N51" s="21"/>
      <c r="O51" s="21"/>
      <c r="P51" s="21"/>
      <c r="Q51" s="21"/>
      <c r="R51" s="21"/>
      <c r="S51" s="21"/>
      <c r="T51" s="21"/>
      <c r="U51" s="21"/>
      <c r="V51" s="21"/>
      <c r="W51" s="21"/>
      <c r="X51" s="21"/>
      <c r="Y51" s="21"/>
      <c r="Z51" s="46" t="str">
        <f>IF(会社名="","",会社名)</f>
        <v>（会社名・部署名）</v>
      </c>
      <c r="AA51" s="46"/>
      <c r="AB51" s="46"/>
      <c r="AC51" s="46"/>
      <c r="AD51" s="46"/>
      <c r="AE51" s="46"/>
      <c r="AF51" s="46"/>
      <c r="AG51" s="46"/>
      <c r="AH51" s="46"/>
      <c r="AI51" s="46"/>
      <c r="AJ51" s="46"/>
      <c r="AK51" s="46"/>
      <c r="AL51" s="46"/>
      <c r="AM51" s="46"/>
      <c r="AN51" s="46"/>
      <c r="AO51" s="46"/>
      <c r="AP51" s="46"/>
      <c r="AQ51" s="46"/>
      <c r="AR51" s="46"/>
      <c r="AS51" s="46"/>
      <c r="AT51" s="46"/>
      <c r="AU51" s="46"/>
      <c r="AV51" s="46"/>
      <c r="AW51" s="46"/>
      <c r="AX51" s="46"/>
      <c r="AY51" s="46"/>
      <c r="AZ51" s="47" t="str">
        <f>"文書番号："&amp;文書番号&amp;"　版数："&amp;版数</f>
        <v>文書番号：ARC-0002　版数：1.0</v>
      </c>
      <c r="BA51" s="47"/>
      <c r="BB51" s="47"/>
      <c r="BC51" s="47"/>
      <c r="BD51" s="47"/>
      <c r="BE51" s="47"/>
      <c r="BF51" s="47"/>
      <c r="BG51" s="47"/>
      <c r="BH51" s="47"/>
      <c r="BI51" s="47"/>
      <c r="BJ51" s="47"/>
      <c r="BK51" s="47"/>
      <c r="BL51" s="47"/>
      <c r="BM51" s="47"/>
      <c r="BN51" s="47"/>
      <c r="BO51" s="47"/>
      <c r="BP51" s="47"/>
      <c r="BQ51" s="47"/>
      <c r="BR51" s="47"/>
      <c r="BS51" s="47"/>
      <c r="BT51" s="47"/>
      <c r="BU51" s="47"/>
      <c r="BV51" s="47"/>
      <c r="BW51" s="47"/>
      <c r="BX51" s="47"/>
    </row>
  </sheetData>
  <mergeCells count="113">
    <mergeCell ref="C46:BV46"/>
    <mergeCell ref="C48:BV48"/>
    <mergeCell ref="B51:Y51"/>
    <mergeCell ref="Z51:AY51"/>
    <mergeCell ref="AZ51:BX51"/>
    <mergeCell ref="AK24:BI24"/>
    <mergeCell ref="AK25:AM25"/>
    <mergeCell ref="AN25:AR25"/>
    <mergeCell ref="AS25:BN25"/>
    <mergeCell ref="BO25:BV25"/>
    <mergeCell ref="AK26:AM26"/>
    <mergeCell ref="AN26:AR26"/>
    <mergeCell ref="AS26:BN26"/>
    <mergeCell ref="BO26:BV26"/>
    <mergeCell ref="AK27:AM27"/>
    <mergeCell ref="AN27:AR27"/>
    <mergeCell ref="AS27:BN27"/>
    <mergeCell ref="BO27:BV27"/>
    <mergeCell ref="AK28:AM28"/>
    <mergeCell ref="AN28:AR28"/>
    <mergeCell ref="AS28:BN28"/>
    <mergeCell ref="BO28:BV28"/>
    <mergeCell ref="AK29:AM29"/>
    <mergeCell ref="AN29:AR29"/>
    <mergeCell ref="AS29:BN29"/>
    <mergeCell ref="C31:D31"/>
    <mergeCell ref="E31:F31"/>
    <mergeCell ref="G31:P31"/>
    <mergeCell ref="Q31:AH31"/>
    <mergeCell ref="C32:D32"/>
    <mergeCell ref="E32:F32"/>
    <mergeCell ref="G32:P32"/>
    <mergeCell ref="Q32:AH32"/>
    <mergeCell ref="C33:D33"/>
    <mergeCell ref="E33:F33"/>
    <mergeCell ref="G33:P33"/>
    <mergeCell ref="Q33:AH33"/>
    <mergeCell ref="AM21:AU21"/>
    <mergeCell ref="AV21:BV21"/>
    <mergeCell ref="AK22:AL22"/>
    <mergeCell ref="AM22:AU22"/>
    <mergeCell ref="AV22:BV22"/>
    <mergeCell ref="C28:AE28"/>
    <mergeCell ref="C29:AH29"/>
    <mergeCell ref="C30:D30"/>
    <mergeCell ref="E30:F30"/>
    <mergeCell ref="G30:P30"/>
    <mergeCell ref="Q30:AH30"/>
    <mergeCell ref="BO29:BV29"/>
    <mergeCell ref="AK30:AM30"/>
    <mergeCell ref="AN30:AR30"/>
    <mergeCell ref="AS30:BN30"/>
    <mergeCell ref="BO30:BV30"/>
    <mergeCell ref="C23:I23"/>
    <mergeCell ref="J23:AF23"/>
    <mergeCell ref="C24:I24"/>
    <mergeCell ref="J24:AF24"/>
    <mergeCell ref="C25:I25"/>
    <mergeCell ref="J25:AF25"/>
    <mergeCell ref="AK14:BI14"/>
    <mergeCell ref="AK15:BV15"/>
    <mergeCell ref="AK16:AL16"/>
    <mergeCell ref="AM16:AU16"/>
    <mergeCell ref="AV16:BV16"/>
    <mergeCell ref="AK17:AL17"/>
    <mergeCell ref="AM17:AU17"/>
    <mergeCell ref="AV17:BV17"/>
    <mergeCell ref="AK18:AL18"/>
    <mergeCell ref="AM18:AU18"/>
    <mergeCell ref="AV18:BV18"/>
    <mergeCell ref="AK19:AL19"/>
    <mergeCell ref="AM19:AU19"/>
    <mergeCell ref="AV19:BV19"/>
    <mergeCell ref="AK20:AL20"/>
    <mergeCell ref="AM20:AU20"/>
    <mergeCell ref="AV20:BV20"/>
    <mergeCell ref="AK21:AL21"/>
    <mergeCell ref="C18:I18"/>
    <mergeCell ref="J18:AF18"/>
    <mergeCell ref="C19:I19"/>
    <mergeCell ref="J19:AF19"/>
    <mergeCell ref="C20:I20"/>
    <mergeCell ref="J20:AF20"/>
    <mergeCell ref="C21:I21"/>
    <mergeCell ref="J21:AF21"/>
    <mergeCell ref="C22:I22"/>
    <mergeCell ref="J22:AF22"/>
    <mergeCell ref="C3:AO3"/>
    <mergeCell ref="C5:BV7"/>
    <mergeCell ref="C9:BV10"/>
    <mergeCell ref="C14:AE14"/>
    <mergeCell ref="C15:AF15"/>
    <mergeCell ref="C16:I16"/>
    <mergeCell ref="J16:AF16"/>
    <mergeCell ref="C17:I17"/>
    <mergeCell ref="J17:AF17"/>
    <mergeCell ref="C39:AE39"/>
    <mergeCell ref="C37:D37"/>
    <mergeCell ref="E37:F37"/>
    <mergeCell ref="G37:P37"/>
    <mergeCell ref="Q37:AH37"/>
    <mergeCell ref="C34:D34"/>
    <mergeCell ref="E34:F34"/>
    <mergeCell ref="G34:P34"/>
    <mergeCell ref="Q34:AH34"/>
    <mergeCell ref="C35:D35"/>
    <mergeCell ref="E35:F35"/>
    <mergeCell ref="G35:P35"/>
    <mergeCell ref="Q35:AH35"/>
    <mergeCell ref="C36:D36"/>
    <mergeCell ref="E36:F36"/>
    <mergeCell ref="G36:P36"/>
    <mergeCell ref="Q36:AH36"/>
  </mergeCells>
  <phoneticPr fontId="35"/>
  <hyperlinks>
    <hyperlink ref="AM17" location="'使い方'!A1" display="使い方" xr:uid="{00000000-0004-0000-0000-000000000000}"/>
    <hyperlink ref="AM18" location="'構成図'!A1" display="構成図" xr:uid="{00000000-0004-0000-0000-000001000000}"/>
    <hyperlink ref="AM19" location="'構成図_記入例'!A1" display="構成図_記入例" xr:uid="{00000000-0004-0000-0000-000002000000}"/>
    <hyperlink ref="AM20" location="'部品'!A1" display="部品" xr:uid="{00000000-0004-0000-0000-000003000000}"/>
    <hyperlink ref="AM21" location="'連携一覧'!A1" display="連携一覧" xr:uid="{00000000-0004-0000-0000-000004000000}"/>
    <hyperlink ref="AM22" location="'構成要素一覧'!A1" display="構成要素一覧" xr:uid="{00000000-0004-0000-0000-000005000000}"/>
  </hyperlinks>
  <printOptions horizontalCentered="1"/>
  <pageMargins left="0.4" right="0.4" top="0.4" bottom="0.4" header="0.3" footer="0.3"/>
  <pageSetup paperSize="8"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95959"/>
    <pageSetUpPr fitToPage="1"/>
  </sheetPr>
  <dimension ref="B1:BW131"/>
  <sheetViews>
    <sheetView showGridLines="0" zoomScale="85" zoomScaleNormal="85" workbookViewId="0"/>
  </sheetViews>
  <sheetFormatPr defaultRowHeight="15" customHeight="1" x14ac:dyDescent="0.25"/>
  <cols>
    <col min="1" max="161" width="2.80859375" customWidth="1"/>
  </cols>
  <sheetData>
    <row r="1" ht="15" customHeight="1" x14ac:dyDescent="0.25">
      <c r="B1" s="48" t="s">
        <v>339</v>
      </c>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c r="AL1" s="48"/>
      <c r="AM1" s="48"/>
      <c r="AN1" s="48"/>
      <c r="AO1" s="48"/>
      <c r="AP1" s="48"/>
      <c r="AQ1" s="48"/>
      <c r="AR1" s="48"/>
      <c r="AS1" s="48"/>
      <c r="AT1" s="48"/>
      <c r="AU1" s="48"/>
      <c r="AV1" s="48"/>
      <c r="AW1" s="48"/>
      <c r="AX1" s="48"/>
      <c r="AY1" s="48"/>
      <c r="AZ1" s="48"/>
      <c r="BA1" s="48"/>
      <c r="BB1" s="48"/>
      <c r="BC1" s="48"/>
      <c r="BD1" s="48"/>
      <c r="BE1" s="48"/>
      <c r="BF1" s="48"/>
      <c r="BG1" s="48"/>
      <c r="BH1" s="48"/>
      <c r="BI1" s="48"/>
      <c r="BJ1" s="48"/>
      <c r="BK1" s="48"/>
      <c r="BL1" s="48"/>
      <c r="BM1" s="48"/>
      <c r="BN1" s="48"/>
      <c r="BO1" s="48"/>
      <c r="BP1" s="48"/>
      <c r="BQ1" s="48"/>
      <c r="BR1" s="48"/>
      <c r="BS1" s="48"/>
      <c r="BT1" s="48"/>
      <c r="BU1" s="48"/>
      <c r="BV1" s="48"/>
      <c r="BW1" s="48"/>
    </row>
    <row r="2" ht="15" customHeight="1" x14ac:dyDescent="0.25">
      <c r="B2" s="48"/>
      <c r="C2" s="48"/>
      <c r="D2" s="48"/>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row>
    <row r="4" ht="15" customHeight="1" x14ac:dyDescent="0.25">
      <c r="B4" s="49" t="s">
        <v>340</v>
      </c>
      <c r="C4" s="49"/>
      <c r="D4" s="49"/>
      <c r="E4" s="49"/>
      <c r="F4" s="49"/>
      <c r="G4" s="49"/>
      <c r="H4" s="49"/>
      <c r="I4" s="49"/>
      <c r="J4" s="49"/>
      <c r="K4" s="49"/>
      <c r="L4" s="49"/>
      <c r="M4" s="49"/>
      <c r="N4" s="49"/>
      <c r="O4" s="49"/>
      <c r="P4" s="49"/>
      <c r="Q4" s="49"/>
      <c r="R4" s="49"/>
      <c r="S4" s="49"/>
      <c r="T4" s="49"/>
      <c r="U4" s="49"/>
      <c r="V4" s="49"/>
      <c r="W4" s="49"/>
      <c r="X4" s="49"/>
      <c r="Y4" s="49"/>
      <c r="Z4" s="49"/>
      <c r="AA4" s="49"/>
      <c r="AB4" s="49"/>
      <c r="AC4" s="49"/>
      <c r="AD4" s="49"/>
      <c r="AE4" s="49"/>
      <c r="AF4" s="49"/>
      <c r="AG4" s="49"/>
      <c r="AH4" s="49"/>
      <c r="AI4" s="49"/>
      <c r="AJ4" s="49"/>
      <c r="AK4" s="49"/>
      <c r="AL4" s="49"/>
      <c r="AM4" s="49"/>
      <c r="AN4" s="49"/>
      <c r="AO4" s="49"/>
      <c r="AP4" s="49"/>
      <c r="AQ4" s="49"/>
      <c r="AR4" s="49"/>
      <c r="AS4" s="49"/>
      <c r="AT4" s="49"/>
      <c r="AU4" s="49"/>
      <c r="AV4" s="49"/>
      <c r="AW4" s="49"/>
      <c r="AX4" s="49"/>
      <c r="AY4" s="49"/>
      <c r="AZ4" s="49"/>
      <c r="BA4" s="49"/>
      <c r="BB4" s="49"/>
      <c r="BC4" s="49"/>
      <c r="BD4" s="49"/>
      <c r="BE4" s="49"/>
      <c r="BF4" s="49"/>
      <c r="BG4" s="49"/>
      <c r="BH4" s="49"/>
      <c r="BI4" s="49"/>
      <c r="BJ4" s="49"/>
      <c r="BK4" s="49"/>
      <c r="BL4" s="49"/>
      <c r="BM4" s="49"/>
      <c r="BN4" s="49"/>
      <c r="BO4" s="49"/>
      <c r="BP4" s="49"/>
      <c r="BQ4" s="49"/>
      <c r="BR4" s="49"/>
      <c r="BS4" s="49"/>
      <c r="BT4" s="49"/>
      <c r="BU4" s="49"/>
      <c r="BV4" s="49"/>
      <c r="BW4" s="49"/>
    </row>
    <row r="5" ht="15" customHeight="1" x14ac:dyDescent="0.25">
      <c r="B5" s="49"/>
      <c r="C5" s="49"/>
      <c r="D5" s="49"/>
      <c r="E5" s="49"/>
      <c r="F5" s="49"/>
      <c r="G5" s="49"/>
      <c r="H5" s="49"/>
      <c r="I5" s="49"/>
      <c r="J5" s="49"/>
      <c r="K5" s="49"/>
      <c r="L5" s="49"/>
      <c r="M5" s="49"/>
      <c r="N5" s="49"/>
      <c r="O5" s="49"/>
      <c r="P5" s="49"/>
      <c r="Q5" s="49"/>
      <c r="R5" s="49"/>
      <c r="S5" s="49"/>
      <c r="T5" s="49"/>
      <c r="U5" s="49"/>
      <c r="V5" s="49"/>
      <c r="W5" s="49"/>
      <c r="X5" s="49"/>
      <c r="Y5" s="49"/>
      <c r="Z5" s="49"/>
      <c r="AA5" s="49"/>
      <c r="AB5" s="49"/>
      <c r="AC5" s="49"/>
      <c r="AD5" s="49"/>
      <c r="AE5" s="49"/>
      <c r="AF5" s="49"/>
      <c r="AG5" s="49"/>
      <c r="AH5" s="49"/>
      <c r="AI5" s="49"/>
      <c r="AJ5" s="49"/>
      <c r="AK5" s="49"/>
      <c r="AL5" s="49"/>
      <c r="AM5" s="49"/>
      <c r="AN5" s="49"/>
      <c r="AO5" s="49"/>
      <c r="AP5" s="49"/>
      <c r="AQ5" s="49"/>
      <c r="AR5" s="49"/>
      <c r="AS5" s="49"/>
      <c r="AT5" s="49"/>
      <c r="AU5" s="49"/>
      <c r="AV5" s="49"/>
      <c r="AW5" s="49"/>
      <c r="AX5" s="49"/>
      <c r="AY5" s="49"/>
      <c r="AZ5" s="49"/>
      <c r="BA5" s="49"/>
      <c r="BB5" s="49"/>
      <c r="BC5" s="49"/>
      <c r="BD5" s="49"/>
      <c r="BE5" s="49"/>
      <c r="BF5" s="49"/>
      <c r="BG5" s="49"/>
      <c r="BH5" s="49"/>
      <c r="BI5" s="49"/>
      <c r="BJ5" s="49"/>
      <c r="BK5" s="49"/>
      <c r="BL5" s="49"/>
      <c r="BM5" s="49"/>
      <c r="BN5" s="49"/>
      <c r="BO5" s="49"/>
      <c r="BP5" s="49"/>
      <c r="BQ5" s="49"/>
      <c r="BR5" s="49"/>
      <c r="BS5" s="49"/>
      <c r="BT5" s="49"/>
      <c r="BU5" s="49"/>
      <c r="BV5" s="49"/>
      <c r="BW5" s="49"/>
    </row>
    <row r="14" ht="15" customHeight="1" x14ac:dyDescent="0.25">
      <c r="B14" s="49" t="s">
        <v>341</v>
      </c>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c r="AH14" s="49"/>
      <c r="AI14" s="49"/>
      <c r="AJ14" s="49"/>
      <c r="AK14" s="49"/>
      <c r="AL14" s="49"/>
      <c r="AM14" s="49"/>
      <c r="AN14" s="49"/>
      <c r="AO14" s="49"/>
      <c r="AP14" s="49"/>
      <c r="AQ14" s="49"/>
      <c r="AR14" s="49"/>
      <c r="AS14" s="49"/>
      <c r="AT14" s="49"/>
      <c r="AU14" s="49"/>
      <c r="AV14" s="49"/>
      <c r="AW14" s="49"/>
      <c r="AX14" s="49"/>
      <c r="AY14" s="49"/>
      <c r="AZ14" s="49"/>
      <c r="BA14" s="49"/>
      <c r="BB14" s="49"/>
      <c r="BC14" s="49"/>
      <c r="BD14" s="49"/>
      <c r="BE14" s="49"/>
      <c r="BF14" s="49"/>
      <c r="BG14" s="49"/>
      <c r="BH14" s="49"/>
      <c r="BI14" s="49"/>
      <c r="BJ14" s="49"/>
      <c r="BK14" s="49"/>
      <c r="BL14" s="49"/>
      <c r="BM14" s="49"/>
      <c r="BN14" s="49"/>
      <c r="BO14" s="49"/>
      <c r="BP14" s="49"/>
      <c r="BQ14" s="49"/>
      <c r="BR14" s="49"/>
      <c r="BS14" s="49"/>
      <c r="BT14" s="49"/>
      <c r="BU14" s="49"/>
      <c r="BV14" s="49"/>
      <c r="BW14" s="49"/>
    </row>
    <row r="15" ht="15" customHeight="1" x14ac:dyDescent="0.25">
      <c r="B15" s="49"/>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c r="AH15" s="49"/>
      <c r="AI15" s="49"/>
      <c r="AJ15" s="49"/>
      <c r="AK15" s="49"/>
      <c r="AL15" s="49"/>
      <c r="AM15" s="49"/>
      <c r="AN15" s="49"/>
      <c r="AO15" s="49"/>
      <c r="AP15" s="49"/>
      <c r="AQ15" s="49"/>
      <c r="AR15" s="49"/>
      <c r="AS15" s="49"/>
      <c r="AT15" s="49"/>
      <c r="AU15" s="49"/>
      <c r="AV15" s="49"/>
      <c r="AW15" s="49"/>
      <c r="AX15" s="49"/>
      <c r="AY15" s="49"/>
      <c r="AZ15" s="49"/>
      <c r="BA15" s="49"/>
      <c r="BB15" s="49"/>
      <c r="BC15" s="49"/>
      <c r="BD15" s="49"/>
      <c r="BE15" s="49"/>
      <c r="BF15" s="49"/>
      <c r="BG15" s="49"/>
      <c r="BH15" s="49"/>
      <c r="BI15" s="49"/>
      <c r="BJ15" s="49"/>
      <c r="BK15" s="49"/>
      <c r="BL15" s="49"/>
      <c r="BM15" s="49"/>
      <c r="BN15" s="49"/>
      <c r="BO15" s="49"/>
      <c r="BP15" s="49"/>
      <c r="BQ15" s="49"/>
      <c r="BR15" s="49"/>
      <c r="BS15" s="49"/>
      <c r="BT15" s="49"/>
      <c r="BU15" s="49"/>
      <c r="BV15" s="49"/>
      <c r="BW15" s="49"/>
    </row>
    <row r="17" ht="15" customHeight="1" x14ac:dyDescent="0.25">
      <c r="C17" s="26" t="s">
        <v>24</v>
      </c>
      <c r="D17" s="26"/>
      <c r="E17" s="26"/>
      <c r="F17" s="26"/>
      <c r="G17" s="26"/>
      <c r="H17" s="26"/>
      <c r="I17" s="26"/>
      <c r="J17" s="26"/>
      <c r="K17" s="26"/>
      <c r="L17" s="26"/>
      <c r="M17" s="26"/>
      <c r="N17" s="26"/>
      <c r="O17" s="26"/>
      <c r="P17" s="26"/>
      <c r="Q17" s="26" t="s">
        <v>342</v>
      </c>
      <c r="R17" s="26"/>
      <c r="S17" s="26"/>
      <c r="T17" s="26"/>
      <c r="U17" s="26"/>
      <c r="V17" s="26"/>
      <c r="W17" s="26"/>
      <c r="X17" s="26"/>
      <c r="Y17" s="26"/>
      <c r="Z17" s="26"/>
      <c r="AA17" s="26"/>
      <c r="AB17" s="26"/>
      <c r="AC17" s="26"/>
      <c r="AD17" s="26"/>
      <c r="AE17" s="26" t="s">
        <v>343</v>
      </c>
      <c r="AF17" s="26"/>
      <c r="AG17" s="26"/>
      <c r="AH17" s="26"/>
      <c r="AI17" s="26"/>
      <c r="AJ17" s="26"/>
      <c r="AK17" s="26"/>
      <c r="AL17" s="26"/>
      <c r="AM17" s="26"/>
      <c r="AN17" s="26"/>
      <c r="AO17" s="26"/>
      <c r="AP17" s="26"/>
      <c r="AQ17" s="26"/>
      <c r="AR17" s="26"/>
      <c r="AS17" s="26"/>
      <c r="AT17" s="26"/>
      <c r="AU17" s="26"/>
      <c r="AV17" s="26"/>
      <c r="AW17" s="26"/>
      <c r="AX17" s="26"/>
      <c r="AY17" s="26"/>
      <c r="AZ17" s="26"/>
      <c r="BA17" s="26"/>
      <c r="BB17" s="26"/>
      <c r="BC17" s="26"/>
      <c r="BD17" s="26"/>
      <c r="BE17" s="26"/>
      <c r="BF17" s="26"/>
      <c r="BG17" s="26"/>
      <c r="BH17" s="26"/>
      <c r="BI17" s="26"/>
      <c r="BJ17" s="26"/>
      <c r="BK17" s="26"/>
      <c r="BL17" s="26"/>
      <c r="BM17" s="26"/>
      <c r="BN17" s="26"/>
      <c r="BO17" s="26"/>
      <c r="BP17" s="26"/>
      <c r="BQ17" s="26"/>
      <c r="BR17" s="26"/>
      <c r="BS17" s="26"/>
      <c r="BT17" s="26"/>
      <c r="BU17" s="26"/>
      <c r="BV17" s="26"/>
      <c r="BW17" s="26"/>
    </row>
    <row r="18" ht="15" customHeight="1" x14ac:dyDescent="0.25">
      <c r="C18" s="50" t="s">
        <v>344</v>
      </c>
      <c r="D18" s="50"/>
      <c r="E18" s="50"/>
      <c r="F18" s="50"/>
      <c r="G18" s="50"/>
      <c r="H18" s="50"/>
      <c r="I18" s="50"/>
      <c r="J18" s="50"/>
      <c r="K18" s="50"/>
      <c r="L18" s="50"/>
      <c r="M18" s="50"/>
      <c r="N18" s="50"/>
      <c r="O18" s="50"/>
      <c r="P18" s="50"/>
      <c r="Q18" s="51" t="s">
        <v>345</v>
      </c>
      <c r="R18" s="51"/>
      <c r="S18" s="51"/>
      <c r="T18" s="51"/>
      <c r="U18" s="51"/>
      <c r="V18" s="51"/>
      <c r="W18" s="51"/>
      <c r="X18" s="51"/>
      <c r="Y18" s="51"/>
      <c r="Z18" s="51"/>
      <c r="AA18" s="51"/>
      <c r="AB18" s="51"/>
      <c r="AC18" s="51"/>
      <c r="AD18" s="51"/>
      <c r="AE18" s="51" t="s">
        <v>346</v>
      </c>
      <c r="AF18" s="51"/>
      <c r="AG18" s="51"/>
      <c r="AH18" s="51"/>
      <c r="AI18" s="51"/>
      <c r="AJ18" s="51"/>
      <c r="AK18" s="51"/>
      <c r="AL18" s="51"/>
      <c r="AM18" s="51"/>
      <c r="AN18" s="51"/>
      <c r="AO18" s="51"/>
      <c r="AP18" s="51"/>
      <c r="AQ18" s="51"/>
      <c r="AR18" s="51"/>
      <c r="AS18" s="51"/>
      <c r="AT18" s="51"/>
      <c r="AU18" s="51"/>
      <c r="AV18" s="51"/>
      <c r="AW18" s="51"/>
      <c r="AX18" s="51"/>
      <c r="AY18" s="51"/>
      <c r="AZ18" s="51"/>
      <c r="BA18" s="51"/>
      <c r="BB18" s="51"/>
      <c r="BC18" s="51"/>
      <c r="BD18" s="51"/>
      <c r="BE18" s="51"/>
      <c r="BF18" s="51"/>
      <c r="BG18" s="51"/>
      <c r="BH18" s="51"/>
      <c r="BI18" s="51"/>
      <c r="BJ18" s="51"/>
      <c r="BK18" s="51"/>
      <c r="BL18" s="51"/>
      <c r="BM18" s="51"/>
      <c r="BN18" s="51"/>
      <c r="BO18" s="51"/>
      <c r="BP18" s="51"/>
      <c r="BQ18" s="51"/>
      <c r="BR18" s="51"/>
      <c r="BS18" s="51"/>
      <c r="BT18" s="51"/>
      <c r="BU18" s="51"/>
      <c r="BV18" s="51"/>
      <c r="BW18" s="51"/>
    </row>
    <row r="19" ht="15" customHeight="1" x14ac:dyDescent="0.25">
      <c r="C19" s="50" t="s">
        <v>28</v>
      </c>
      <c r="D19" s="50"/>
      <c r="E19" s="50"/>
      <c r="F19" s="50"/>
      <c r="G19" s="50"/>
      <c r="H19" s="50"/>
      <c r="I19" s="50"/>
      <c r="J19" s="50"/>
      <c r="K19" s="50"/>
      <c r="L19" s="50"/>
      <c r="M19" s="50"/>
      <c r="N19" s="50"/>
      <c r="O19" s="50"/>
      <c r="P19" s="50"/>
      <c r="Q19" s="51" t="s">
        <v>347</v>
      </c>
      <c r="R19" s="51"/>
      <c r="S19" s="51"/>
      <c r="T19" s="51"/>
      <c r="U19" s="51"/>
      <c r="V19" s="51"/>
      <c r="W19" s="51"/>
      <c r="X19" s="51"/>
      <c r="Y19" s="51"/>
      <c r="Z19" s="51"/>
      <c r="AA19" s="51"/>
      <c r="AB19" s="51"/>
      <c r="AC19" s="51"/>
      <c r="AD19" s="51"/>
      <c r="AE19" s="51" t="s">
        <v>348</v>
      </c>
      <c r="AF19" s="51"/>
      <c r="AG19" s="51"/>
      <c r="AH19" s="51"/>
      <c r="AI19" s="51"/>
      <c r="AJ19" s="51"/>
      <c r="AK19" s="51"/>
      <c r="AL19" s="51"/>
      <c r="AM19" s="51"/>
      <c r="AN19" s="51"/>
      <c r="AO19" s="51"/>
      <c r="AP19" s="51"/>
      <c r="AQ19" s="51"/>
      <c r="AR19" s="51"/>
      <c r="AS19" s="51"/>
      <c r="AT19" s="51"/>
      <c r="AU19" s="51"/>
      <c r="AV19" s="51"/>
      <c r="AW19" s="51"/>
      <c r="AX19" s="51"/>
      <c r="AY19" s="51"/>
      <c r="AZ19" s="51"/>
      <c r="BA19" s="51"/>
      <c r="BB19" s="51"/>
      <c r="BC19" s="51"/>
      <c r="BD19" s="51"/>
      <c r="BE19" s="51"/>
      <c r="BF19" s="51"/>
      <c r="BG19" s="51"/>
      <c r="BH19" s="51"/>
      <c r="BI19" s="51"/>
      <c r="BJ19" s="51"/>
      <c r="BK19" s="51"/>
      <c r="BL19" s="51"/>
      <c r="BM19" s="51"/>
      <c r="BN19" s="51"/>
      <c r="BO19" s="51"/>
      <c r="BP19" s="51"/>
      <c r="BQ19" s="51"/>
      <c r="BR19" s="51"/>
      <c r="BS19" s="51"/>
      <c r="BT19" s="51"/>
      <c r="BU19" s="51"/>
      <c r="BV19" s="51"/>
      <c r="BW19" s="51"/>
    </row>
    <row r="20" ht="15" customHeight="1" x14ac:dyDescent="0.25">
      <c r="C20" s="50" t="s">
        <v>30</v>
      </c>
      <c r="D20" s="50"/>
      <c r="E20" s="50"/>
      <c r="F20" s="50"/>
      <c r="G20" s="50"/>
      <c r="H20" s="50"/>
      <c r="I20" s="50"/>
      <c r="J20" s="50"/>
      <c r="K20" s="50"/>
      <c r="L20" s="50"/>
      <c r="M20" s="50"/>
      <c r="N20" s="50"/>
      <c r="O20" s="50"/>
      <c r="P20" s="50"/>
      <c r="Q20" s="51" t="s">
        <v>349</v>
      </c>
      <c r="R20" s="51"/>
      <c r="S20" s="51"/>
      <c r="T20" s="51"/>
      <c r="U20" s="51"/>
      <c r="V20" s="51"/>
      <c r="W20" s="51"/>
      <c r="X20" s="51"/>
      <c r="Y20" s="51"/>
      <c r="Z20" s="51"/>
      <c r="AA20" s="51"/>
      <c r="AB20" s="51"/>
      <c r="AC20" s="51"/>
      <c r="AD20" s="51"/>
      <c r="AE20" s="51" t="s">
        <v>350</v>
      </c>
      <c r="AF20" s="51"/>
      <c r="AG20" s="51"/>
      <c r="AH20" s="51"/>
      <c r="AI20" s="51"/>
      <c r="AJ20" s="51"/>
      <c r="AK20" s="51"/>
      <c r="AL20" s="51"/>
      <c r="AM20" s="51"/>
      <c r="AN20" s="51"/>
      <c r="AO20" s="51"/>
      <c r="AP20" s="51"/>
      <c r="AQ20" s="51"/>
      <c r="AR20" s="51"/>
      <c r="AS20" s="51"/>
      <c r="AT20" s="51"/>
      <c r="AU20" s="51"/>
      <c r="AV20" s="51"/>
      <c r="AW20" s="51"/>
      <c r="AX20" s="51"/>
      <c r="AY20" s="51"/>
      <c r="AZ20" s="51"/>
      <c r="BA20" s="51"/>
      <c r="BB20" s="51"/>
      <c r="BC20" s="51"/>
      <c r="BD20" s="51"/>
      <c r="BE20" s="51"/>
      <c r="BF20" s="51"/>
      <c r="BG20" s="51"/>
      <c r="BH20" s="51"/>
      <c r="BI20" s="51"/>
      <c r="BJ20" s="51"/>
      <c r="BK20" s="51"/>
      <c r="BL20" s="51"/>
      <c r="BM20" s="51"/>
      <c r="BN20" s="51"/>
      <c r="BO20" s="51"/>
      <c r="BP20" s="51"/>
      <c r="BQ20" s="51"/>
      <c r="BR20" s="51"/>
      <c r="BS20" s="51"/>
      <c r="BT20" s="51"/>
      <c r="BU20" s="51"/>
      <c r="BV20" s="51"/>
      <c r="BW20" s="51"/>
    </row>
    <row r="21" ht="15" customHeight="1" x14ac:dyDescent="0.25">
      <c r="C21" s="50" t="s">
        <v>32</v>
      </c>
      <c r="D21" s="50"/>
      <c r="E21" s="50"/>
      <c r="F21" s="50"/>
      <c r="G21" s="50"/>
      <c r="H21" s="50"/>
      <c r="I21" s="50"/>
      <c r="J21" s="50"/>
      <c r="K21" s="50"/>
      <c r="L21" s="50"/>
      <c r="M21" s="50"/>
      <c r="N21" s="50"/>
      <c r="O21" s="50"/>
      <c r="P21" s="50"/>
      <c r="Q21" s="51" t="s">
        <v>351</v>
      </c>
      <c r="R21" s="51"/>
      <c r="S21" s="51"/>
      <c r="T21" s="51"/>
      <c r="U21" s="51"/>
      <c r="V21" s="51"/>
      <c r="W21" s="51"/>
      <c r="X21" s="51"/>
      <c r="Y21" s="51"/>
      <c r="Z21" s="51"/>
      <c r="AA21" s="51"/>
      <c r="AB21" s="51"/>
      <c r="AC21" s="51"/>
      <c r="AD21" s="51"/>
      <c r="AE21" s="51" t="s">
        <v>352</v>
      </c>
      <c r="AF21" s="51"/>
      <c r="AG21" s="51"/>
      <c r="AH21" s="51"/>
      <c r="AI21" s="51"/>
      <c r="AJ21" s="51"/>
      <c r="AK21" s="51"/>
      <c r="AL21" s="51"/>
      <c r="AM21" s="51"/>
      <c r="AN21" s="51"/>
      <c r="AO21" s="51"/>
      <c r="AP21" s="51"/>
      <c r="AQ21" s="51"/>
      <c r="AR21" s="51"/>
      <c r="AS21" s="51"/>
      <c r="AT21" s="51"/>
      <c r="AU21" s="51"/>
      <c r="AV21" s="51"/>
      <c r="AW21" s="51"/>
      <c r="AX21" s="51"/>
      <c r="AY21" s="51"/>
      <c r="AZ21" s="51"/>
      <c r="BA21" s="51"/>
      <c r="BB21" s="51"/>
      <c r="BC21" s="51"/>
      <c r="BD21" s="51"/>
      <c r="BE21" s="51"/>
      <c r="BF21" s="51"/>
      <c r="BG21" s="51"/>
      <c r="BH21" s="51"/>
      <c r="BI21" s="51"/>
      <c r="BJ21" s="51"/>
      <c r="BK21" s="51"/>
      <c r="BL21" s="51"/>
      <c r="BM21" s="51"/>
      <c r="BN21" s="51"/>
      <c r="BO21" s="51"/>
      <c r="BP21" s="51"/>
      <c r="BQ21" s="51"/>
      <c r="BR21" s="51"/>
      <c r="BS21" s="51"/>
      <c r="BT21" s="51"/>
      <c r="BU21" s="51"/>
      <c r="BV21" s="51"/>
      <c r="BW21" s="51"/>
    </row>
    <row r="22" ht="15" customHeight="1" x14ac:dyDescent="0.25">
      <c r="C22" s="50" t="s">
        <v>353</v>
      </c>
      <c r="D22" s="50"/>
      <c r="E22" s="50"/>
      <c r="F22" s="50"/>
      <c r="G22" s="50"/>
      <c r="H22" s="50"/>
      <c r="I22" s="50"/>
      <c r="J22" s="50"/>
      <c r="K22" s="50"/>
      <c r="L22" s="50"/>
      <c r="M22" s="50"/>
      <c r="N22" s="50"/>
      <c r="O22" s="50"/>
      <c r="P22" s="50"/>
      <c r="Q22" s="51" t="s">
        <v>354</v>
      </c>
      <c r="R22" s="51"/>
      <c r="S22" s="51"/>
      <c r="T22" s="51"/>
      <c r="U22" s="51"/>
      <c r="V22" s="51"/>
      <c r="W22" s="51"/>
      <c r="X22" s="51"/>
      <c r="Y22" s="51"/>
      <c r="Z22" s="51"/>
      <c r="AA22" s="51"/>
      <c r="AB22" s="51"/>
      <c r="AC22" s="51"/>
      <c r="AD22" s="51"/>
      <c r="AE22" s="51" t="s">
        <v>355</v>
      </c>
      <c r="AF22" s="51"/>
      <c r="AG22" s="51"/>
      <c r="AH22" s="51"/>
      <c r="AI22" s="51"/>
      <c r="AJ22" s="51"/>
      <c r="AK22" s="51"/>
      <c r="AL22" s="51"/>
      <c r="AM22" s="51"/>
      <c r="AN22" s="51"/>
      <c r="AO22" s="51"/>
      <c r="AP22" s="51"/>
      <c r="AQ22" s="51"/>
      <c r="AR22" s="51"/>
      <c r="AS22" s="51"/>
      <c r="AT22" s="51"/>
      <c r="AU22" s="51"/>
      <c r="AV22" s="51"/>
      <c r="AW22" s="51"/>
      <c r="AX22" s="51"/>
      <c r="AY22" s="51"/>
      <c r="AZ22" s="51"/>
      <c r="BA22" s="51"/>
      <c r="BB22" s="51"/>
      <c r="BC22" s="51"/>
      <c r="BD22" s="51"/>
      <c r="BE22" s="51"/>
      <c r="BF22" s="51"/>
      <c r="BG22" s="51"/>
      <c r="BH22" s="51"/>
      <c r="BI22" s="51"/>
      <c r="BJ22" s="51"/>
      <c r="BK22" s="51"/>
      <c r="BL22" s="51"/>
      <c r="BM22" s="51"/>
      <c r="BN22" s="51"/>
      <c r="BO22" s="51"/>
      <c r="BP22" s="51"/>
      <c r="BQ22" s="51"/>
      <c r="BR22" s="51"/>
      <c r="BS22" s="51"/>
      <c r="BT22" s="51"/>
      <c r="BU22" s="51"/>
      <c r="BV22" s="51"/>
      <c r="BW22" s="51"/>
    </row>
    <row r="24" ht="15" customHeight="1" x14ac:dyDescent="0.25">
      <c r="B24" s="49" t="s">
        <v>356</v>
      </c>
      <c r="C24" s="49"/>
      <c r="D24" s="49"/>
      <c r="E24" s="49"/>
      <c r="F24" s="49"/>
      <c r="G24" s="49"/>
      <c r="H24" s="49"/>
      <c r="I24" s="49"/>
      <c r="J24" s="49"/>
      <c r="K24" s="49"/>
      <c r="L24" s="49"/>
      <c r="M24" s="49"/>
      <c r="N24" s="49"/>
      <c r="O24" s="49"/>
      <c r="P24" s="49"/>
      <c r="Q24" s="49"/>
      <c r="R24" s="49"/>
      <c r="S24" s="49"/>
      <c r="T24" s="49"/>
      <c r="U24" s="49"/>
      <c r="V24" s="49"/>
      <c r="W24" s="49"/>
      <c r="X24" s="49"/>
      <c r="Y24" s="49"/>
      <c r="Z24" s="49"/>
      <c r="AA24" s="49"/>
      <c r="AB24" s="49"/>
      <c r="AC24" s="49"/>
      <c r="AD24" s="49"/>
      <c r="AE24" s="49"/>
      <c r="AF24" s="49"/>
      <c r="AG24" s="49"/>
      <c r="AH24" s="49"/>
      <c r="AI24" s="49"/>
      <c r="AJ24" s="49"/>
      <c r="AK24" s="49"/>
      <c r="AL24" s="49"/>
      <c r="AM24" s="49"/>
      <c r="AN24" s="49"/>
      <c r="AO24" s="49"/>
      <c r="AP24" s="49"/>
      <c r="AQ24" s="49"/>
      <c r="AR24" s="49"/>
      <c r="AS24" s="49"/>
      <c r="AT24" s="49"/>
      <c r="AU24" s="49"/>
      <c r="AV24" s="49"/>
      <c r="AW24" s="49"/>
      <c r="AX24" s="49"/>
      <c r="AY24" s="49"/>
      <c r="AZ24" s="49"/>
      <c r="BA24" s="49"/>
      <c r="BB24" s="49"/>
      <c r="BC24" s="49"/>
      <c r="BD24" s="49"/>
      <c r="BE24" s="49"/>
      <c r="BF24" s="49"/>
      <c r="BG24" s="49"/>
      <c r="BH24" s="49"/>
      <c r="BI24" s="49"/>
      <c r="BJ24" s="49"/>
      <c r="BK24" s="49"/>
      <c r="BL24" s="49"/>
      <c r="BM24" s="49"/>
      <c r="BN24" s="49"/>
      <c r="BO24" s="49"/>
      <c r="BP24" s="49"/>
      <c r="BQ24" s="49"/>
      <c r="BR24" s="49"/>
      <c r="BS24" s="49"/>
      <c r="BT24" s="49"/>
      <c r="BU24" s="49"/>
      <c r="BV24" s="49"/>
      <c r="BW24" s="49"/>
    </row>
    <row r="25" ht="15" customHeight="1" x14ac:dyDescent="0.25">
      <c r="B25" s="49"/>
      <c r="C25" s="49"/>
      <c r="D25" s="49"/>
      <c r="E25" s="49"/>
      <c r="F25" s="49"/>
      <c r="G25" s="49"/>
      <c r="H25" s="49"/>
      <c r="I25" s="49"/>
      <c r="J25" s="49"/>
      <c r="K25" s="49"/>
      <c r="L25" s="49"/>
      <c r="M25" s="49"/>
      <c r="N25" s="49"/>
      <c r="O25" s="49"/>
      <c r="P25" s="49"/>
      <c r="Q25" s="49"/>
      <c r="R25" s="49"/>
      <c r="S25" s="49"/>
      <c r="T25" s="49"/>
      <c r="U25" s="49"/>
      <c r="V25" s="49"/>
      <c r="W25" s="49"/>
      <c r="X25" s="49"/>
      <c r="Y25" s="49"/>
      <c r="Z25" s="49"/>
      <c r="AA25" s="49"/>
      <c r="AB25" s="49"/>
      <c r="AC25" s="49"/>
      <c r="AD25" s="49"/>
      <c r="AE25" s="49"/>
      <c r="AF25" s="49"/>
      <c r="AG25" s="49"/>
      <c r="AH25" s="49"/>
      <c r="AI25" s="49"/>
      <c r="AJ25" s="49"/>
      <c r="AK25" s="49"/>
      <c r="AL25" s="49"/>
      <c r="AM25" s="49"/>
      <c r="AN25" s="49"/>
      <c r="AO25" s="49"/>
      <c r="AP25" s="49"/>
      <c r="AQ25" s="49"/>
      <c r="AR25" s="49"/>
      <c r="AS25" s="49"/>
      <c r="AT25" s="49"/>
      <c r="AU25" s="49"/>
      <c r="AV25" s="49"/>
      <c r="AW25" s="49"/>
      <c r="AX25" s="49"/>
      <c r="AY25" s="49"/>
      <c r="AZ25" s="49"/>
      <c r="BA25" s="49"/>
      <c r="BB25" s="49"/>
      <c r="BC25" s="49"/>
      <c r="BD25" s="49"/>
      <c r="BE25" s="49"/>
      <c r="BF25" s="49"/>
      <c r="BG25" s="49"/>
      <c r="BH25" s="49"/>
      <c r="BI25" s="49"/>
      <c r="BJ25" s="49"/>
      <c r="BK25" s="49"/>
      <c r="BL25" s="49"/>
      <c r="BM25" s="49"/>
      <c r="BN25" s="49"/>
      <c r="BO25" s="49"/>
      <c r="BP25" s="49"/>
      <c r="BQ25" s="49"/>
      <c r="BR25" s="49"/>
      <c r="BS25" s="49"/>
      <c r="BT25" s="49"/>
      <c r="BU25" s="49"/>
      <c r="BV25" s="49"/>
      <c r="BW25" s="49"/>
    </row>
    <row r="27" ht="15" customHeight="1" x14ac:dyDescent="0.25">
      <c r="C27" s="52" t="s">
        <v>357</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2"/>
      <c r="AP27" s="52"/>
      <c r="AQ27" s="52"/>
      <c r="AR27" s="52"/>
      <c r="AS27" s="52"/>
      <c r="AT27" s="52"/>
      <c r="AU27" s="52"/>
      <c r="AV27" s="52"/>
      <c r="AW27" s="52"/>
      <c r="AX27" s="52"/>
      <c r="AY27" s="52"/>
      <c r="AZ27" s="52"/>
      <c r="BA27" s="52"/>
      <c r="BB27" s="52"/>
      <c r="BC27" s="52"/>
      <c r="BD27" s="52"/>
      <c r="BE27" s="52"/>
      <c r="BF27" s="52"/>
      <c r="BG27" s="52"/>
      <c r="BH27" s="52"/>
      <c r="BI27" s="52"/>
      <c r="BJ27" s="52"/>
      <c r="BK27" s="52"/>
      <c r="BL27" s="52"/>
      <c r="BM27" s="52"/>
      <c r="BN27" s="52"/>
      <c r="BO27" s="52"/>
      <c r="BP27" s="52"/>
      <c r="BQ27" s="52"/>
      <c r="BR27" s="52"/>
      <c r="BS27" s="52"/>
      <c r="BT27" s="52"/>
      <c r="BU27" s="52"/>
      <c r="BV27" s="52"/>
      <c r="BW27" s="52"/>
    </row>
    <row r="28" ht="15" customHeight="1" x14ac:dyDescent="0.25">
      <c r="C28" s="52" t="s">
        <v>358</v>
      </c>
      <c r="D28" s="52"/>
      <c r="E28" s="52"/>
      <c r="F28" s="52"/>
      <c r="G28" s="52"/>
      <c r="H28" s="52"/>
      <c r="I28" s="52"/>
      <c r="J28" s="52"/>
      <c r="K28" s="52"/>
      <c r="L28" s="52"/>
      <c r="M28" s="52"/>
      <c r="N28" s="52"/>
      <c r="O28" s="52"/>
      <c r="P28" s="52"/>
      <c r="Q28" s="52"/>
      <c r="R28" s="52"/>
      <c r="S28" s="52"/>
      <c r="T28" s="52"/>
      <c r="U28" s="52"/>
      <c r="V28" s="52"/>
      <c r="W28" s="52"/>
      <c r="X28" s="52"/>
      <c r="Y28" s="52"/>
      <c r="Z28" s="52"/>
      <c r="AA28" s="52"/>
      <c r="AB28" s="52"/>
      <c r="AC28" s="52"/>
      <c r="AD28" s="52"/>
      <c r="AE28" s="52"/>
      <c r="AF28" s="52"/>
      <c r="AG28" s="52"/>
      <c r="AH28" s="52"/>
      <c r="AI28" s="52"/>
      <c r="AJ28" s="52"/>
      <c r="AK28" s="52"/>
      <c r="AL28" s="52"/>
      <c r="AM28" s="52"/>
      <c r="AN28" s="52"/>
      <c r="AO28" s="52"/>
      <c r="AP28" s="52"/>
      <c r="AQ28" s="52"/>
      <c r="AR28" s="52"/>
      <c r="AS28" s="52"/>
      <c r="AT28" s="52"/>
      <c r="AU28" s="52"/>
      <c r="AV28" s="52"/>
      <c r="AW28" s="52"/>
      <c r="AX28" s="52"/>
      <c r="AY28" s="52"/>
      <c r="AZ28" s="52"/>
      <c r="BA28" s="52"/>
      <c r="BB28" s="52"/>
      <c r="BC28" s="52"/>
      <c r="BD28" s="52"/>
      <c r="BE28" s="52"/>
      <c r="BF28" s="52"/>
      <c r="BG28" s="52"/>
      <c r="BH28" s="52"/>
      <c r="BI28" s="52"/>
      <c r="BJ28" s="52"/>
      <c r="BK28" s="52"/>
      <c r="BL28" s="52"/>
      <c r="BM28" s="52"/>
      <c r="BN28" s="52"/>
      <c r="BO28" s="52"/>
      <c r="BP28" s="52"/>
      <c r="BQ28" s="52"/>
      <c r="BR28" s="52"/>
      <c r="BS28" s="52"/>
      <c r="BT28" s="52"/>
      <c r="BU28" s="52"/>
      <c r="BV28" s="52"/>
      <c r="BW28" s="52"/>
    </row>
    <row r="29" ht="15" customHeight="1" x14ac:dyDescent="0.25">
      <c r="C29" s="52" t="s">
        <v>359</v>
      </c>
      <c r="D29" s="52"/>
      <c r="E29" s="52"/>
      <c r="F29" s="52"/>
      <c r="G29" s="52"/>
      <c r="H29" s="52"/>
      <c r="I29" s="52"/>
      <c r="J29" s="52"/>
      <c r="K29" s="52"/>
      <c r="L29" s="52"/>
      <c r="M29" s="52"/>
      <c r="N29" s="52"/>
      <c r="O29" s="52"/>
      <c r="P29" s="52"/>
      <c r="Q29" s="52"/>
      <c r="R29" s="52"/>
      <c r="S29" s="52"/>
      <c r="T29" s="52"/>
      <c r="U29" s="52"/>
      <c r="V29" s="52"/>
      <c r="W29" s="52"/>
      <c r="X29" s="52"/>
      <c r="Y29" s="52"/>
      <c r="Z29" s="52"/>
      <c r="AA29" s="52"/>
      <c r="AB29" s="52"/>
      <c r="AC29" s="52"/>
      <c r="AD29" s="52"/>
      <c r="AE29" s="52"/>
      <c r="AF29" s="52"/>
      <c r="AG29" s="52"/>
      <c r="AH29" s="52"/>
      <c r="AI29" s="52"/>
      <c r="AJ29" s="52"/>
      <c r="AK29" s="52"/>
      <c r="AL29" s="52"/>
      <c r="AM29" s="52"/>
      <c r="AN29" s="52"/>
      <c r="AO29" s="52"/>
      <c r="AP29" s="52"/>
      <c r="AQ29" s="52"/>
      <c r="AR29" s="52"/>
      <c r="AS29" s="52"/>
      <c r="AT29" s="52"/>
      <c r="AU29" s="52"/>
      <c r="AV29" s="52"/>
      <c r="AW29" s="52"/>
      <c r="AX29" s="52"/>
      <c r="AY29" s="52"/>
      <c r="AZ29" s="52"/>
      <c r="BA29" s="52"/>
      <c r="BB29" s="52"/>
      <c r="BC29" s="52"/>
      <c r="BD29" s="52"/>
      <c r="BE29" s="52"/>
      <c r="BF29" s="52"/>
      <c r="BG29" s="52"/>
      <c r="BH29" s="52"/>
      <c r="BI29" s="52"/>
      <c r="BJ29" s="52"/>
      <c r="BK29" s="52"/>
      <c r="BL29" s="52"/>
      <c r="BM29" s="52"/>
      <c r="BN29" s="52"/>
      <c r="BO29" s="52"/>
      <c r="BP29" s="52"/>
      <c r="BQ29" s="52"/>
      <c r="BR29" s="52"/>
      <c r="BS29" s="52"/>
      <c r="BT29" s="52"/>
      <c r="BU29" s="52"/>
      <c r="BV29" s="52"/>
      <c r="BW29" s="52"/>
    </row>
    <row r="30" ht="15" customHeight="1" x14ac:dyDescent="0.25">
      <c r="C30" s="52" t="s">
        <v>360</v>
      </c>
      <c r="D30" s="52"/>
      <c r="E30" s="52"/>
      <c r="F30" s="52"/>
      <c r="G30" s="52"/>
      <c r="H30" s="52"/>
      <c r="I30" s="52"/>
      <c r="J30" s="52"/>
      <c r="K30" s="52"/>
      <c r="L30" s="52"/>
      <c r="M30" s="52"/>
      <c r="N30" s="52"/>
      <c r="O30" s="52"/>
      <c r="P30" s="52"/>
      <c r="Q30" s="52"/>
      <c r="R30" s="52"/>
      <c r="S30" s="52"/>
      <c r="T30" s="52"/>
      <c r="U30" s="52"/>
      <c r="V30" s="52"/>
      <c r="W30" s="52"/>
      <c r="X30" s="52"/>
      <c r="Y30" s="52"/>
      <c r="Z30" s="52"/>
      <c r="AA30" s="52"/>
      <c r="AB30" s="52"/>
      <c r="AC30" s="52"/>
      <c r="AD30" s="52"/>
      <c r="AE30" s="52"/>
      <c r="AF30" s="52"/>
      <c r="AG30" s="52"/>
      <c r="AH30" s="52"/>
      <c r="AI30" s="52"/>
      <c r="AJ30" s="52"/>
      <c r="AK30" s="52"/>
      <c r="AL30" s="52"/>
      <c r="AM30" s="52"/>
      <c r="AN30" s="52"/>
      <c r="AO30" s="52"/>
      <c r="AP30" s="52"/>
      <c r="AQ30" s="52"/>
      <c r="AR30" s="52"/>
      <c r="AS30" s="52"/>
      <c r="AT30" s="52"/>
      <c r="AU30" s="52"/>
      <c r="AV30" s="52"/>
      <c r="AW30" s="52"/>
      <c r="AX30" s="52"/>
      <c r="AY30" s="52"/>
      <c r="AZ30" s="52"/>
      <c r="BA30" s="52"/>
      <c r="BB30" s="52"/>
      <c r="BC30" s="52"/>
      <c r="BD30" s="52"/>
      <c r="BE30" s="52"/>
      <c r="BF30" s="52"/>
      <c r="BG30" s="52"/>
      <c r="BH30" s="52"/>
      <c r="BI30" s="52"/>
      <c r="BJ30" s="52"/>
      <c r="BK30" s="52"/>
      <c r="BL30" s="52"/>
      <c r="BM30" s="52"/>
      <c r="BN30" s="52"/>
      <c r="BO30" s="52"/>
      <c r="BP30" s="52"/>
      <c r="BQ30" s="52"/>
      <c r="BR30" s="52"/>
      <c r="BS30" s="52"/>
      <c r="BT30" s="52"/>
      <c r="BU30" s="52"/>
      <c r="BV30" s="52"/>
      <c r="BW30" s="52"/>
    </row>
    <row r="31" ht="15" customHeight="1" x14ac:dyDescent="0.25">
      <c r="C31" s="52" t="s">
        <v>361</v>
      </c>
      <c r="D31" s="52"/>
      <c r="E31" s="52"/>
      <c r="F31" s="52"/>
      <c r="G31" s="52"/>
      <c r="H31" s="52"/>
      <c r="I31" s="52"/>
      <c r="J31" s="52"/>
      <c r="K31" s="52"/>
      <c r="L31" s="52"/>
      <c r="M31" s="52"/>
      <c r="N31" s="52"/>
      <c r="O31" s="52"/>
      <c r="P31" s="52"/>
      <c r="Q31" s="52"/>
      <c r="R31" s="52"/>
      <c r="S31" s="52"/>
      <c r="T31" s="52"/>
      <c r="U31" s="52"/>
      <c r="V31" s="52"/>
      <c r="W31" s="52"/>
      <c r="X31" s="52"/>
      <c r="Y31" s="52"/>
      <c r="Z31" s="52"/>
      <c r="AA31" s="52"/>
      <c r="AB31" s="52"/>
      <c r="AC31" s="52"/>
      <c r="AD31" s="52"/>
      <c r="AE31" s="52"/>
      <c r="AF31" s="52"/>
      <c r="AG31" s="52"/>
      <c r="AH31" s="52"/>
      <c r="AI31" s="52"/>
      <c r="AJ31" s="52"/>
      <c r="AK31" s="52"/>
      <c r="AL31" s="52"/>
      <c r="AM31" s="52"/>
      <c r="AN31" s="52"/>
      <c r="AO31" s="52"/>
      <c r="AP31" s="52"/>
      <c r="AQ31" s="52"/>
      <c r="AR31" s="52"/>
      <c r="AS31" s="52"/>
      <c r="AT31" s="52"/>
      <c r="AU31" s="52"/>
      <c r="AV31" s="52"/>
      <c r="AW31" s="52"/>
      <c r="AX31" s="52"/>
      <c r="AY31" s="52"/>
      <c r="AZ31" s="52"/>
      <c r="BA31" s="52"/>
      <c r="BB31" s="52"/>
      <c r="BC31" s="52"/>
      <c r="BD31" s="52"/>
      <c r="BE31" s="52"/>
      <c r="BF31" s="52"/>
      <c r="BG31" s="52"/>
      <c r="BH31" s="52"/>
      <c r="BI31" s="52"/>
      <c r="BJ31" s="52"/>
      <c r="BK31" s="52"/>
      <c r="BL31" s="52"/>
      <c r="BM31" s="52"/>
      <c r="BN31" s="52"/>
      <c r="BO31" s="52"/>
      <c r="BP31" s="52"/>
      <c r="BQ31" s="52"/>
      <c r="BR31" s="52"/>
      <c r="BS31" s="52"/>
      <c r="BT31" s="52"/>
      <c r="BU31" s="52"/>
      <c r="BV31" s="52"/>
      <c r="BW31" s="52"/>
    </row>
    <row r="32" ht="15" customHeight="1" x14ac:dyDescent="0.25">
      <c r="C32" s="52" t="s">
        <v>362</v>
      </c>
      <c r="D32" s="52"/>
      <c r="E32" s="52"/>
      <c r="F32" s="52"/>
      <c r="G32" s="52"/>
      <c r="H32" s="52"/>
      <c r="I32" s="52"/>
      <c r="J32" s="52"/>
      <c r="K32" s="52"/>
      <c r="L32" s="52"/>
      <c r="M32" s="52"/>
      <c r="N32" s="52"/>
      <c r="O32" s="52"/>
      <c r="P32" s="52"/>
      <c r="Q32" s="52"/>
      <c r="R32" s="52"/>
      <c r="S32" s="52"/>
      <c r="T32" s="52"/>
      <c r="U32" s="52"/>
      <c r="V32" s="52"/>
      <c r="W32" s="52"/>
      <c r="X32" s="52"/>
      <c r="Y32" s="52"/>
      <c r="Z32" s="52"/>
      <c r="AA32" s="52"/>
      <c r="AB32" s="52"/>
      <c r="AC32" s="52"/>
      <c r="AD32" s="52"/>
      <c r="AE32" s="52"/>
      <c r="AF32" s="52"/>
      <c r="AG32" s="52"/>
      <c r="AH32" s="52"/>
      <c r="AI32" s="52"/>
      <c r="AJ32" s="52"/>
      <c r="AK32" s="52"/>
      <c r="AL32" s="52"/>
      <c r="AM32" s="52"/>
      <c r="AN32" s="52"/>
      <c r="AO32" s="52"/>
      <c r="AP32" s="52"/>
      <c r="AQ32" s="52"/>
      <c r="AR32" s="52"/>
      <c r="AS32" s="52"/>
      <c r="AT32" s="52"/>
      <c r="AU32" s="52"/>
      <c r="AV32" s="52"/>
      <c r="AW32" s="52"/>
      <c r="AX32" s="52"/>
      <c r="AY32" s="52"/>
      <c r="AZ32" s="52"/>
      <c r="BA32" s="52"/>
      <c r="BB32" s="52"/>
      <c r="BC32" s="52"/>
      <c r="BD32" s="52"/>
      <c r="BE32" s="52"/>
      <c r="BF32" s="52"/>
      <c r="BG32" s="52"/>
      <c r="BH32" s="52"/>
      <c r="BI32" s="52"/>
      <c r="BJ32" s="52"/>
      <c r="BK32" s="52"/>
      <c r="BL32" s="52"/>
      <c r="BM32" s="52"/>
      <c r="BN32" s="52"/>
      <c r="BO32" s="52"/>
      <c r="BP32" s="52"/>
      <c r="BQ32" s="52"/>
      <c r="BR32" s="52"/>
      <c r="BS32" s="52"/>
      <c r="BT32" s="52"/>
      <c r="BU32" s="52"/>
      <c r="BV32" s="52"/>
      <c r="BW32" s="52"/>
    </row>
    <row r="33" ht="15" customHeight="1" x14ac:dyDescent="0.25">
      <c r="C33" s="52" t="s">
        <v>363</v>
      </c>
      <c r="D33" s="52"/>
      <c r="E33" s="52"/>
      <c r="F33" s="52"/>
      <c r="G33" s="52"/>
      <c r="H33" s="52"/>
      <c r="I33" s="52"/>
      <c r="J33" s="52"/>
      <c r="K33" s="52"/>
      <c r="L33" s="52"/>
      <c r="M33" s="52"/>
      <c r="N33" s="52"/>
      <c r="O33" s="52"/>
      <c r="P33" s="52"/>
      <c r="Q33" s="52"/>
      <c r="R33" s="52"/>
      <c r="S33" s="52"/>
      <c r="T33" s="52"/>
      <c r="U33" s="52"/>
      <c r="V33" s="52"/>
      <c r="W33" s="52"/>
      <c r="X33" s="52"/>
      <c r="Y33" s="52"/>
      <c r="Z33" s="52"/>
      <c r="AA33" s="52"/>
      <c r="AB33" s="52"/>
      <c r="AC33" s="52"/>
      <c r="AD33" s="52"/>
      <c r="AE33" s="52"/>
      <c r="AF33" s="52"/>
      <c r="AG33" s="52"/>
      <c r="AH33" s="52"/>
      <c r="AI33" s="52"/>
      <c r="AJ33" s="52"/>
      <c r="AK33" s="52"/>
      <c r="AL33" s="52"/>
      <c r="AM33" s="52"/>
      <c r="AN33" s="52"/>
      <c r="AO33" s="52"/>
      <c r="AP33" s="52"/>
      <c r="AQ33" s="52"/>
      <c r="AR33" s="52"/>
      <c r="AS33" s="52"/>
      <c r="AT33" s="52"/>
      <c r="AU33" s="52"/>
      <c r="AV33" s="52"/>
      <c r="AW33" s="52"/>
      <c r="AX33" s="52"/>
      <c r="AY33" s="52"/>
      <c r="AZ33" s="52"/>
      <c r="BA33" s="52"/>
      <c r="BB33" s="52"/>
      <c r="BC33" s="52"/>
      <c r="BD33" s="52"/>
      <c r="BE33" s="52"/>
      <c r="BF33" s="52"/>
      <c r="BG33" s="52"/>
      <c r="BH33" s="52"/>
      <c r="BI33" s="52"/>
      <c r="BJ33" s="52"/>
      <c r="BK33" s="52"/>
      <c r="BL33" s="52"/>
      <c r="BM33" s="52"/>
      <c r="BN33" s="52"/>
      <c r="BO33" s="52"/>
      <c r="BP33" s="52"/>
      <c r="BQ33" s="52"/>
      <c r="BR33" s="52"/>
      <c r="BS33" s="52"/>
      <c r="BT33" s="52"/>
      <c r="BU33" s="52"/>
      <c r="BV33" s="52"/>
      <c r="BW33" s="52"/>
    </row>
    <row r="35" ht="15" customHeight="1" x14ac:dyDescent="0.25">
      <c r="B35" s="49" t="s">
        <v>364</v>
      </c>
      <c r="C35" s="49"/>
      <c r="D35" s="49"/>
      <c r="E35" s="49"/>
      <c r="F35" s="49"/>
      <c r="G35" s="49"/>
      <c r="H35" s="49"/>
      <c r="I35" s="49"/>
      <c r="J35" s="49"/>
      <c r="K35" s="49"/>
      <c r="L35" s="49"/>
      <c r="M35" s="49"/>
      <c r="N35" s="49"/>
      <c r="O35" s="49"/>
      <c r="P35" s="49"/>
      <c r="Q35" s="49"/>
      <c r="R35" s="49"/>
      <c r="S35" s="49"/>
      <c r="T35" s="49"/>
      <c r="U35" s="49"/>
      <c r="V35" s="49"/>
      <c r="W35" s="49"/>
      <c r="X35" s="49"/>
      <c r="Y35" s="49"/>
      <c r="Z35" s="49"/>
      <c r="AA35" s="49"/>
      <c r="AB35" s="49"/>
      <c r="AC35" s="49"/>
      <c r="AD35" s="49"/>
      <c r="AE35" s="49"/>
      <c r="AF35" s="49"/>
      <c r="AG35" s="49"/>
      <c r="AH35" s="49"/>
      <c r="AI35" s="49"/>
      <c r="AJ35" s="49"/>
      <c r="AK35" s="49"/>
      <c r="AL35" s="49"/>
      <c r="AM35" s="49"/>
      <c r="AN35" s="49"/>
      <c r="AO35" s="49"/>
      <c r="AP35" s="49"/>
      <c r="AQ35" s="49"/>
      <c r="AR35" s="49"/>
      <c r="AS35" s="49"/>
      <c r="AT35" s="49"/>
      <c r="AU35" s="49"/>
      <c r="AV35" s="49"/>
      <c r="AW35" s="49"/>
      <c r="AX35" s="49"/>
      <c r="AY35" s="49"/>
      <c r="AZ35" s="49"/>
      <c r="BA35" s="49"/>
      <c r="BB35" s="49"/>
      <c r="BC35" s="49"/>
      <c r="BD35" s="49"/>
      <c r="BE35" s="49"/>
      <c r="BF35" s="49"/>
      <c r="BG35" s="49"/>
      <c r="BH35" s="49"/>
      <c r="BI35" s="49"/>
      <c r="BJ35" s="49"/>
      <c r="BK35" s="49"/>
      <c r="BL35" s="49"/>
      <c r="BM35" s="49"/>
      <c r="BN35" s="49"/>
      <c r="BO35" s="49"/>
      <c r="BP35" s="49"/>
      <c r="BQ35" s="49"/>
      <c r="BR35" s="49"/>
      <c r="BS35" s="49"/>
      <c r="BT35" s="49"/>
      <c r="BU35" s="49"/>
      <c r="BV35" s="49"/>
      <c r="BW35" s="49"/>
    </row>
    <row r="36" ht="15" customHeight="1" x14ac:dyDescent="0.25">
      <c r="B36" s="49"/>
      <c r="C36" s="49"/>
      <c r="D36" s="49"/>
      <c r="E36" s="49"/>
      <c r="F36" s="49"/>
      <c r="G36" s="49"/>
      <c r="H36" s="49"/>
      <c r="I36" s="49"/>
      <c r="J36" s="49"/>
      <c r="K36" s="49"/>
      <c r="L36" s="49"/>
      <c r="M36" s="49"/>
      <c r="N36" s="49"/>
      <c r="O36" s="49"/>
      <c r="P36" s="49"/>
      <c r="Q36" s="49"/>
      <c r="R36" s="49"/>
      <c r="S36" s="49"/>
      <c r="T36" s="49"/>
      <c r="U36" s="49"/>
      <c r="V36" s="49"/>
      <c r="W36" s="49"/>
      <c r="X36" s="49"/>
      <c r="Y36" s="49"/>
      <c r="Z36" s="49"/>
      <c r="AA36" s="49"/>
      <c r="AB36" s="49"/>
      <c r="AC36" s="49"/>
      <c r="AD36" s="49"/>
      <c r="AE36" s="49"/>
      <c r="AF36" s="49"/>
      <c r="AG36" s="49"/>
      <c r="AH36" s="49"/>
      <c r="AI36" s="49"/>
      <c r="AJ36" s="49"/>
      <c r="AK36" s="49"/>
      <c r="AL36" s="49"/>
      <c r="AM36" s="49"/>
      <c r="AN36" s="49"/>
      <c r="AO36" s="49"/>
      <c r="AP36" s="49"/>
      <c r="AQ36" s="49"/>
      <c r="AR36" s="49"/>
      <c r="AS36" s="49"/>
      <c r="AT36" s="49"/>
      <c r="AU36" s="49"/>
      <c r="AV36" s="49"/>
      <c r="AW36" s="49"/>
      <c r="AX36" s="49"/>
      <c r="AY36" s="49"/>
      <c r="AZ36" s="49"/>
      <c r="BA36" s="49"/>
      <c r="BB36" s="49"/>
      <c r="BC36" s="49"/>
      <c r="BD36" s="49"/>
      <c r="BE36" s="49"/>
      <c r="BF36" s="49"/>
      <c r="BG36" s="49"/>
      <c r="BH36" s="49"/>
      <c r="BI36" s="49"/>
      <c r="BJ36" s="49"/>
      <c r="BK36" s="49"/>
      <c r="BL36" s="49"/>
      <c r="BM36" s="49"/>
      <c r="BN36" s="49"/>
      <c r="BO36" s="49"/>
      <c r="BP36" s="49"/>
      <c r="BQ36" s="49"/>
      <c r="BR36" s="49"/>
      <c r="BS36" s="49"/>
      <c r="BT36" s="49"/>
      <c r="BU36" s="49"/>
      <c r="BV36" s="49"/>
      <c r="BW36" s="49"/>
    </row>
    <row r="38" ht="15" customHeight="1" x14ac:dyDescent="0.25">
      <c r="C38" s="26" t="s">
        <v>365</v>
      </c>
      <c r="D38" s="26"/>
      <c r="E38" s="26"/>
      <c r="F38" s="26"/>
      <c r="G38" s="26"/>
      <c r="H38" s="26"/>
      <c r="I38" s="26"/>
      <c r="J38" s="26"/>
      <c r="K38" s="26"/>
      <c r="L38" s="26"/>
      <c r="M38" s="26"/>
      <c r="N38" s="26"/>
      <c r="O38" s="26"/>
      <c r="P38" s="26"/>
      <c r="Q38" s="26"/>
      <c r="R38" s="26"/>
      <c r="S38" s="26" t="s">
        <v>366</v>
      </c>
      <c r="T38" s="26"/>
      <c r="U38" s="26"/>
      <c r="V38" s="26"/>
      <c r="W38" s="26"/>
      <c r="X38" s="26"/>
      <c r="Y38" s="26"/>
      <c r="Z38" s="26"/>
      <c r="AA38" s="26"/>
      <c r="AB38" s="26"/>
      <c r="AC38" s="26"/>
      <c r="AD38" s="26"/>
      <c r="AE38" s="26"/>
      <c r="AF38" s="26"/>
      <c r="AG38" s="26"/>
      <c r="AH38" s="26"/>
      <c r="AI38" s="26"/>
      <c r="AJ38" s="26"/>
      <c r="AK38" s="26"/>
      <c r="AL38" s="26"/>
      <c r="AM38" s="26"/>
      <c r="AN38" s="26"/>
      <c r="AO38" s="26"/>
      <c r="AP38" s="26"/>
      <c r="AQ38" s="26"/>
      <c r="AR38" s="26"/>
      <c r="AS38" s="26"/>
      <c r="AT38" s="26"/>
      <c r="AU38" s="26"/>
      <c r="AV38" s="26"/>
      <c r="AW38" s="26"/>
      <c r="AX38" s="26"/>
      <c r="AY38" s="26"/>
      <c r="AZ38" s="26"/>
      <c r="BA38" s="26"/>
      <c r="BB38" s="26"/>
      <c r="BC38" s="26"/>
      <c r="BD38" s="26"/>
      <c r="BE38" s="26"/>
      <c r="BF38" s="26"/>
      <c r="BG38" s="26"/>
      <c r="BH38" s="26"/>
      <c r="BI38" s="26"/>
      <c r="BJ38" s="26"/>
      <c r="BK38" s="26"/>
      <c r="BL38" s="26"/>
      <c r="BM38" s="26"/>
      <c r="BN38" s="26"/>
      <c r="BO38" s="26"/>
      <c r="BP38" s="26"/>
      <c r="BQ38" s="26"/>
      <c r="BR38" s="26"/>
      <c r="BS38" s="26"/>
      <c r="BT38" s="26"/>
      <c r="BU38" s="26"/>
      <c r="BV38" s="26"/>
      <c r="BW38" s="26"/>
    </row>
    <row r="39" ht="15" customHeight="1" x14ac:dyDescent="0.25">
      <c r="C39" s="50" t="s">
        <v>367</v>
      </c>
      <c r="D39" s="50"/>
      <c r="E39" s="50"/>
      <c r="F39" s="50"/>
      <c r="G39" s="50"/>
      <c r="H39" s="50"/>
      <c r="I39" s="50"/>
      <c r="J39" s="50"/>
      <c r="K39" s="50"/>
      <c r="L39" s="50"/>
      <c r="M39" s="50"/>
      <c r="N39" s="50"/>
      <c r="O39" s="50"/>
      <c r="P39" s="50"/>
      <c r="Q39" s="50"/>
      <c r="R39" s="50"/>
      <c r="S39" s="51" t="s">
        <v>368</v>
      </c>
      <c r="T39" s="51"/>
      <c r="U39" s="51"/>
      <c r="V39" s="51"/>
      <c r="W39" s="51"/>
      <c r="X39" s="51"/>
      <c r="Y39" s="51"/>
      <c r="Z39" s="51"/>
      <c r="AA39" s="51"/>
      <c r="AB39" s="51"/>
      <c r="AC39" s="51"/>
      <c r="AD39" s="51"/>
      <c r="AE39" s="51"/>
      <c r="AF39" s="51"/>
      <c r="AG39" s="51"/>
      <c r="AH39" s="51"/>
      <c r="AI39" s="51"/>
      <c r="AJ39" s="51"/>
      <c r="AK39" s="51"/>
      <c r="AL39" s="51"/>
      <c r="AM39" s="51"/>
      <c r="AN39" s="51"/>
      <c r="AO39" s="51"/>
      <c r="AP39" s="51"/>
      <c r="AQ39" s="51"/>
      <c r="AR39" s="51"/>
      <c r="AS39" s="51"/>
      <c r="AT39" s="51"/>
      <c r="AU39" s="51"/>
      <c r="AV39" s="51"/>
      <c r="AW39" s="51"/>
      <c r="AX39" s="51"/>
      <c r="AY39" s="51"/>
      <c r="AZ39" s="51"/>
      <c r="BA39" s="51"/>
      <c r="BB39" s="51"/>
      <c r="BC39" s="51"/>
      <c r="BD39" s="51"/>
      <c r="BE39" s="51"/>
      <c r="BF39" s="51"/>
      <c r="BG39" s="51"/>
      <c r="BH39" s="51"/>
      <c r="BI39" s="51"/>
      <c r="BJ39" s="51"/>
      <c r="BK39" s="51"/>
      <c r="BL39" s="51"/>
      <c r="BM39" s="51"/>
      <c r="BN39" s="51"/>
      <c r="BO39" s="51"/>
      <c r="BP39" s="51"/>
      <c r="BQ39" s="51"/>
      <c r="BR39" s="51"/>
      <c r="BS39" s="51"/>
      <c r="BT39" s="51"/>
      <c r="BU39" s="51"/>
      <c r="BV39" s="51"/>
      <c r="BW39" s="51"/>
    </row>
    <row r="40" ht="15" customHeight="1" x14ac:dyDescent="0.25">
      <c r="C40" s="50" t="s">
        <v>369</v>
      </c>
      <c r="D40" s="50"/>
      <c r="E40" s="50"/>
      <c r="F40" s="50"/>
      <c r="G40" s="50"/>
      <c r="H40" s="50"/>
      <c r="I40" s="50"/>
      <c r="J40" s="50"/>
      <c r="K40" s="50"/>
      <c r="L40" s="50"/>
      <c r="M40" s="50"/>
      <c r="N40" s="50"/>
      <c r="O40" s="50"/>
      <c r="P40" s="50"/>
      <c r="Q40" s="50"/>
      <c r="R40" s="50"/>
      <c r="S40" s="51" t="s">
        <v>370</v>
      </c>
      <c r="T40" s="51"/>
      <c r="U40" s="51"/>
      <c r="V40" s="51"/>
      <c r="W40" s="51"/>
      <c r="X40" s="51"/>
      <c r="Y40" s="51"/>
      <c r="Z40" s="51"/>
      <c r="AA40" s="51"/>
      <c r="AB40" s="51"/>
      <c r="AC40" s="51"/>
      <c r="AD40" s="51"/>
      <c r="AE40" s="51"/>
      <c r="AF40" s="51"/>
      <c r="AG40" s="51"/>
      <c r="AH40" s="51"/>
      <c r="AI40" s="51"/>
      <c r="AJ40" s="51"/>
      <c r="AK40" s="51"/>
      <c r="AL40" s="51"/>
      <c r="AM40" s="51"/>
      <c r="AN40" s="51"/>
      <c r="AO40" s="51"/>
      <c r="AP40" s="51"/>
      <c r="AQ40" s="51"/>
      <c r="AR40" s="51"/>
      <c r="AS40" s="51"/>
      <c r="AT40" s="51"/>
      <c r="AU40" s="51"/>
      <c r="AV40" s="51"/>
      <c r="AW40" s="51"/>
      <c r="AX40" s="51"/>
      <c r="AY40" s="51"/>
      <c r="AZ40" s="51"/>
      <c r="BA40" s="51"/>
      <c r="BB40" s="51"/>
      <c r="BC40" s="51"/>
      <c r="BD40" s="51"/>
      <c r="BE40" s="51"/>
      <c r="BF40" s="51"/>
      <c r="BG40" s="51"/>
      <c r="BH40" s="51"/>
      <c r="BI40" s="51"/>
      <c r="BJ40" s="51"/>
      <c r="BK40" s="51"/>
      <c r="BL40" s="51"/>
      <c r="BM40" s="51"/>
      <c r="BN40" s="51"/>
      <c r="BO40" s="51"/>
      <c r="BP40" s="51"/>
      <c r="BQ40" s="51"/>
      <c r="BR40" s="51"/>
      <c r="BS40" s="51"/>
      <c r="BT40" s="51"/>
      <c r="BU40" s="51"/>
      <c r="BV40" s="51"/>
      <c r="BW40" s="51"/>
    </row>
    <row r="41" ht="15" customHeight="1" x14ac:dyDescent="0.25">
      <c r="C41" s="50" t="s">
        <v>371</v>
      </c>
      <c r="D41" s="50"/>
      <c r="E41" s="50"/>
      <c r="F41" s="50"/>
      <c r="G41" s="50"/>
      <c r="H41" s="50"/>
      <c r="I41" s="50"/>
      <c r="J41" s="50"/>
      <c r="K41" s="50"/>
      <c r="L41" s="50"/>
      <c r="M41" s="50"/>
      <c r="N41" s="50"/>
      <c r="O41" s="50"/>
      <c r="P41" s="50"/>
      <c r="Q41" s="50"/>
      <c r="R41" s="50"/>
      <c r="S41" s="51" t="s">
        <v>372</v>
      </c>
      <c r="T41" s="51"/>
      <c r="U41" s="51"/>
      <c r="V41" s="51"/>
      <c r="W41" s="51"/>
      <c r="X41" s="51"/>
      <c r="Y41" s="51"/>
      <c r="Z41" s="51"/>
      <c r="AA41" s="51"/>
      <c r="AB41" s="51"/>
      <c r="AC41" s="51"/>
      <c r="AD41" s="51"/>
      <c r="AE41" s="51"/>
      <c r="AF41" s="51"/>
      <c r="AG41" s="51"/>
      <c r="AH41" s="51"/>
      <c r="AI41" s="51"/>
      <c r="AJ41" s="51"/>
      <c r="AK41" s="51"/>
      <c r="AL41" s="51"/>
      <c r="AM41" s="51"/>
      <c r="AN41" s="51"/>
      <c r="AO41" s="51"/>
      <c r="AP41" s="51"/>
      <c r="AQ41" s="51"/>
      <c r="AR41" s="51"/>
      <c r="AS41" s="51"/>
      <c r="AT41" s="51"/>
      <c r="AU41" s="51"/>
      <c r="AV41" s="51"/>
      <c r="AW41" s="51"/>
      <c r="AX41" s="51"/>
      <c r="AY41" s="51"/>
      <c r="AZ41" s="51"/>
      <c r="BA41" s="51"/>
      <c r="BB41" s="51"/>
      <c r="BC41" s="51"/>
      <c r="BD41" s="51"/>
      <c r="BE41" s="51"/>
      <c r="BF41" s="51"/>
      <c r="BG41" s="51"/>
      <c r="BH41" s="51"/>
      <c r="BI41" s="51"/>
      <c r="BJ41" s="51"/>
      <c r="BK41" s="51"/>
      <c r="BL41" s="51"/>
      <c r="BM41" s="51"/>
      <c r="BN41" s="51"/>
      <c r="BO41" s="51"/>
      <c r="BP41" s="51"/>
      <c r="BQ41" s="51"/>
      <c r="BR41" s="51"/>
      <c r="BS41" s="51"/>
      <c r="BT41" s="51"/>
      <c r="BU41" s="51"/>
      <c r="BV41" s="51"/>
      <c r="BW41" s="51"/>
    </row>
    <row r="42" ht="15" customHeight="1" x14ac:dyDescent="0.25">
      <c r="C42" s="50" t="s">
        <v>373</v>
      </c>
      <c r="D42" s="50"/>
      <c r="E42" s="50"/>
      <c r="F42" s="50"/>
      <c r="G42" s="50"/>
      <c r="H42" s="50"/>
      <c r="I42" s="50"/>
      <c r="J42" s="50"/>
      <c r="K42" s="50"/>
      <c r="L42" s="50"/>
      <c r="M42" s="50"/>
      <c r="N42" s="50"/>
      <c r="O42" s="50"/>
      <c r="P42" s="50"/>
      <c r="Q42" s="50"/>
      <c r="R42" s="50"/>
      <c r="S42" s="51" t="s">
        <v>374</v>
      </c>
      <c r="T42" s="51"/>
      <c r="U42" s="51"/>
      <c r="V42" s="51"/>
      <c r="W42" s="51"/>
      <c r="X42" s="51"/>
      <c r="Y42" s="51"/>
      <c r="Z42" s="51"/>
      <c r="AA42" s="51"/>
      <c r="AB42" s="51"/>
      <c r="AC42" s="51"/>
      <c r="AD42" s="51"/>
      <c r="AE42" s="51"/>
      <c r="AF42" s="51"/>
      <c r="AG42" s="51"/>
      <c r="AH42" s="51"/>
      <c r="AI42" s="51"/>
      <c r="AJ42" s="51"/>
      <c r="AK42" s="51"/>
      <c r="AL42" s="51"/>
      <c r="AM42" s="51"/>
      <c r="AN42" s="51"/>
      <c r="AO42" s="51"/>
      <c r="AP42" s="51"/>
      <c r="AQ42" s="51"/>
      <c r="AR42" s="51"/>
      <c r="AS42" s="51"/>
      <c r="AT42" s="51"/>
      <c r="AU42" s="51"/>
      <c r="AV42" s="51"/>
      <c r="AW42" s="51"/>
      <c r="AX42" s="51"/>
      <c r="AY42" s="51"/>
      <c r="AZ42" s="51"/>
      <c r="BA42" s="51"/>
      <c r="BB42" s="51"/>
      <c r="BC42" s="51"/>
      <c r="BD42" s="51"/>
      <c r="BE42" s="51"/>
      <c r="BF42" s="51"/>
      <c r="BG42" s="51"/>
      <c r="BH42" s="51"/>
      <c r="BI42" s="51"/>
      <c r="BJ42" s="51"/>
      <c r="BK42" s="51"/>
      <c r="BL42" s="51"/>
      <c r="BM42" s="51"/>
      <c r="BN42" s="51"/>
      <c r="BO42" s="51"/>
      <c r="BP42" s="51"/>
      <c r="BQ42" s="51"/>
      <c r="BR42" s="51"/>
      <c r="BS42" s="51"/>
      <c r="BT42" s="51"/>
      <c r="BU42" s="51"/>
      <c r="BV42" s="51"/>
      <c r="BW42" s="51"/>
    </row>
    <row r="43" ht="15" customHeight="1" x14ac:dyDescent="0.25">
      <c r="C43" s="50" t="s">
        <v>375</v>
      </c>
      <c r="D43" s="50"/>
      <c r="E43" s="50"/>
      <c r="F43" s="50"/>
      <c r="G43" s="50"/>
      <c r="H43" s="50"/>
      <c r="I43" s="50"/>
      <c r="J43" s="50"/>
      <c r="K43" s="50"/>
      <c r="L43" s="50"/>
      <c r="M43" s="50"/>
      <c r="N43" s="50"/>
      <c r="O43" s="50"/>
      <c r="P43" s="50"/>
      <c r="Q43" s="50"/>
      <c r="R43" s="50"/>
      <c r="S43" s="51" t="s">
        <v>376</v>
      </c>
      <c r="T43" s="51"/>
      <c r="U43" s="51"/>
      <c r="V43" s="51"/>
      <c r="W43" s="51"/>
      <c r="X43" s="51"/>
      <c r="Y43" s="51"/>
      <c r="Z43" s="51"/>
      <c r="AA43" s="51"/>
      <c r="AB43" s="51"/>
      <c r="AC43" s="51"/>
      <c r="AD43" s="51"/>
      <c r="AE43" s="51"/>
      <c r="AF43" s="51"/>
      <c r="AG43" s="51"/>
      <c r="AH43" s="51"/>
      <c r="AI43" s="51"/>
      <c r="AJ43" s="51"/>
      <c r="AK43" s="51"/>
      <c r="AL43" s="51"/>
      <c r="AM43" s="51"/>
      <c r="AN43" s="51"/>
      <c r="AO43" s="51"/>
      <c r="AP43" s="51"/>
      <c r="AQ43" s="51"/>
      <c r="AR43" s="51"/>
      <c r="AS43" s="51"/>
      <c r="AT43" s="51"/>
      <c r="AU43" s="51"/>
      <c r="AV43" s="51"/>
      <c r="AW43" s="51"/>
      <c r="AX43" s="51"/>
      <c r="AY43" s="51"/>
      <c r="AZ43" s="51"/>
      <c r="BA43" s="51"/>
      <c r="BB43" s="51"/>
      <c r="BC43" s="51"/>
      <c r="BD43" s="51"/>
      <c r="BE43" s="51"/>
      <c r="BF43" s="51"/>
      <c r="BG43" s="51"/>
      <c r="BH43" s="51"/>
      <c r="BI43" s="51"/>
      <c r="BJ43" s="51"/>
      <c r="BK43" s="51"/>
      <c r="BL43" s="51"/>
      <c r="BM43" s="51"/>
      <c r="BN43" s="51"/>
      <c r="BO43" s="51"/>
      <c r="BP43" s="51"/>
      <c r="BQ43" s="51"/>
      <c r="BR43" s="51"/>
      <c r="BS43" s="51"/>
      <c r="BT43" s="51"/>
      <c r="BU43" s="51"/>
      <c r="BV43" s="51"/>
      <c r="BW43" s="51"/>
    </row>
    <row r="44" ht="15" customHeight="1" x14ac:dyDescent="0.25">
      <c r="C44" s="50" t="s">
        <v>377</v>
      </c>
      <c r="D44" s="50"/>
      <c r="E44" s="50"/>
      <c r="F44" s="50"/>
      <c r="G44" s="50"/>
      <c r="H44" s="50"/>
      <c r="I44" s="50"/>
      <c r="J44" s="50"/>
      <c r="K44" s="50"/>
      <c r="L44" s="50"/>
      <c r="M44" s="50"/>
      <c r="N44" s="50"/>
      <c r="O44" s="50"/>
      <c r="P44" s="50"/>
      <c r="Q44" s="50"/>
      <c r="R44" s="50"/>
      <c r="S44" s="51" t="s">
        <v>378</v>
      </c>
      <c r="T44" s="51"/>
      <c r="U44" s="51"/>
      <c r="V44" s="51"/>
      <c r="W44" s="51"/>
      <c r="X44" s="51"/>
      <c r="Y44" s="51"/>
      <c r="Z44" s="51"/>
      <c r="AA44" s="51"/>
      <c r="AB44" s="51"/>
      <c r="AC44" s="51"/>
      <c r="AD44" s="51"/>
      <c r="AE44" s="51"/>
      <c r="AF44" s="51"/>
      <c r="AG44" s="51"/>
      <c r="AH44" s="51"/>
      <c r="AI44" s="51"/>
      <c r="AJ44" s="51"/>
      <c r="AK44" s="51"/>
      <c r="AL44" s="51"/>
      <c r="AM44" s="51"/>
      <c r="AN44" s="51"/>
      <c r="AO44" s="51"/>
      <c r="AP44" s="51"/>
      <c r="AQ44" s="51"/>
      <c r="AR44" s="51"/>
      <c r="AS44" s="51"/>
      <c r="AT44" s="51"/>
      <c r="AU44" s="51"/>
      <c r="AV44" s="51"/>
      <c r="AW44" s="51"/>
      <c r="AX44" s="51"/>
      <c r="AY44" s="51"/>
      <c r="AZ44" s="51"/>
      <c r="BA44" s="51"/>
      <c r="BB44" s="51"/>
      <c r="BC44" s="51"/>
      <c r="BD44" s="51"/>
      <c r="BE44" s="51"/>
      <c r="BF44" s="51"/>
      <c r="BG44" s="51"/>
      <c r="BH44" s="51"/>
      <c r="BI44" s="51"/>
      <c r="BJ44" s="51"/>
      <c r="BK44" s="51"/>
      <c r="BL44" s="51"/>
      <c r="BM44" s="51"/>
      <c r="BN44" s="51"/>
      <c r="BO44" s="51"/>
      <c r="BP44" s="51"/>
      <c r="BQ44" s="51"/>
      <c r="BR44" s="51"/>
      <c r="BS44" s="51"/>
      <c r="BT44" s="51"/>
      <c r="BU44" s="51"/>
      <c r="BV44" s="51"/>
      <c r="BW44" s="51"/>
    </row>
    <row r="45" ht="15" customHeight="1" x14ac:dyDescent="0.25">
      <c r="C45" s="50" t="s">
        <v>379</v>
      </c>
      <c r="D45" s="50"/>
      <c r="E45" s="50"/>
      <c r="F45" s="50"/>
      <c r="G45" s="50"/>
      <c r="H45" s="50"/>
      <c r="I45" s="50"/>
      <c r="J45" s="50"/>
      <c r="K45" s="50"/>
      <c r="L45" s="50"/>
      <c r="M45" s="50"/>
      <c r="N45" s="50"/>
      <c r="O45" s="50"/>
      <c r="P45" s="50"/>
      <c r="Q45" s="50"/>
      <c r="R45" s="50"/>
      <c r="S45" s="51" t="s">
        <v>380</v>
      </c>
      <c r="T45" s="51"/>
      <c r="U45" s="51"/>
      <c r="V45" s="51"/>
      <c r="W45" s="51"/>
      <c r="X45" s="51"/>
      <c r="Y45" s="51"/>
      <c r="Z45" s="51"/>
      <c r="AA45" s="51"/>
      <c r="AB45" s="51"/>
      <c r="AC45" s="51"/>
      <c r="AD45" s="51"/>
      <c r="AE45" s="51"/>
      <c r="AF45" s="51"/>
      <c r="AG45" s="51"/>
      <c r="AH45" s="51"/>
      <c r="AI45" s="51"/>
      <c r="AJ45" s="51"/>
      <c r="AK45" s="51"/>
      <c r="AL45" s="51"/>
      <c r="AM45" s="51"/>
      <c r="AN45" s="51"/>
      <c r="AO45" s="51"/>
      <c r="AP45" s="51"/>
      <c r="AQ45" s="51"/>
      <c r="AR45" s="51"/>
      <c r="AS45" s="51"/>
      <c r="AT45" s="51"/>
      <c r="AU45" s="51"/>
      <c r="AV45" s="51"/>
      <c r="AW45" s="51"/>
      <c r="AX45" s="51"/>
      <c r="AY45" s="51"/>
      <c r="AZ45" s="51"/>
      <c r="BA45" s="51"/>
      <c r="BB45" s="51"/>
      <c r="BC45" s="51"/>
      <c r="BD45" s="51"/>
      <c r="BE45" s="51"/>
      <c r="BF45" s="51"/>
      <c r="BG45" s="51"/>
      <c r="BH45" s="51"/>
      <c r="BI45" s="51"/>
      <c r="BJ45" s="51"/>
      <c r="BK45" s="51"/>
      <c r="BL45" s="51"/>
      <c r="BM45" s="51"/>
      <c r="BN45" s="51"/>
      <c r="BO45" s="51"/>
      <c r="BP45" s="51"/>
      <c r="BQ45" s="51"/>
      <c r="BR45" s="51"/>
      <c r="BS45" s="51"/>
      <c r="BT45" s="51"/>
      <c r="BU45" s="51"/>
      <c r="BV45" s="51"/>
      <c r="BW45" s="51"/>
    </row>
    <row r="47" ht="15" x14ac:dyDescent="0.25" customHeight="1">
      <c r="B47" s="49" t="s">
        <v>381</v>
      </c>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c r="AH47" s="49"/>
      <c r="AI47" s="49"/>
      <c r="AJ47" s="49"/>
      <c r="AK47" s="49"/>
      <c r="AL47" s="49"/>
      <c r="AM47" s="49"/>
      <c r="AN47" s="49"/>
      <c r="AO47" s="49"/>
      <c r="AP47" s="49"/>
      <c r="AQ47" s="49"/>
      <c r="AR47" s="49"/>
      <c r="AS47" s="49"/>
      <c r="AT47" s="49"/>
      <c r="AU47" s="49"/>
      <c r="AV47" s="49"/>
      <c r="AW47" s="49"/>
      <c r="AX47" s="49"/>
      <c r="AY47" s="49"/>
      <c r="AZ47" s="49"/>
      <c r="BA47" s="49"/>
      <c r="BB47" s="49"/>
      <c r="BC47" s="49"/>
      <c r="BD47" s="49"/>
      <c r="BE47" s="49"/>
      <c r="BF47" s="49"/>
      <c r="BG47" s="49"/>
      <c r="BH47" s="49"/>
      <c r="BI47" s="49"/>
      <c r="BJ47" s="49"/>
      <c r="BK47" s="49"/>
      <c r="BL47" s="49"/>
      <c r="BM47" s="49"/>
      <c r="BN47" s="49"/>
      <c r="BO47" s="49"/>
      <c r="BP47" s="49"/>
      <c r="BQ47" s="49"/>
      <c r="BR47" s="49"/>
      <c r="BS47" s="49"/>
      <c r="BT47" s="49"/>
      <c r="BU47" s="49"/>
      <c r="BV47" s="49"/>
      <c r="BW47" s="49"/>
    </row>
    <row r="48" ht="15" x14ac:dyDescent="0.25" customHeight="1">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c r="AH48" s="49"/>
      <c r="AI48" s="49"/>
      <c r="AJ48" s="49"/>
      <c r="AK48" s="49"/>
      <c r="AL48" s="49"/>
      <c r="AM48" s="49"/>
      <c r="AN48" s="49"/>
      <c r="AO48" s="49"/>
      <c r="AP48" s="49"/>
      <c r="AQ48" s="49"/>
      <c r="AR48" s="49"/>
      <c r="AS48" s="49"/>
      <c r="AT48" s="49"/>
      <c r="AU48" s="49"/>
      <c r="AV48" s="49"/>
      <c r="AW48" s="49"/>
      <c r="AX48" s="49"/>
      <c r="AY48" s="49"/>
      <c r="AZ48" s="49"/>
      <c r="BA48" s="49"/>
      <c r="BB48" s="49"/>
      <c r="BC48" s="49"/>
      <c r="BD48" s="49"/>
      <c r="BE48" s="49"/>
      <c r="BF48" s="49"/>
      <c r="BG48" s="49"/>
      <c r="BH48" s="49"/>
      <c r="BI48" s="49"/>
      <c r="BJ48" s="49"/>
      <c r="BK48" s="49"/>
      <c r="BL48" s="49"/>
      <c r="BM48" s="49"/>
      <c r="BN48" s="49"/>
      <c r="BO48" s="49"/>
      <c r="BP48" s="49"/>
      <c r="BQ48" s="49"/>
      <c r="BR48" s="49"/>
      <c r="BS48" s="49"/>
      <c r="BT48" s="49"/>
      <c r="BU48" s="49"/>
      <c r="BV48" s="49"/>
      <c r="BW48" s="49"/>
    </row>
    <row r="66" ht="15" x14ac:dyDescent="0.25" customHeight="1">
      <c r="C66" s="52" t="s">
        <v>382</v>
      </c>
      <c r="D66" s="52"/>
      <c r="E66" s="52"/>
      <c r="F66" s="52"/>
      <c r="G66" s="52"/>
      <c r="H66" s="52"/>
      <c r="I66" s="52"/>
      <c r="J66" s="52"/>
      <c r="K66" s="52"/>
      <c r="L66" s="52"/>
      <c r="M66" s="52"/>
      <c r="N66" s="52"/>
      <c r="O66" s="52"/>
      <c r="P66" s="52"/>
      <c r="Q66" s="52"/>
      <c r="R66" s="52"/>
      <c r="S66" s="52"/>
      <c r="T66" s="52"/>
      <c r="U66" s="52"/>
      <c r="V66" s="52"/>
      <c r="W66" s="52"/>
      <c r="X66" s="52"/>
      <c r="Y66" s="52"/>
      <c r="Z66" s="52"/>
      <c r="AA66" s="52"/>
      <c r="AB66" s="52"/>
      <c r="AC66" s="52"/>
      <c r="AD66" s="52"/>
      <c r="AE66" s="52"/>
      <c r="AF66" s="52"/>
      <c r="AG66" s="52"/>
      <c r="AH66" s="52"/>
      <c r="AI66" s="52"/>
      <c r="AJ66" s="52"/>
      <c r="AK66" s="52"/>
      <c r="AL66" s="52"/>
      <c r="AM66" s="52"/>
      <c r="AN66" s="52"/>
      <c r="AO66" s="52"/>
      <c r="AP66" s="52"/>
      <c r="AQ66" s="52"/>
      <c r="AR66" s="52"/>
      <c r="AS66" s="52"/>
      <c r="AT66" s="52"/>
      <c r="AU66" s="52"/>
      <c r="AV66" s="52"/>
      <c r="AW66" s="52"/>
      <c r="AX66" s="52"/>
      <c r="AY66" s="52"/>
      <c r="AZ66" s="52"/>
      <c r="BA66" s="52"/>
      <c r="BB66" s="52"/>
      <c r="BC66" s="52"/>
      <c r="BD66" s="52"/>
      <c r="BE66" s="52"/>
      <c r="BF66" s="52"/>
      <c r="BG66" s="52"/>
      <c r="BH66" s="52"/>
      <c r="BI66" s="52"/>
      <c r="BJ66" s="52"/>
      <c r="BK66" s="52"/>
      <c r="BL66" s="52"/>
      <c r="BM66" s="52"/>
      <c r="BN66" s="52"/>
      <c r="BO66" s="52"/>
      <c r="BP66" s="52"/>
      <c r="BQ66" s="52"/>
      <c r="BR66" s="52"/>
      <c r="BS66" s="52"/>
      <c r="BT66" s="52"/>
      <c r="BU66" s="52"/>
      <c r="BV66" s="52"/>
      <c r="BW66" s="52"/>
    </row>
    <row r="67" ht="15" x14ac:dyDescent="0.25" customHeight="1">
      <c r="C67" s="52" t="s">
        <v>383</v>
      </c>
      <c r="D67" s="52"/>
      <c r="E67" s="52"/>
      <c r="F67" s="52"/>
      <c r="G67" s="52"/>
      <c r="H67" s="52"/>
      <c r="I67" s="52"/>
      <c r="J67" s="52"/>
      <c r="K67" s="52"/>
      <c r="L67" s="52"/>
      <c r="M67" s="52"/>
      <c r="N67" s="52"/>
      <c r="O67" s="52"/>
      <c r="P67" s="52"/>
      <c r="Q67" s="52"/>
      <c r="R67" s="52"/>
      <c r="S67" s="52"/>
      <c r="T67" s="52"/>
      <c r="U67" s="52"/>
      <c r="V67" s="52"/>
      <c r="W67" s="52"/>
      <c r="X67" s="52"/>
      <c r="Y67" s="52"/>
      <c r="Z67" s="52"/>
      <c r="AA67" s="52"/>
      <c r="AB67" s="52"/>
      <c r="AC67" s="52"/>
      <c r="AD67" s="52"/>
      <c r="AE67" s="52"/>
      <c r="AF67" s="52"/>
      <c r="AG67" s="52"/>
      <c r="AH67" s="52"/>
      <c r="AI67" s="52"/>
      <c r="AJ67" s="52"/>
      <c r="AK67" s="52"/>
      <c r="AL67" s="52"/>
      <c r="AM67" s="52"/>
      <c r="AN67" s="52"/>
      <c r="AO67" s="52"/>
      <c r="AP67" s="52"/>
      <c r="AQ67" s="52"/>
      <c r="AR67" s="52"/>
      <c r="AS67" s="52"/>
      <c r="AT67" s="52"/>
      <c r="AU67" s="52"/>
      <c r="AV67" s="52"/>
      <c r="AW67" s="52"/>
      <c r="AX67" s="52"/>
      <c r="AY67" s="52"/>
      <c r="AZ67" s="52"/>
      <c r="BA67" s="52"/>
      <c r="BB67" s="52"/>
      <c r="BC67" s="52"/>
      <c r="BD67" s="52"/>
      <c r="BE67" s="52"/>
      <c r="BF67" s="52"/>
      <c r="BG67" s="52"/>
      <c r="BH67" s="52"/>
      <c r="BI67" s="52"/>
      <c r="BJ67" s="52"/>
      <c r="BK67" s="52"/>
      <c r="BL67" s="52"/>
      <c r="BM67" s="52"/>
      <c r="BN67" s="52"/>
      <c r="BO67" s="52"/>
      <c r="BP67" s="52"/>
      <c r="BQ67" s="52"/>
      <c r="BR67" s="52"/>
      <c r="BS67" s="52"/>
      <c r="BT67" s="52"/>
      <c r="BU67" s="52"/>
      <c r="BV67" s="52"/>
      <c r="BW67" s="52"/>
    </row>
    <row r="68" ht="15" x14ac:dyDescent="0.25" customHeight="1">
      <c r="C68" s="52" t="s">
        <v>384</v>
      </c>
      <c r="D68" s="52"/>
      <c r="E68" s="52"/>
      <c r="F68" s="52"/>
      <c r="G68" s="52"/>
      <c r="H68" s="52"/>
      <c r="I68" s="52"/>
      <c r="J68" s="52"/>
      <c r="K68" s="52"/>
      <c r="L68" s="52"/>
      <c r="M68" s="52"/>
      <c r="N68" s="52"/>
      <c r="O68" s="52"/>
      <c r="P68" s="52"/>
      <c r="Q68" s="52"/>
      <c r="R68" s="52"/>
      <c r="S68" s="52"/>
      <c r="T68" s="52"/>
      <c r="U68" s="52"/>
      <c r="V68" s="52"/>
      <c r="W68" s="52"/>
      <c r="X68" s="52"/>
      <c r="Y68" s="52"/>
      <c r="Z68" s="52"/>
      <c r="AA68" s="52"/>
      <c r="AB68" s="52"/>
      <c r="AC68" s="52"/>
      <c r="AD68" s="52"/>
      <c r="AE68" s="52"/>
      <c r="AF68" s="52"/>
      <c r="AG68" s="52"/>
      <c r="AH68" s="52"/>
      <c r="AI68" s="52"/>
      <c r="AJ68" s="52"/>
      <c r="AK68" s="52"/>
      <c r="AL68" s="52"/>
      <c r="AM68" s="52"/>
      <c r="AN68" s="52"/>
      <c r="AO68" s="52"/>
      <c r="AP68" s="52"/>
      <c r="AQ68" s="52"/>
      <c r="AR68" s="52"/>
      <c r="AS68" s="52"/>
      <c r="AT68" s="52"/>
      <c r="AU68" s="52"/>
      <c r="AV68" s="52"/>
      <c r="AW68" s="52"/>
      <c r="AX68" s="52"/>
      <c r="AY68" s="52"/>
      <c r="AZ68" s="52"/>
      <c r="BA68" s="52"/>
      <c r="BB68" s="52"/>
      <c r="BC68" s="52"/>
      <c r="BD68" s="52"/>
      <c r="BE68" s="52"/>
      <c r="BF68" s="52"/>
      <c r="BG68" s="52"/>
      <c r="BH68" s="52"/>
      <c r="BI68" s="52"/>
      <c r="BJ68" s="52"/>
      <c r="BK68" s="52"/>
      <c r="BL68" s="52"/>
      <c r="BM68" s="52"/>
      <c r="BN68" s="52"/>
      <c r="BO68" s="52"/>
      <c r="BP68" s="52"/>
      <c r="BQ68" s="52"/>
      <c r="BR68" s="52"/>
      <c r="BS68" s="52"/>
      <c r="BT68" s="52"/>
      <c r="BU68" s="52"/>
      <c r="BV68" s="52"/>
      <c r="BW68" s="52"/>
    </row>
    <row r="69" ht="15" x14ac:dyDescent="0.25" customHeight="1">
      <c r="C69" s="52" t="s">
        <v>385</v>
      </c>
      <c r="D69" s="52"/>
      <c r="E69" s="52"/>
      <c r="F69" s="52"/>
      <c r="G69" s="52"/>
      <c r="H69" s="52"/>
      <c r="I69" s="52"/>
      <c r="J69" s="52"/>
      <c r="K69" s="52"/>
      <c r="L69" s="52"/>
      <c r="M69" s="52"/>
      <c r="N69" s="52"/>
      <c r="O69" s="52"/>
      <c r="P69" s="52"/>
      <c r="Q69" s="52"/>
      <c r="R69" s="52"/>
      <c r="S69" s="52"/>
      <c r="T69" s="52"/>
      <c r="U69" s="52"/>
      <c r="V69" s="52"/>
      <c r="W69" s="52"/>
      <c r="X69" s="52"/>
      <c r="Y69" s="52"/>
      <c r="Z69" s="52"/>
      <c r="AA69" s="52"/>
      <c r="AB69" s="52"/>
      <c r="AC69" s="52"/>
      <c r="AD69" s="52"/>
      <c r="AE69" s="52"/>
      <c r="AF69" s="52"/>
      <c r="AG69" s="52"/>
      <c r="AH69" s="52"/>
      <c r="AI69" s="52"/>
      <c r="AJ69" s="52"/>
      <c r="AK69" s="52"/>
      <c r="AL69" s="52"/>
      <c r="AM69" s="52"/>
      <c r="AN69" s="52"/>
      <c r="AO69" s="52"/>
      <c r="AP69" s="52"/>
      <c r="AQ69" s="52"/>
      <c r="AR69" s="52"/>
      <c r="AS69" s="52"/>
      <c r="AT69" s="52"/>
      <c r="AU69" s="52"/>
      <c r="AV69" s="52"/>
      <c r="AW69" s="52"/>
      <c r="AX69" s="52"/>
      <c r="AY69" s="52"/>
      <c r="AZ69" s="52"/>
      <c r="BA69" s="52"/>
      <c r="BB69" s="52"/>
      <c r="BC69" s="52"/>
      <c r="BD69" s="52"/>
      <c r="BE69" s="52"/>
      <c r="BF69" s="52"/>
      <c r="BG69" s="52"/>
      <c r="BH69" s="52"/>
      <c r="BI69" s="52"/>
      <c r="BJ69" s="52"/>
      <c r="BK69" s="52"/>
      <c r="BL69" s="52"/>
      <c r="BM69" s="52"/>
      <c r="BN69" s="52"/>
      <c r="BO69" s="52"/>
      <c r="BP69" s="52"/>
      <c r="BQ69" s="52"/>
      <c r="BR69" s="52"/>
      <c r="BS69" s="52"/>
      <c r="BT69" s="52"/>
      <c r="BU69" s="52"/>
      <c r="BV69" s="52"/>
      <c r="BW69" s="52"/>
    </row>
    <row r="70" ht="15" x14ac:dyDescent="0.25" customHeight="1">
      <c r="C70" s="52" t="s">
        <v>386</v>
      </c>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2"/>
      <c r="AK70" s="52"/>
      <c r="AL70" s="52"/>
      <c r="AM70" s="52"/>
      <c r="AN70" s="52"/>
      <c r="AO70" s="52"/>
      <c r="AP70" s="52"/>
      <c r="AQ70" s="52"/>
      <c r="AR70" s="52"/>
      <c r="AS70" s="52"/>
      <c r="AT70" s="52"/>
      <c r="AU70" s="52"/>
      <c r="AV70" s="52"/>
      <c r="AW70" s="52"/>
      <c r="AX70" s="52"/>
      <c r="AY70" s="52"/>
      <c r="AZ70" s="52"/>
      <c r="BA70" s="52"/>
      <c r="BB70" s="52"/>
      <c r="BC70" s="52"/>
      <c r="BD70" s="52"/>
      <c r="BE70" s="52"/>
      <c r="BF70" s="52"/>
      <c r="BG70" s="52"/>
      <c r="BH70" s="52"/>
      <c r="BI70" s="52"/>
      <c r="BJ70" s="52"/>
      <c r="BK70" s="52"/>
      <c r="BL70" s="52"/>
      <c r="BM70" s="52"/>
      <c r="BN70" s="52"/>
      <c r="BO70" s="52"/>
      <c r="BP70" s="52"/>
      <c r="BQ70" s="52"/>
      <c r="BR70" s="52"/>
      <c r="BS70" s="52"/>
      <c r="BT70" s="52"/>
      <c r="BU70" s="52"/>
      <c r="BV70" s="52"/>
      <c r="BW70" s="52"/>
    </row>
    <row r="71" ht="15" x14ac:dyDescent="0.25" customHeight="1">
      <c r="C71" s="52" t="s">
        <v>387</v>
      </c>
      <c r="D71" s="52"/>
      <c r="E71" s="52"/>
      <c r="F71" s="52"/>
      <c r="G71" s="52"/>
      <c r="H71" s="52"/>
      <c r="I71" s="52"/>
      <c r="J71" s="52"/>
      <c r="K71" s="52"/>
      <c r="L71" s="52"/>
      <c r="M71" s="52"/>
      <c r="N71" s="52"/>
      <c r="O71" s="52"/>
      <c r="P71" s="52"/>
      <c r="Q71" s="52"/>
      <c r="R71" s="52"/>
      <c r="S71" s="52"/>
      <c r="T71" s="52"/>
      <c r="U71" s="52"/>
      <c r="V71" s="52"/>
      <c r="W71" s="52"/>
      <c r="X71" s="52"/>
      <c r="Y71" s="52"/>
      <c r="Z71" s="52"/>
      <c r="AA71" s="52"/>
      <c r="AB71" s="52"/>
      <c r="AC71" s="52"/>
      <c r="AD71" s="52"/>
      <c r="AE71" s="52"/>
      <c r="AF71" s="52"/>
      <c r="AG71" s="52"/>
      <c r="AH71" s="52"/>
      <c r="AI71" s="52"/>
      <c r="AJ71" s="52"/>
      <c r="AK71" s="52"/>
      <c r="AL71" s="52"/>
      <c r="AM71" s="52"/>
      <c r="AN71" s="52"/>
      <c r="AO71" s="52"/>
      <c r="AP71" s="52"/>
      <c r="AQ71" s="52"/>
      <c r="AR71" s="52"/>
      <c r="AS71" s="52"/>
      <c r="AT71" s="52"/>
      <c r="AU71" s="52"/>
      <c r="AV71" s="52"/>
      <c r="AW71" s="52"/>
      <c r="AX71" s="52"/>
      <c r="AY71" s="52"/>
      <c r="AZ71" s="52"/>
      <c r="BA71" s="52"/>
      <c r="BB71" s="52"/>
      <c r="BC71" s="52"/>
      <c r="BD71" s="52"/>
      <c r="BE71" s="52"/>
      <c r="BF71" s="52"/>
      <c r="BG71" s="52"/>
      <c r="BH71" s="52"/>
      <c r="BI71" s="52"/>
      <c r="BJ71" s="52"/>
      <c r="BK71" s="52"/>
      <c r="BL71" s="52"/>
      <c r="BM71" s="52"/>
      <c r="BN71" s="52"/>
      <c r="BO71" s="52"/>
      <c r="BP71" s="52"/>
      <c r="BQ71" s="52"/>
      <c r="BR71" s="52"/>
      <c r="BS71" s="52"/>
      <c r="BT71" s="52"/>
      <c r="BU71" s="52"/>
      <c r="BV71" s="52"/>
      <c r="BW71" s="52"/>
    </row>
    <row r="73" ht="15" x14ac:dyDescent="0.25" customHeight="1">
      <c r="B73" s="49" t="s">
        <v>388</v>
      </c>
      <c r="C73" s="49"/>
      <c r="D73" s="49"/>
      <c r="E73" s="49"/>
      <c r="F73" s="49"/>
      <c r="G73" s="49"/>
      <c r="H73" s="49"/>
      <c r="I73" s="49"/>
      <c r="J73" s="49"/>
      <c r="K73" s="49"/>
      <c r="L73" s="49"/>
      <c r="M73" s="49"/>
      <c r="N73" s="49"/>
      <c r="O73" s="49"/>
      <c r="P73" s="49"/>
      <c r="Q73" s="49"/>
      <c r="R73" s="49"/>
      <c r="S73" s="49"/>
      <c r="T73" s="49"/>
      <c r="U73" s="49"/>
      <c r="V73" s="49"/>
      <c r="W73" s="49"/>
      <c r="X73" s="49"/>
      <c r="Y73" s="49"/>
      <c r="Z73" s="49"/>
      <c r="AA73" s="49"/>
      <c r="AB73" s="49"/>
      <c r="AC73" s="49"/>
      <c r="AD73" s="49"/>
      <c r="AE73" s="49"/>
      <c r="AF73" s="49"/>
      <c r="AG73" s="49"/>
      <c r="AH73" s="49"/>
      <c r="AI73" s="49"/>
      <c r="AJ73" s="49"/>
      <c r="AK73" s="49"/>
      <c r="AL73" s="49"/>
      <c r="AM73" s="49"/>
      <c r="AN73" s="49"/>
      <c r="AO73" s="49"/>
      <c r="AP73" s="49"/>
      <c r="AQ73" s="49"/>
      <c r="AR73" s="49"/>
      <c r="AS73" s="49"/>
      <c r="AT73" s="49"/>
      <c r="AU73" s="49"/>
      <c r="AV73" s="49"/>
      <c r="AW73" s="49"/>
      <c r="AX73" s="49"/>
      <c r="AY73" s="49"/>
      <c r="AZ73" s="49"/>
      <c r="BA73" s="49"/>
      <c r="BB73" s="49"/>
      <c r="BC73" s="49"/>
      <c r="BD73" s="49"/>
      <c r="BE73" s="49"/>
      <c r="BF73" s="49"/>
      <c r="BG73" s="49"/>
      <c r="BH73" s="49"/>
      <c r="BI73" s="49"/>
      <c r="BJ73" s="49"/>
      <c r="BK73" s="49"/>
      <c r="BL73" s="49"/>
      <c r="BM73" s="49"/>
      <c r="BN73" s="49"/>
      <c r="BO73" s="49"/>
      <c r="BP73" s="49"/>
      <c r="BQ73" s="49"/>
      <c r="BR73" s="49"/>
      <c r="BS73" s="49"/>
      <c r="BT73" s="49"/>
      <c r="BU73" s="49"/>
      <c r="BV73" s="49"/>
      <c r="BW73" s="49"/>
    </row>
    <row r="74" ht="15" x14ac:dyDescent="0.25" customHeight="1">
      <c r="B74" s="49"/>
      <c r="C74" s="49"/>
      <c r="D74" s="49"/>
      <c r="E74" s="49"/>
      <c r="F74" s="49"/>
      <c r="G74" s="49"/>
      <c r="H74" s="49"/>
      <c r="I74" s="49"/>
      <c r="J74" s="49"/>
      <c r="K74" s="49"/>
      <c r="L74" s="49"/>
      <c r="M74" s="49"/>
      <c r="N74" s="49"/>
      <c r="O74" s="49"/>
      <c r="P74" s="49"/>
      <c r="Q74" s="49"/>
      <c r="R74" s="49"/>
      <c r="S74" s="49"/>
      <c r="T74" s="49"/>
      <c r="U74" s="49"/>
      <c r="V74" s="49"/>
      <c r="W74" s="49"/>
      <c r="X74" s="49"/>
      <c r="Y74" s="49"/>
      <c r="Z74" s="49"/>
      <c r="AA74" s="49"/>
      <c r="AB74" s="49"/>
      <c r="AC74" s="49"/>
      <c r="AD74" s="49"/>
      <c r="AE74" s="49"/>
      <c r="AF74" s="49"/>
      <c r="AG74" s="49"/>
      <c r="AH74" s="49"/>
      <c r="AI74" s="49"/>
      <c r="AJ74" s="49"/>
      <c r="AK74" s="49"/>
      <c r="AL74" s="49"/>
      <c r="AM74" s="49"/>
      <c r="AN74" s="49"/>
      <c r="AO74" s="49"/>
      <c r="AP74" s="49"/>
      <c r="AQ74" s="49"/>
      <c r="AR74" s="49"/>
      <c r="AS74" s="49"/>
      <c r="AT74" s="49"/>
      <c r="AU74" s="49"/>
      <c r="AV74" s="49"/>
      <c r="AW74" s="49"/>
      <c r="AX74" s="49"/>
      <c r="AY74" s="49"/>
      <c r="AZ74" s="49"/>
      <c r="BA74" s="49"/>
      <c r="BB74" s="49"/>
      <c r="BC74" s="49"/>
      <c r="BD74" s="49"/>
      <c r="BE74" s="49"/>
      <c r="BF74" s="49"/>
      <c r="BG74" s="49"/>
      <c r="BH74" s="49"/>
      <c r="BI74" s="49"/>
      <c r="BJ74" s="49"/>
      <c r="BK74" s="49"/>
      <c r="BL74" s="49"/>
      <c r="BM74" s="49"/>
      <c r="BN74" s="49"/>
      <c r="BO74" s="49"/>
      <c r="BP74" s="49"/>
      <c r="BQ74" s="49"/>
      <c r="BR74" s="49"/>
      <c r="BS74" s="49"/>
      <c r="BT74" s="49"/>
      <c r="BU74" s="49"/>
      <c r="BV74" s="49"/>
      <c r="BW74" s="49"/>
    </row>
    <row r="76" ht="15" x14ac:dyDescent="0.25" customHeight="1">
      <c r="C76" s="26" t="s">
        <v>41</v>
      </c>
      <c r="D76" s="26"/>
      <c r="E76" s="26"/>
      <c r="F76" s="26"/>
      <c r="G76" s="26"/>
      <c r="H76" s="26"/>
      <c r="I76" s="26"/>
      <c r="J76" s="26"/>
      <c r="K76" s="26"/>
      <c r="L76" s="26"/>
      <c r="M76" s="26" t="s">
        <v>389</v>
      </c>
      <c r="N76" s="26"/>
      <c r="O76" s="26"/>
      <c r="P76" s="26"/>
      <c r="Q76" s="26"/>
      <c r="R76" s="26"/>
      <c r="S76" s="26"/>
      <c r="T76" s="26"/>
      <c r="U76" s="26"/>
      <c r="V76" s="26"/>
      <c r="W76" s="26"/>
      <c r="X76" s="26"/>
      <c r="Y76" s="26" t="s">
        <v>390</v>
      </c>
      <c r="Z76" s="26"/>
      <c r="AA76" s="26"/>
      <c r="AB76" s="26"/>
      <c r="AC76" s="26"/>
      <c r="AD76" s="26"/>
      <c r="AE76" s="26"/>
      <c r="AF76" s="26"/>
      <c r="AG76" s="26"/>
      <c r="AH76" s="26"/>
      <c r="AI76" s="26"/>
      <c r="AJ76" s="26"/>
      <c r="AK76" s="26"/>
      <c r="AL76" s="26"/>
      <c r="AM76" s="26"/>
      <c r="AN76" s="26"/>
      <c r="AO76" s="26"/>
      <c r="AP76" s="26"/>
      <c r="AQ76" s="26"/>
      <c r="AR76" s="26"/>
      <c r="AS76" s="26"/>
      <c r="AT76" s="26" t="s">
        <v>391</v>
      </c>
      <c r="AU76" s="26"/>
      <c r="AV76" s="26"/>
      <c r="AW76" s="26"/>
      <c r="AX76" s="26"/>
      <c r="AY76" s="26"/>
      <c r="AZ76" s="26"/>
      <c r="BA76" s="26"/>
      <c r="BB76" s="26"/>
      <c r="BC76" s="26"/>
      <c r="BD76" s="26"/>
      <c r="BE76" s="26"/>
      <c r="BF76" s="26"/>
      <c r="BG76" s="26"/>
      <c r="BH76" s="26"/>
      <c r="BI76" s="26"/>
      <c r="BJ76" s="26" t="s">
        <v>392</v>
      </c>
      <c r="BK76" s="26"/>
      <c r="BL76" s="26"/>
      <c r="BM76" s="26"/>
      <c r="BN76" s="26"/>
      <c r="BO76" s="26"/>
      <c r="BP76" s="26"/>
      <c r="BQ76" s="26"/>
      <c r="BR76" s="26"/>
      <c r="BS76" s="26"/>
      <c r="BT76" s="26"/>
      <c r="BU76" s="26"/>
      <c r="BV76" s="26"/>
      <c r="BW76" s="26"/>
    </row>
    <row r="77" ht="15" x14ac:dyDescent="0.25" customHeight="1">
      <c r="B77" s="3"/>
      <c r="C77" s="50" t="s">
        <v>74</v>
      </c>
      <c r="D77" s="50"/>
      <c r="E77" s="50"/>
      <c r="F77" s="50"/>
      <c r="G77" s="50"/>
      <c r="H77" s="50"/>
      <c r="I77" s="50"/>
      <c r="J77" s="50"/>
      <c r="K77" s="50"/>
      <c r="L77" s="50"/>
      <c r="M77" s="51" t="s">
        <v>393</v>
      </c>
      <c r="N77" s="51"/>
      <c r="O77" s="51"/>
      <c r="P77" s="51"/>
      <c r="Q77" s="51"/>
      <c r="R77" s="51"/>
      <c r="S77" s="51"/>
      <c r="T77" s="51"/>
      <c r="U77" s="51"/>
      <c r="V77" s="51"/>
      <c r="W77" s="51"/>
      <c r="X77" s="51"/>
      <c r="Y77" s="51" t="s">
        <v>394</v>
      </c>
      <c r="Z77" s="51"/>
      <c r="AA77" s="51"/>
      <c r="AB77" s="51"/>
      <c r="AC77" s="51"/>
      <c r="AD77" s="51"/>
      <c r="AE77" s="51"/>
      <c r="AF77" s="51"/>
      <c r="AG77" s="51"/>
      <c r="AH77" s="51"/>
      <c r="AI77" s="51"/>
      <c r="AJ77" s="51"/>
      <c r="AK77" s="51"/>
      <c r="AL77" s="51"/>
      <c r="AM77" s="51"/>
      <c r="AN77" s="51"/>
      <c r="AO77" s="51"/>
      <c r="AP77" s="51"/>
      <c r="AQ77" s="51"/>
      <c r="AR77" s="51"/>
      <c r="AS77" s="51"/>
      <c r="AT77" s="51" t="s">
        <v>395</v>
      </c>
      <c r="AU77" s="51"/>
      <c r="AV77" s="51"/>
      <c r="AW77" s="51"/>
      <c r="AX77" s="51"/>
      <c r="AY77" s="51"/>
      <c r="AZ77" s="51"/>
      <c r="BA77" s="51"/>
      <c r="BB77" s="51"/>
      <c r="BC77" s="51"/>
      <c r="BD77" s="51"/>
      <c r="BE77" s="51"/>
      <c r="BF77" s="51"/>
      <c r="BG77" s="51"/>
      <c r="BH77" s="51"/>
      <c r="BI77" s="51"/>
      <c r="BJ77" s="51" t="s">
        <v>396</v>
      </c>
      <c r="BK77" s="51"/>
      <c r="BL77" s="51"/>
      <c r="BM77" s="51"/>
      <c r="BN77" s="51"/>
      <c r="BO77" s="51"/>
      <c r="BP77" s="51"/>
      <c r="BQ77" s="51"/>
      <c r="BR77" s="51"/>
      <c r="BS77" s="51"/>
      <c r="BT77" s="51"/>
      <c r="BU77" s="51"/>
      <c r="BV77" s="51"/>
      <c r="BW77" s="51"/>
    </row>
    <row r="78" ht="15" x14ac:dyDescent="0.25" customHeight="1">
      <c r="B78" s="4"/>
      <c r="C78" s="50" t="s">
        <v>75</v>
      </c>
      <c r="D78" s="50"/>
      <c r="E78" s="50"/>
      <c r="F78" s="50"/>
      <c r="G78" s="50"/>
      <c r="H78" s="50"/>
      <c r="I78" s="50"/>
      <c r="J78" s="50"/>
      <c r="K78" s="50"/>
      <c r="L78" s="50"/>
      <c r="M78" s="51" t="s">
        <v>46</v>
      </c>
      <c r="N78" s="51"/>
      <c r="O78" s="51"/>
      <c r="P78" s="51"/>
      <c r="Q78" s="51"/>
      <c r="R78" s="51"/>
      <c r="S78" s="51"/>
      <c r="T78" s="51"/>
      <c r="U78" s="51"/>
      <c r="V78" s="51"/>
      <c r="W78" s="51"/>
      <c r="X78" s="51"/>
      <c r="Y78" s="51" t="s">
        <v>397</v>
      </c>
      <c r="Z78" s="51"/>
      <c r="AA78" s="51"/>
      <c r="AB78" s="51"/>
      <c r="AC78" s="51"/>
      <c r="AD78" s="51"/>
      <c r="AE78" s="51"/>
      <c r="AF78" s="51"/>
      <c r="AG78" s="51"/>
      <c r="AH78" s="51"/>
      <c r="AI78" s="51"/>
      <c r="AJ78" s="51"/>
      <c r="AK78" s="51"/>
      <c r="AL78" s="51"/>
      <c r="AM78" s="51"/>
      <c r="AN78" s="51"/>
      <c r="AO78" s="51"/>
      <c r="AP78" s="51"/>
      <c r="AQ78" s="51"/>
      <c r="AR78" s="51"/>
      <c r="AS78" s="51"/>
      <c r="AT78" s="51" t="s">
        <v>398</v>
      </c>
      <c r="AU78" s="51"/>
      <c r="AV78" s="51"/>
      <c r="AW78" s="51"/>
      <c r="AX78" s="51"/>
      <c r="AY78" s="51"/>
      <c r="AZ78" s="51"/>
      <c r="BA78" s="51"/>
      <c r="BB78" s="51"/>
      <c r="BC78" s="51"/>
      <c r="BD78" s="51"/>
      <c r="BE78" s="51"/>
      <c r="BF78" s="51"/>
      <c r="BG78" s="51"/>
      <c r="BH78" s="51"/>
      <c r="BI78" s="51"/>
      <c r="BJ78" s="51" t="s">
        <v>399</v>
      </c>
      <c r="BK78" s="51"/>
      <c r="BL78" s="51"/>
      <c r="BM78" s="51"/>
      <c r="BN78" s="51"/>
      <c r="BO78" s="51"/>
      <c r="BP78" s="51"/>
      <c r="BQ78" s="51"/>
      <c r="BR78" s="51"/>
      <c r="BS78" s="51"/>
      <c r="BT78" s="51"/>
      <c r="BU78" s="51"/>
      <c r="BV78" s="51"/>
      <c r="BW78" s="51"/>
    </row>
    <row r="79" ht="15" x14ac:dyDescent="0.25" customHeight="1">
      <c r="B79" s="5"/>
      <c r="C79" s="50" t="s">
        <v>76</v>
      </c>
      <c r="D79" s="50"/>
      <c r="E79" s="50"/>
      <c r="F79" s="50"/>
      <c r="G79" s="50"/>
      <c r="H79" s="50"/>
      <c r="I79" s="50"/>
      <c r="J79" s="50"/>
      <c r="K79" s="50"/>
      <c r="L79" s="50"/>
      <c r="M79" s="51" t="s">
        <v>50</v>
      </c>
      <c r="N79" s="51"/>
      <c r="O79" s="51"/>
      <c r="P79" s="51"/>
      <c r="Q79" s="51"/>
      <c r="R79" s="51"/>
      <c r="S79" s="51"/>
      <c r="T79" s="51"/>
      <c r="U79" s="51"/>
      <c r="V79" s="51"/>
      <c r="W79" s="51"/>
      <c r="X79" s="51"/>
      <c r="Y79" s="51" t="s">
        <v>400</v>
      </c>
      <c r="Z79" s="51"/>
      <c r="AA79" s="51"/>
      <c r="AB79" s="51"/>
      <c r="AC79" s="51"/>
      <c r="AD79" s="51"/>
      <c r="AE79" s="51"/>
      <c r="AF79" s="51"/>
      <c r="AG79" s="51"/>
      <c r="AH79" s="51"/>
      <c r="AI79" s="51"/>
      <c r="AJ79" s="51"/>
      <c r="AK79" s="51"/>
      <c r="AL79" s="51"/>
      <c r="AM79" s="51"/>
      <c r="AN79" s="51"/>
      <c r="AO79" s="51"/>
      <c r="AP79" s="51"/>
      <c r="AQ79" s="51"/>
      <c r="AR79" s="51"/>
      <c r="AS79" s="51"/>
      <c r="AT79" s="51" t="s">
        <v>401</v>
      </c>
      <c r="AU79" s="51"/>
      <c r="AV79" s="51"/>
      <c r="AW79" s="51"/>
      <c r="AX79" s="51"/>
      <c r="AY79" s="51"/>
      <c r="AZ79" s="51"/>
      <c r="BA79" s="51"/>
      <c r="BB79" s="51"/>
      <c r="BC79" s="51"/>
      <c r="BD79" s="51"/>
      <c r="BE79" s="51"/>
      <c r="BF79" s="51"/>
      <c r="BG79" s="51"/>
      <c r="BH79" s="51"/>
      <c r="BI79" s="51"/>
      <c r="BJ79" s="51" t="s">
        <v>402</v>
      </c>
      <c r="BK79" s="51"/>
      <c r="BL79" s="51"/>
      <c r="BM79" s="51"/>
      <c r="BN79" s="51"/>
      <c r="BO79" s="51"/>
      <c r="BP79" s="51"/>
      <c r="BQ79" s="51"/>
      <c r="BR79" s="51"/>
      <c r="BS79" s="51"/>
      <c r="BT79" s="51"/>
      <c r="BU79" s="51"/>
      <c r="BV79" s="51"/>
      <c r="BW79" s="51"/>
    </row>
    <row r="80" ht="15" x14ac:dyDescent="0.25" customHeight="1">
      <c r="B80" s="6"/>
      <c r="C80" s="50" t="s">
        <v>77</v>
      </c>
      <c r="D80" s="50"/>
      <c r="E80" s="50"/>
      <c r="F80" s="50"/>
      <c r="G80" s="50"/>
      <c r="H80" s="50"/>
      <c r="I80" s="50"/>
      <c r="J80" s="50"/>
      <c r="K80" s="50"/>
      <c r="L80" s="50"/>
      <c r="M80" s="51" t="s">
        <v>54</v>
      </c>
      <c r="N80" s="51"/>
      <c r="O80" s="51"/>
      <c r="P80" s="51"/>
      <c r="Q80" s="51"/>
      <c r="R80" s="51"/>
      <c r="S80" s="51"/>
      <c r="T80" s="51"/>
      <c r="U80" s="51"/>
      <c r="V80" s="51"/>
      <c r="W80" s="51"/>
      <c r="X80" s="51"/>
      <c r="Y80" s="51" t="s">
        <v>403</v>
      </c>
      <c r="Z80" s="51"/>
      <c r="AA80" s="51"/>
      <c r="AB80" s="51"/>
      <c r="AC80" s="51"/>
      <c r="AD80" s="51"/>
      <c r="AE80" s="51"/>
      <c r="AF80" s="51"/>
      <c r="AG80" s="51"/>
      <c r="AH80" s="51"/>
      <c r="AI80" s="51"/>
      <c r="AJ80" s="51"/>
      <c r="AK80" s="51"/>
      <c r="AL80" s="51"/>
      <c r="AM80" s="51"/>
      <c r="AN80" s="51"/>
      <c r="AO80" s="51"/>
      <c r="AP80" s="51"/>
      <c r="AQ80" s="51"/>
      <c r="AR80" s="51"/>
      <c r="AS80" s="51"/>
      <c r="AT80" s="51" t="s">
        <v>404</v>
      </c>
      <c r="AU80" s="51"/>
      <c r="AV80" s="51"/>
      <c r="AW80" s="51"/>
      <c r="AX80" s="51"/>
      <c r="AY80" s="51"/>
      <c r="AZ80" s="51"/>
      <c r="BA80" s="51"/>
      <c r="BB80" s="51"/>
      <c r="BC80" s="51"/>
      <c r="BD80" s="51"/>
      <c r="BE80" s="51"/>
      <c r="BF80" s="51"/>
      <c r="BG80" s="51"/>
      <c r="BH80" s="51"/>
      <c r="BI80" s="51"/>
      <c r="BJ80" s="51" t="s">
        <v>405</v>
      </c>
      <c r="BK80" s="51"/>
      <c r="BL80" s="51"/>
      <c r="BM80" s="51"/>
      <c r="BN80" s="51"/>
      <c r="BO80" s="51"/>
      <c r="BP80" s="51"/>
      <c r="BQ80" s="51"/>
      <c r="BR80" s="51"/>
      <c r="BS80" s="51"/>
      <c r="BT80" s="51"/>
      <c r="BU80" s="51"/>
      <c r="BV80" s="51"/>
      <c r="BW80" s="51"/>
    </row>
    <row r="81" ht="15" customHeight="1">
      <c r="B81" s="81"/>
      <c r="C81" s="50" t="s">
        <v>465</v>
      </c>
      <c r="D81" s="50"/>
      <c r="E81" s="50"/>
      <c r="F81" s="50"/>
      <c r="G81" s="50"/>
      <c r="H81" s="50"/>
      <c r="I81" s="50"/>
      <c r="J81" s="50"/>
      <c r="K81" s="50"/>
      <c r="L81" s="50"/>
      <c r="M81" s="51" t="s">
        <v>455</v>
      </c>
      <c r="N81" s="51"/>
      <c r="O81" s="51"/>
      <c r="P81" s="51"/>
      <c r="Q81" s="51"/>
      <c r="R81" s="51"/>
      <c r="S81" s="51"/>
      <c r="T81" s="51"/>
      <c r="U81" s="51"/>
      <c r="V81" s="51"/>
      <c r="W81" s="51"/>
      <c r="X81" s="51"/>
      <c r="Y81" s="51" t="s">
        <v>466</v>
      </c>
      <c r="Z81" s="51"/>
      <c r="AA81" s="51"/>
      <c r="AB81" s="51"/>
      <c r="AC81" s="51"/>
      <c r="AD81" s="51"/>
      <c r="AE81" s="51"/>
      <c r="AF81" s="51"/>
      <c r="AG81" s="51"/>
      <c r="AH81" s="51"/>
      <c r="AI81" s="51"/>
      <c r="AJ81" s="51"/>
      <c r="AK81" s="51"/>
      <c r="AL81" s="51"/>
      <c r="AM81" s="51"/>
      <c r="AN81" s="51"/>
      <c r="AO81" s="51"/>
      <c r="AP81" s="51"/>
      <c r="AQ81" s="51"/>
      <c r="AR81" s="51"/>
      <c r="AS81" s="51"/>
      <c r="AT81" s="51" t="s">
        <v>467</v>
      </c>
      <c r="AU81" s="51"/>
      <c r="AV81" s="51"/>
      <c r="AW81" s="51"/>
      <c r="AX81" s="51"/>
      <c r="AY81" s="51"/>
      <c r="AZ81" s="51"/>
      <c r="BA81" s="51"/>
      <c r="BB81" s="51"/>
      <c r="BC81" s="51"/>
      <c r="BD81" s="51"/>
      <c r="BE81" s="51"/>
      <c r="BF81" s="51"/>
      <c r="BG81" s="51"/>
      <c r="BH81" s="51"/>
      <c r="BI81" s="51"/>
      <c r="BJ81" s="51" t="s">
        <v>468</v>
      </c>
      <c r="BK81" s="51"/>
      <c r="BL81" s="51"/>
      <c r="BM81" s="51"/>
      <c r="BN81" s="51"/>
      <c r="BO81" s="51"/>
      <c r="BP81" s="51"/>
      <c r="BQ81" s="51"/>
      <c r="BR81" s="51"/>
      <c r="BS81" s="51"/>
      <c r="BT81" s="51"/>
      <c r="BU81" s="51"/>
      <c r="BV81" s="51"/>
      <c r="BW81" s="51"/>
    </row>
    <row r="82" ht="15" customHeight="1">
      <c r="B82" s="85"/>
      <c r="C82" s="50" t="s">
        <v>469</v>
      </c>
      <c r="D82" s="50"/>
      <c r="E82" s="50"/>
      <c r="F82" s="50"/>
      <c r="G82" s="50"/>
      <c r="H82" s="50"/>
      <c r="I82" s="50"/>
      <c r="J82" s="50"/>
      <c r="K82" s="50"/>
      <c r="L82" s="50"/>
      <c r="M82" s="51" t="s">
        <v>459</v>
      </c>
      <c r="N82" s="51"/>
      <c r="O82" s="51"/>
      <c r="P82" s="51"/>
      <c r="Q82" s="51"/>
      <c r="R82" s="51"/>
      <c r="S82" s="51"/>
      <c r="T82" s="51"/>
      <c r="U82" s="51"/>
      <c r="V82" s="51"/>
      <c r="W82" s="51"/>
      <c r="X82" s="51"/>
      <c r="Y82" s="51" t="s">
        <v>470</v>
      </c>
      <c r="Z82" s="51"/>
      <c r="AA82" s="51"/>
      <c r="AB82" s="51"/>
      <c r="AC82" s="51"/>
      <c r="AD82" s="51"/>
      <c r="AE82" s="51"/>
      <c r="AF82" s="51"/>
      <c r="AG82" s="51"/>
      <c r="AH82" s="51"/>
      <c r="AI82" s="51"/>
      <c r="AJ82" s="51"/>
      <c r="AK82" s="51"/>
      <c r="AL82" s="51"/>
      <c r="AM82" s="51"/>
      <c r="AN82" s="51"/>
      <c r="AO82" s="51"/>
      <c r="AP82" s="51"/>
      <c r="AQ82" s="51"/>
      <c r="AR82" s="51"/>
      <c r="AS82" s="51"/>
      <c r="AT82" s="51" t="s">
        <v>471</v>
      </c>
      <c r="AU82" s="51"/>
      <c r="AV82" s="51"/>
      <c r="AW82" s="51"/>
      <c r="AX82" s="51"/>
      <c r="AY82" s="51"/>
      <c r="AZ82" s="51"/>
      <c r="BA82" s="51"/>
      <c r="BB82" s="51"/>
      <c r="BC82" s="51"/>
      <c r="BD82" s="51"/>
      <c r="BE82" s="51"/>
      <c r="BF82" s="51"/>
      <c r="BG82" s="51"/>
      <c r="BH82" s="51"/>
      <c r="BI82" s="51"/>
      <c r="BJ82" s="51" t="s">
        <v>472</v>
      </c>
      <c r="BK82" s="51"/>
      <c r="BL82" s="51"/>
      <c r="BM82" s="51"/>
      <c r="BN82" s="51"/>
      <c r="BO82" s="51"/>
      <c r="BP82" s="51"/>
      <c r="BQ82" s="51"/>
      <c r="BR82" s="51"/>
      <c r="BS82" s="51"/>
      <c r="BT82" s="51"/>
      <c r="BU82" s="51"/>
      <c r="BV82" s="51"/>
      <c r="BW82" s="51"/>
    </row>
    <row r="83" ht="15" customHeight="1">
      <c r="B83" s="89"/>
      <c r="C83" s="50" t="s">
        <v>473</v>
      </c>
      <c r="D83" s="50"/>
      <c r="E83" s="50"/>
      <c r="F83" s="50"/>
      <c r="G83" s="50"/>
      <c r="H83" s="50"/>
      <c r="I83" s="50"/>
      <c r="J83" s="50"/>
      <c r="K83" s="50"/>
      <c r="L83" s="50"/>
      <c r="M83" s="51" t="s">
        <v>463</v>
      </c>
      <c r="N83" s="51"/>
      <c r="O83" s="51"/>
      <c r="P83" s="51"/>
      <c r="Q83" s="51"/>
      <c r="R83" s="51"/>
      <c r="S83" s="51"/>
      <c r="T83" s="51"/>
      <c r="U83" s="51"/>
      <c r="V83" s="51"/>
      <c r="W83" s="51"/>
      <c r="X83" s="51"/>
      <c r="Y83" s="51" t="s">
        <v>474</v>
      </c>
      <c r="Z83" s="51"/>
      <c r="AA83" s="51"/>
      <c r="AB83" s="51"/>
      <c r="AC83" s="51"/>
      <c r="AD83" s="51"/>
      <c r="AE83" s="51"/>
      <c r="AF83" s="51"/>
      <c r="AG83" s="51"/>
      <c r="AH83" s="51"/>
      <c r="AI83" s="51"/>
      <c r="AJ83" s="51"/>
      <c r="AK83" s="51"/>
      <c r="AL83" s="51"/>
      <c r="AM83" s="51"/>
      <c r="AN83" s="51"/>
      <c r="AO83" s="51"/>
      <c r="AP83" s="51"/>
      <c r="AQ83" s="51"/>
      <c r="AR83" s="51"/>
      <c r="AS83" s="51"/>
      <c r="AT83" s="51" t="s">
        <v>475</v>
      </c>
      <c r="AU83" s="51"/>
      <c r="AV83" s="51"/>
      <c r="AW83" s="51"/>
      <c r="AX83" s="51"/>
      <c r="AY83" s="51"/>
      <c r="AZ83" s="51"/>
      <c r="BA83" s="51"/>
      <c r="BB83" s="51"/>
      <c r="BC83" s="51"/>
      <c r="BD83" s="51"/>
      <c r="BE83" s="51"/>
      <c r="BF83" s="51"/>
      <c r="BG83" s="51"/>
      <c r="BH83" s="51"/>
      <c r="BI83" s="51"/>
      <c r="BJ83" s="51" t="s">
        <v>476</v>
      </c>
      <c r="BK83" s="51"/>
      <c r="BL83" s="51"/>
      <c r="BM83" s="51"/>
      <c r="BN83" s="51"/>
      <c r="BO83" s="51"/>
      <c r="BP83" s="51"/>
      <c r="BQ83" s="51"/>
      <c r="BR83" s="51"/>
      <c r="BS83" s="51"/>
      <c r="BT83" s="51"/>
      <c r="BU83" s="51"/>
      <c r="BV83" s="51"/>
      <c r="BW83" s="51"/>
    </row>
    <row r="85" ht="15" x14ac:dyDescent="0.25" customHeight="1">
      <c r="C85" s="52" t="s">
        <v>406</v>
      </c>
      <c r="D85" s="52"/>
      <c r="E85" s="52"/>
      <c r="F85" s="52"/>
      <c r="G85" s="52"/>
      <c r="H85" s="52"/>
      <c r="I85" s="52"/>
      <c r="J85" s="52"/>
      <c r="K85" s="52"/>
      <c r="L85" s="52"/>
      <c r="M85" s="52"/>
      <c r="N85" s="52"/>
      <c r="O85" s="52"/>
      <c r="P85" s="52"/>
      <c r="Q85" s="52"/>
      <c r="R85" s="52"/>
      <c r="S85" s="52"/>
      <c r="T85" s="52"/>
      <c r="U85" s="52"/>
      <c r="V85" s="52"/>
      <c r="W85" s="52"/>
      <c r="X85" s="52"/>
      <c r="Y85" s="52"/>
      <c r="Z85" s="52"/>
      <c r="AA85" s="52"/>
      <c r="AB85" s="52"/>
      <c r="AC85" s="52"/>
      <c r="AD85" s="52"/>
      <c r="AE85" s="52"/>
      <c r="AF85" s="52"/>
      <c r="AG85" s="52"/>
      <c r="AH85" s="52"/>
      <c r="AI85" s="52"/>
      <c r="AJ85" s="52"/>
      <c r="AK85" s="52"/>
      <c r="AL85" s="52"/>
      <c r="AM85" s="52"/>
      <c r="AN85" s="52"/>
      <c r="AO85" s="52"/>
      <c r="AP85" s="52"/>
      <c r="AQ85" s="52"/>
      <c r="AR85" s="52"/>
      <c r="AS85" s="52"/>
      <c r="AT85" s="52"/>
      <c r="AU85" s="52"/>
      <c r="AV85" s="52"/>
      <c r="AW85" s="52"/>
      <c r="AX85" s="52"/>
      <c r="AY85" s="52"/>
      <c r="AZ85" s="52"/>
      <c r="BA85" s="52"/>
      <c r="BB85" s="52"/>
      <c r="BC85" s="52"/>
      <c r="BD85" s="52"/>
      <c r="BE85" s="52"/>
      <c r="BF85" s="52"/>
      <c r="BG85" s="52"/>
      <c r="BH85" s="52"/>
      <c r="BI85" s="52"/>
      <c r="BJ85" s="52"/>
      <c r="BK85" s="52"/>
      <c r="BL85" s="52"/>
      <c r="BM85" s="52"/>
      <c r="BN85" s="52"/>
      <c r="BO85" s="52"/>
      <c r="BP85" s="52"/>
      <c r="BQ85" s="52"/>
      <c r="BR85" s="52"/>
      <c r="BS85" s="52"/>
      <c r="BT85" s="52"/>
      <c r="BU85" s="52"/>
      <c r="BV85" s="52"/>
      <c r="BW85" s="52"/>
    </row>
    <row r="86" ht="15" x14ac:dyDescent="0.25" customHeight="1">
      <c r="C86" s="52" t="s">
        <v>407</v>
      </c>
      <c r="D86" s="52"/>
      <c r="E86" s="52"/>
      <c r="F86" s="52"/>
      <c r="G86" s="52"/>
      <c r="H86" s="52"/>
      <c r="I86" s="52"/>
      <c r="J86" s="52"/>
      <c r="K86" s="52"/>
      <c r="L86" s="52"/>
      <c r="M86" s="52"/>
      <c r="N86" s="52"/>
      <c r="O86" s="52"/>
      <c r="P86" s="52"/>
      <c r="Q86" s="52"/>
      <c r="R86" s="52"/>
      <c r="S86" s="52"/>
      <c r="T86" s="52"/>
      <c r="U86" s="52"/>
      <c r="V86" s="52"/>
      <c r="W86" s="52"/>
      <c r="X86" s="52"/>
      <c r="Y86" s="52"/>
      <c r="Z86" s="52"/>
      <c r="AA86" s="52"/>
      <c r="AB86" s="52"/>
      <c r="AC86" s="52"/>
      <c r="AD86" s="52"/>
      <c r="AE86" s="52"/>
      <c r="AF86" s="52"/>
      <c r="AG86" s="52"/>
      <c r="AH86" s="52"/>
      <c r="AI86" s="52"/>
      <c r="AJ86" s="52"/>
      <c r="AK86" s="52"/>
      <c r="AL86" s="52"/>
      <c r="AM86" s="52"/>
      <c r="AN86" s="52"/>
      <c r="AO86" s="52"/>
      <c r="AP86" s="52"/>
      <c r="AQ86" s="52"/>
      <c r="AR86" s="52"/>
      <c r="AS86" s="52"/>
      <c r="AT86" s="52"/>
      <c r="AU86" s="52"/>
      <c r="AV86" s="52"/>
      <c r="AW86" s="52"/>
      <c r="AX86" s="52"/>
      <c r="AY86" s="52"/>
      <c r="AZ86" s="52"/>
      <c r="BA86" s="52"/>
      <c r="BB86" s="52"/>
      <c r="BC86" s="52"/>
      <c r="BD86" s="52"/>
      <c r="BE86" s="52"/>
      <c r="BF86" s="52"/>
      <c r="BG86" s="52"/>
      <c r="BH86" s="52"/>
      <c r="BI86" s="52"/>
      <c r="BJ86" s="52"/>
      <c r="BK86" s="52"/>
      <c r="BL86" s="52"/>
      <c r="BM86" s="52"/>
      <c r="BN86" s="52"/>
      <c r="BO86" s="52"/>
      <c r="BP86" s="52"/>
      <c r="BQ86" s="52"/>
      <c r="BR86" s="52"/>
      <c r="BS86" s="52"/>
      <c r="BT86" s="52"/>
      <c r="BU86" s="52"/>
      <c r="BV86" s="52"/>
      <c r="BW86" s="52"/>
    </row>
    <row r="87" ht="15" x14ac:dyDescent="0.25" customHeight="1">
      <c r="C87" s="52" t="s">
        <v>408</v>
      </c>
      <c r="D87" s="52"/>
      <c r="E87" s="52"/>
      <c r="F87" s="52"/>
      <c r="G87" s="52"/>
      <c r="H87" s="52"/>
      <c r="I87" s="52"/>
      <c r="J87" s="52"/>
      <c r="K87" s="52"/>
      <c r="L87" s="52"/>
      <c r="M87" s="52"/>
      <c r="N87" s="52"/>
      <c r="O87" s="52"/>
      <c r="P87" s="52"/>
      <c r="Q87" s="52"/>
      <c r="R87" s="52"/>
      <c r="S87" s="52"/>
      <c r="T87" s="52"/>
      <c r="U87" s="52"/>
      <c r="V87" s="52"/>
      <c r="W87" s="52"/>
      <c r="X87" s="52"/>
      <c r="Y87" s="52"/>
      <c r="Z87" s="52"/>
      <c r="AA87" s="52"/>
      <c r="AB87" s="52"/>
      <c r="AC87" s="52"/>
      <c r="AD87" s="52"/>
      <c r="AE87" s="52"/>
      <c r="AF87" s="52"/>
      <c r="AG87" s="52"/>
      <c r="AH87" s="52"/>
      <c r="AI87" s="52"/>
      <c r="AJ87" s="52"/>
      <c r="AK87" s="52"/>
      <c r="AL87" s="52"/>
      <c r="AM87" s="52"/>
      <c r="AN87" s="52"/>
      <c r="AO87" s="52"/>
      <c r="AP87" s="52"/>
      <c r="AQ87" s="52"/>
      <c r="AR87" s="52"/>
      <c r="AS87" s="52"/>
      <c r="AT87" s="52"/>
      <c r="AU87" s="52"/>
      <c r="AV87" s="52"/>
      <c r="AW87" s="52"/>
      <c r="AX87" s="52"/>
      <c r="AY87" s="52"/>
      <c r="AZ87" s="52"/>
      <c r="BA87" s="52"/>
      <c r="BB87" s="52"/>
      <c r="BC87" s="52"/>
      <c r="BD87" s="52"/>
      <c r="BE87" s="52"/>
      <c r="BF87" s="52"/>
      <c r="BG87" s="52"/>
      <c r="BH87" s="52"/>
      <c r="BI87" s="52"/>
      <c r="BJ87" s="52"/>
      <c r="BK87" s="52"/>
      <c r="BL87" s="52"/>
      <c r="BM87" s="52"/>
      <c r="BN87" s="52"/>
      <c r="BO87" s="52"/>
      <c r="BP87" s="52"/>
      <c r="BQ87" s="52"/>
      <c r="BR87" s="52"/>
      <c r="BS87" s="52"/>
      <c r="BT87" s="52"/>
      <c r="BU87" s="52"/>
      <c r="BV87" s="52"/>
      <c r="BW87" s="52"/>
    </row>
    <row r="88" ht="15" x14ac:dyDescent="0.25" customHeight="1">
      <c r="C88" s="52" t="s">
        <v>409</v>
      </c>
      <c r="D88" s="52"/>
      <c r="E88" s="52"/>
      <c r="F88" s="52"/>
      <c r="G88" s="52"/>
      <c r="H88" s="52"/>
      <c r="I88" s="52"/>
      <c r="J88" s="52"/>
      <c r="K88" s="52"/>
      <c r="L88" s="52"/>
      <c r="M88" s="52"/>
      <c r="N88" s="52"/>
      <c r="O88" s="52"/>
      <c r="P88" s="52"/>
      <c r="Q88" s="52"/>
      <c r="R88" s="52"/>
      <c r="S88" s="52"/>
      <c r="T88" s="52"/>
      <c r="U88" s="52"/>
      <c r="V88" s="52"/>
      <c r="W88" s="52"/>
      <c r="X88" s="52"/>
      <c r="Y88" s="52"/>
      <c r="Z88" s="52"/>
      <c r="AA88" s="52"/>
      <c r="AB88" s="52"/>
      <c r="AC88" s="52"/>
      <c r="AD88" s="52"/>
      <c r="AE88" s="52"/>
      <c r="AF88" s="52"/>
      <c r="AG88" s="52"/>
      <c r="AH88" s="52"/>
      <c r="AI88" s="52"/>
      <c r="AJ88" s="52"/>
      <c r="AK88" s="52"/>
      <c r="AL88" s="52"/>
      <c r="AM88" s="52"/>
      <c r="AN88" s="52"/>
      <c r="AO88" s="52"/>
      <c r="AP88" s="52"/>
      <c r="AQ88" s="52"/>
      <c r="AR88" s="52"/>
      <c r="AS88" s="52"/>
      <c r="AT88" s="52"/>
      <c r="AU88" s="52"/>
      <c r="AV88" s="52"/>
      <c r="AW88" s="52"/>
      <c r="AX88" s="52"/>
      <c r="AY88" s="52"/>
      <c r="AZ88" s="52"/>
      <c r="BA88" s="52"/>
      <c r="BB88" s="52"/>
      <c r="BC88" s="52"/>
      <c r="BD88" s="52"/>
      <c r="BE88" s="52"/>
      <c r="BF88" s="52"/>
      <c r="BG88" s="52"/>
      <c r="BH88" s="52"/>
      <c r="BI88" s="52"/>
      <c r="BJ88" s="52"/>
      <c r="BK88" s="52"/>
      <c r="BL88" s="52"/>
      <c r="BM88" s="52"/>
      <c r="BN88" s="52"/>
      <c r="BO88" s="52"/>
      <c r="BP88" s="52"/>
      <c r="BQ88" s="52"/>
      <c r="BR88" s="52"/>
      <c r="BS88" s="52"/>
      <c r="BT88" s="52"/>
      <c r="BU88" s="52"/>
      <c r="BV88" s="52"/>
      <c r="BW88" s="52"/>
    </row>
    <row r="89" ht="15" x14ac:dyDescent="0.25" customHeight="1">
      <c r="C89" s="52" t="s">
        <v>410</v>
      </c>
      <c r="D89" s="52"/>
      <c r="E89" s="52"/>
      <c r="F89" s="52"/>
      <c r="G89" s="52"/>
      <c r="H89" s="52"/>
      <c r="I89" s="52"/>
      <c r="J89" s="52"/>
      <c r="K89" s="52"/>
      <c r="L89" s="52"/>
      <c r="M89" s="52"/>
      <c r="N89" s="52"/>
      <c r="O89" s="52"/>
      <c r="P89" s="52"/>
      <c r="Q89" s="52"/>
      <c r="R89" s="52"/>
      <c r="S89" s="52"/>
      <c r="T89" s="52"/>
      <c r="U89" s="52"/>
      <c r="V89" s="52"/>
      <c r="W89" s="52"/>
      <c r="X89" s="52"/>
      <c r="Y89" s="52"/>
      <c r="Z89" s="52"/>
      <c r="AA89" s="52"/>
      <c r="AB89" s="52"/>
      <c r="AC89" s="52"/>
      <c r="AD89" s="52"/>
      <c r="AE89" s="52"/>
      <c r="AF89" s="52"/>
      <c r="AG89" s="52"/>
      <c r="AH89" s="52"/>
      <c r="AI89" s="52"/>
      <c r="AJ89" s="52"/>
      <c r="AK89" s="52"/>
      <c r="AL89" s="52"/>
      <c r="AM89" s="52"/>
      <c r="AN89" s="52"/>
      <c r="AO89" s="52"/>
      <c r="AP89" s="52"/>
      <c r="AQ89" s="52"/>
      <c r="AR89" s="52"/>
      <c r="AS89" s="52"/>
      <c r="AT89" s="52"/>
      <c r="AU89" s="52"/>
      <c r="AV89" s="52"/>
      <c r="AW89" s="52"/>
      <c r="AX89" s="52"/>
      <c r="AY89" s="52"/>
      <c r="AZ89" s="52"/>
      <c r="BA89" s="52"/>
      <c r="BB89" s="52"/>
      <c r="BC89" s="52"/>
      <c r="BD89" s="52"/>
      <c r="BE89" s="52"/>
      <c r="BF89" s="52"/>
      <c r="BG89" s="52"/>
      <c r="BH89" s="52"/>
      <c r="BI89" s="52"/>
      <c r="BJ89" s="52"/>
      <c r="BK89" s="52"/>
      <c r="BL89" s="52"/>
      <c r="BM89" s="52"/>
      <c r="BN89" s="52"/>
      <c r="BO89" s="52"/>
      <c r="BP89" s="52"/>
      <c r="BQ89" s="52"/>
      <c r="BR89" s="52"/>
      <c r="BS89" s="52"/>
      <c r="BT89" s="52"/>
      <c r="BU89" s="52"/>
      <c r="BV89" s="52"/>
      <c r="BW89" s="52"/>
    </row>
    <row r="90" ht="15" x14ac:dyDescent="0.25" customHeight="1">
      <c r="C90" s="52" t="s">
        <v>411</v>
      </c>
      <c r="D90" s="52"/>
      <c r="E90" s="52"/>
      <c r="F90" s="52"/>
      <c r="G90" s="52"/>
      <c r="H90" s="52"/>
      <c r="I90" s="52"/>
      <c r="J90" s="52"/>
      <c r="K90" s="52"/>
      <c r="L90" s="52"/>
      <c r="M90" s="52"/>
      <c r="N90" s="52"/>
      <c r="O90" s="52"/>
      <c r="P90" s="52"/>
      <c r="Q90" s="52"/>
      <c r="R90" s="52"/>
      <c r="S90" s="52"/>
      <c r="T90" s="52"/>
      <c r="U90" s="52"/>
      <c r="V90" s="52"/>
      <c r="W90" s="52"/>
      <c r="X90" s="52"/>
      <c r="Y90" s="52"/>
      <c r="Z90" s="52"/>
      <c r="AA90" s="52"/>
      <c r="AB90" s="52"/>
      <c r="AC90" s="52"/>
      <c r="AD90" s="52"/>
      <c r="AE90" s="52"/>
      <c r="AF90" s="52"/>
      <c r="AG90" s="52"/>
      <c r="AH90" s="52"/>
      <c r="AI90" s="52"/>
      <c r="AJ90" s="52"/>
      <c r="AK90" s="52"/>
      <c r="AL90" s="52"/>
      <c r="AM90" s="52"/>
      <c r="AN90" s="52"/>
      <c r="AO90" s="52"/>
      <c r="AP90" s="52"/>
      <c r="AQ90" s="52"/>
      <c r="AR90" s="52"/>
      <c r="AS90" s="52"/>
      <c r="AT90" s="52"/>
      <c r="AU90" s="52"/>
      <c r="AV90" s="52"/>
      <c r="AW90" s="52"/>
      <c r="AX90" s="52"/>
      <c r="AY90" s="52"/>
      <c r="AZ90" s="52"/>
      <c r="BA90" s="52"/>
      <c r="BB90" s="52"/>
      <c r="BC90" s="52"/>
      <c r="BD90" s="52"/>
      <c r="BE90" s="52"/>
      <c r="BF90" s="52"/>
      <c r="BG90" s="52"/>
      <c r="BH90" s="52"/>
      <c r="BI90" s="52"/>
      <c r="BJ90" s="52"/>
      <c r="BK90" s="52"/>
      <c r="BL90" s="52"/>
      <c r="BM90" s="52"/>
      <c r="BN90" s="52"/>
      <c r="BO90" s="52"/>
      <c r="BP90" s="52"/>
      <c r="BQ90" s="52"/>
      <c r="BR90" s="52"/>
      <c r="BS90" s="52"/>
      <c r="BT90" s="52"/>
      <c r="BU90" s="52"/>
      <c r="BV90" s="52"/>
      <c r="BW90" s="52"/>
    </row>
    <row r="92" ht="15" x14ac:dyDescent="0.25" customHeight="1">
      <c r="B92" s="49" t="s">
        <v>412</v>
      </c>
      <c r="C92" s="49"/>
      <c r="D92" s="49"/>
      <c r="E92" s="49"/>
      <c r="F92" s="49"/>
      <c r="G92" s="49"/>
      <c r="H92" s="49"/>
      <c r="I92" s="49"/>
      <c r="J92" s="49"/>
      <c r="K92" s="49"/>
      <c r="L92" s="49"/>
      <c r="M92" s="49"/>
      <c r="N92" s="49"/>
      <c r="O92" s="49"/>
      <c r="P92" s="49"/>
      <c r="Q92" s="49"/>
      <c r="R92" s="49"/>
      <c r="S92" s="49"/>
      <c r="T92" s="49"/>
      <c r="U92" s="49"/>
      <c r="V92" s="49"/>
      <c r="W92" s="49"/>
      <c r="X92" s="49"/>
      <c r="Y92" s="49"/>
      <c r="Z92" s="49"/>
      <c r="AA92" s="49"/>
      <c r="AB92" s="49"/>
      <c r="AC92" s="49"/>
      <c r="AD92" s="49"/>
      <c r="AE92" s="49"/>
      <c r="AF92" s="49"/>
      <c r="AG92" s="49"/>
      <c r="AH92" s="49"/>
      <c r="AI92" s="49"/>
      <c r="AJ92" s="49"/>
      <c r="AK92" s="49"/>
      <c r="AL92" s="49"/>
      <c r="AM92" s="49"/>
      <c r="AN92" s="49"/>
      <c r="AO92" s="49"/>
      <c r="AP92" s="49"/>
      <c r="AQ92" s="49"/>
      <c r="AR92" s="49"/>
      <c r="AS92" s="49"/>
      <c r="AT92" s="49"/>
      <c r="AU92" s="49"/>
      <c r="AV92" s="49"/>
      <c r="AW92" s="49"/>
      <c r="AX92" s="49"/>
      <c r="AY92" s="49"/>
      <c r="AZ92" s="49"/>
      <c r="BA92" s="49"/>
      <c r="BB92" s="49"/>
      <c r="BC92" s="49"/>
      <c r="BD92" s="49"/>
      <c r="BE92" s="49"/>
      <c r="BF92" s="49"/>
      <c r="BG92" s="49"/>
      <c r="BH92" s="49"/>
      <c r="BI92" s="49"/>
      <c r="BJ92" s="49"/>
      <c r="BK92" s="49"/>
      <c r="BL92" s="49"/>
      <c r="BM92" s="49"/>
      <c r="BN92" s="49"/>
      <c r="BO92" s="49"/>
      <c r="BP92" s="49"/>
      <c r="BQ92" s="49"/>
      <c r="BR92" s="49"/>
      <c r="BS92" s="49"/>
      <c r="BT92" s="49"/>
      <c r="BU92" s="49"/>
      <c r="BV92" s="49"/>
      <c r="BW92" s="49"/>
    </row>
    <row r="93" ht="15" x14ac:dyDescent="0.25" customHeight="1">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c r="AH93" s="49"/>
      <c r="AI93" s="49"/>
      <c r="AJ93" s="49"/>
      <c r="AK93" s="49"/>
      <c r="AL93" s="49"/>
      <c r="AM93" s="49"/>
      <c r="AN93" s="49"/>
      <c r="AO93" s="49"/>
      <c r="AP93" s="49"/>
      <c r="AQ93" s="49"/>
      <c r="AR93" s="49"/>
      <c r="AS93" s="49"/>
      <c r="AT93" s="49"/>
      <c r="AU93" s="49"/>
      <c r="AV93" s="49"/>
      <c r="AW93" s="49"/>
      <c r="AX93" s="49"/>
      <c r="AY93" s="49"/>
      <c r="AZ93" s="49"/>
      <c r="BA93" s="49"/>
      <c r="BB93" s="49"/>
      <c r="BC93" s="49"/>
      <c r="BD93" s="49"/>
      <c r="BE93" s="49"/>
      <c r="BF93" s="49"/>
      <c r="BG93" s="49"/>
      <c r="BH93" s="49"/>
      <c r="BI93" s="49"/>
      <c r="BJ93" s="49"/>
      <c r="BK93" s="49"/>
      <c r="BL93" s="49"/>
      <c r="BM93" s="49"/>
      <c r="BN93" s="49"/>
      <c r="BO93" s="49"/>
      <c r="BP93" s="49"/>
      <c r="BQ93" s="49"/>
      <c r="BR93" s="49"/>
      <c r="BS93" s="49"/>
      <c r="BT93" s="49"/>
      <c r="BU93" s="49"/>
      <c r="BV93" s="49"/>
      <c r="BW93" s="49"/>
    </row>
    <row r="95" ht="15" x14ac:dyDescent="0.25" customHeight="1">
      <c r="C95" s="26" t="s">
        <v>413</v>
      </c>
      <c r="D95" s="26"/>
      <c r="E95" s="26"/>
      <c r="F95" s="26"/>
      <c r="G95" s="26"/>
      <c r="H95" s="26"/>
      <c r="I95" s="26"/>
      <c r="J95" s="26"/>
      <c r="K95" s="26"/>
      <c r="L95" s="26"/>
      <c r="M95" s="26" t="s">
        <v>414</v>
      </c>
      <c r="N95" s="26"/>
      <c r="O95" s="26"/>
      <c r="P95" s="26"/>
      <c r="Q95" s="26"/>
      <c r="R95" s="26"/>
      <c r="S95" s="26"/>
      <c r="T95" s="26"/>
      <c r="U95" s="26"/>
      <c r="V95" s="26"/>
      <c r="W95" s="26" t="s">
        <v>415</v>
      </c>
      <c r="X95" s="26"/>
      <c r="Y95" s="26"/>
      <c r="Z95" s="26"/>
      <c r="AA95" s="26"/>
      <c r="AB95" s="26"/>
      <c r="AC95" s="26"/>
      <c r="AD95" s="26"/>
      <c r="AE95" s="26"/>
      <c r="AF95" s="26"/>
      <c r="AG95" s="26"/>
      <c r="AH95" s="26"/>
      <c r="AI95" s="26"/>
      <c r="AJ95" s="26"/>
      <c r="AK95" s="26"/>
      <c r="AL95" s="26"/>
      <c r="AM95" s="26"/>
      <c r="AN95" s="26"/>
      <c r="AO95" s="26"/>
      <c r="AP95" s="26"/>
      <c r="AQ95" s="26"/>
      <c r="AR95" s="26"/>
      <c r="AS95" s="26"/>
      <c r="AT95" s="26"/>
      <c r="AU95" s="26"/>
      <c r="AV95" s="26"/>
      <c r="AW95" s="26"/>
      <c r="AX95" s="26"/>
      <c r="AY95" s="26"/>
      <c r="AZ95" s="26"/>
      <c r="BA95" s="26"/>
      <c r="BB95" s="26"/>
      <c r="BC95" s="26"/>
      <c r="BD95" s="26"/>
      <c r="BE95" s="26"/>
      <c r="BF95" s="26"/>
      <c r="BG95" s="26"/>
      <c r="BH95" s="26"/>
      <c r="BI95" s="26"/>
      <c r="BJ95" s="26"/>
      <c r="BK95" s="26"/>
      <c r="BL95" s="26"/>
      <c r="BM95" s="26"/>
      <c r="BN95" s="26"/>
      <c r="BO95" s="26"/>
      <c r="BP95" s="26"/>
      <c r="BQ95" s="26"/>
      <c r="BR95" s="26"/>
      <c r="BS95" s="26"/>
      <c r="BT95" s="26"/>
      <c r="BU95" s="26"/>
      <c r="BV95" s="26"/>
      <c r="BW95" s="26"/>
    </row>
    <row r="96" ht="15" x14ac:dyDescent="0.25" customHeight="1">
      <c r="C96" s="50"/>
      <c r="D96" s="50"/>
      <c r="E96" s="50"/>
      <c r="F96" s="50"/>
      <c r="G96" s="50"/>
      <c r="H96" s="50"/>
      <c r="I96" s="50"/>
      <c r="J96" s="50"/>
      <c r="K96" s="50"/>
      <c r="L96" s="50"/>
      <c r="M96" s="51" t="s">
        <v>416</v>
      </c>
      <c r="N96" s="51"/>
      <c r="O96" s="51"/>
      <c r="P96" s="51"/>
      <c r="Q96" s="51"/>
      <c r="R96" s="51"/>
      <c r="S96" s="51"/>
      <c r="T96" s="51"/>
      <c r="U96" s="51"/>
      <c r="V96" s="51"/>
      <c r="W96" s="51" t="s">
        <v>417</v>
      </c>
      <c r="X96" s="51"/>
      <c r="Y96" s="51"/>
      <c r="Z96" s="51"/>
      <c r="AA96" s="51"/>
      <c r="AB96" s="51"/>
      <c r="AC96" s="51"/>
      <c r="AD96" s="51"/>
      <c r="AE96" s="51"/>
      <c r="AF96" s="51"/>
      <c r="AG96" s="51"/>
      <c r="AH96" s="51"/>
      <c r="AI96" s="51"/>
      <c r="AJ96" s="51"/>
      <c r="AK96" s="51"/>
      <c r="AL96" s="51"/>
      <c r="AM96" s="51"/>
      <c r="AN96" s="51"/>
      <c r="AO96" s="51"/>
      <c r="AP96" s="51"/>
      <c r="AQ96" s="51"/>
      <c r="AR96" s="51"/>
      <c r="AS96" s="51"/>
      <c r="AT96" s="51"/>
      <c r="AU96" s="51"/>
      <c r="AV96" s="51"/>
      <c r="AW96" s="51"/>
      <c r="AX96" s="51"/>
      <c r="AY96" s="51"/>
      <c r="AZ96" s="51"/>
      <c r="BA96" s="51"/>
      <c r="BB96" s="51"/>
      <c r="BC96" s="51"/>
      <c r="BD96" s="51"/>
      <c r="BE96" s="51"/>
      <c r="BF96" s="51"/>
      <c r="BG96" s="51"/>
      <c r="BH96" s="51"/>
      <c r="BI96" s="51"/>
      <c r="BJ96" s="51"/>
      <c r="BK96" s="51"/>
      <c r="BL96" s="51"/>
      <c r="BM96" s="51"/>
      <c r="BN96" s="51"/>
      <c r="BO96" s="51"/>
      <c r="BP96" s="51"/>
      <c r="BQ96" s="51"/>
      <c r="BR96" s="51"/>
      <c r="BS96" s="51"/>
      <c r="BT96" s="51"/>
      <c r="BU96" s="51"/>
      <c r="BV96" s="51"/>
      <c r="BW96" s="51"/>
    </row>
    <row r="97" ht="15" x14ac:dyDescent="0.25" customHeight="1">
      <c r="C97" s="50"/>
      <c r="D97" s="50"/>
      <c r="E97" s="50"/>
      <c r="F97" s="50"/>
      <c r="G97" s="50"/>
      <c r="H97" s="50"/>
      <c r="I97" s="50"/>
      <c r="J97" s="50"/>
      <c r="K97" s="50"/>
      <c r="L97" s="50"/>
      <c r="M97" s="51" t="s">
        <v>418</v>
      </c>
      <c r="N97" s="51"/>
      <c r="O97" s="51"/>
      <c r="P97" s="51"/>
      <c r="Q97" s="51"/>
      <c r="R97" s="51"/>
      <c r="S97" s="51"/>
      <c r="T97" s="51"/>
      <c r="U97" s="51"/>
      <c r="V97" s="51"/>
      <c r="W97" s="51" t="s">
        <v>419</v>
      </c>
      <c r="X97" s="51"/>
      <c r="Y97" s="51"/>
      <c r="Z97" s="51"/>
      <c r="AA97" s="51"/>
      <c r="AB97" s="51"/>
      <c r="AC97" s="51"/>
      <c r="AD97" s="51"/>
      <c r="AE97" s="51"/>
      <c r="AF97" s="51"/>
      <c r="AG97" s="51"/>
      <c r="AH97" s="51"/>
      <c r="AI97" s="51"/>
      <c r="AJ97" s="51"/>
      <c r="AK97" s="51"/>
      <c r="AL97" s="51"/>
      <c r="AM97" s="51"/>
      <c r="AN97" s="51"/>
      <c r="AO97" s="51"/>
      <c r="AP97" s="51"/>
      <c r="AQ97" s="51"/>
      <c r="AR97" s="51"/>
      <c r="AS97" s="51"/>
      <c r="AT97" s="51"/>
      <c r="AU97" s="51"/>
      <c r="AV97" s="51"/>
      <c r="AW97" s="51"/>
      <c r="AX97" s="51"/>
      <c r="AY97" s="51"/>
      <c r="AZ97" s="51"/>
      <c r="BA97" s="51"/>
      <c r="BB97" s="51"/>
      <c r="BC97" s="51"/>
      <c r="BD97" s="51"/>
      <c r="BE97" s="51"/>
      <c r="BF97" s="51"/>
      <c r="BG97" s="51"/>
      <c r="BH97" s="51"/>
      <c r="BI97" s="51"/>
      <c r="BJ97" s="51"/>
      <c r="BK97" s="51"/>
      <c r="BL97" s="51"/>
      <c r="BM97" s="51"/>
      <c r="BN97" s="51"/>
      <c r="BO97" s="51"/>
      <c r="BP97" s="51"/>
      <c r="BQ97" s="51"/>
      <c r="BR97" s="51"/>
      <c r="BS97" s="51"/>
      <c r="BT97" s="51"/>
      <c r="BU97" s="51"/>
      <c r="BV97" s="51"/>
      <c r="BW97" s="51"/>
    </row>
    <row r="98" ht="15" x14ac:dyDescent="0.25" customHeight="1">
      <c r="C98" s="50"/>
      <c r="D98" s="50"/>
      <c r="E98" s="50"/>
      <c r="F98" s="50"/>
      <c r="G98" s="50"/>
      <c r="H98" s="50"/>
      <c r="I98" s="50"/>
      <c r="J98" s="50"/>
      <c r="K98" s="50"/>
      <c r="L98" s="50"/>
      <c r="M98" s="51" t="s">
        <v>420</v>
      </c>
      <c r="N98" s="51"/>
      <c r="O98" s="51"/>
      <c r="P98" s="51"/>
      <c r="Q98" s="51"/>
      <c r="R98" s="51"/>
      <c r="S98" s="51"/>
      <c r="T98" s="51"/>
      <c r="U98" s="51"/>
      <c r="V98" s="51"/>
      <c r="W98" s="51" t="s">
        <v>421</v>
      </c>
      <c r="X98" s="51"/>
      <c r="Y98" s="51"/>
      <c r="Z98" s="51"/>
      <c r="AA98" s="51"/>
      <c r="AB98" s="51"/>
      <c r="AC98" s="51"/>
      <c r="AD98" s="51"/>
      <c r="AE98" s="51"/>
      <c r="AF98" s="51"/>
      <c r="AG98" s="51"/>
      <c r="AH98" s="51"/>
      <c r="AI98" s="51"/>
      <c r="AJ98" s="51"/>
      <c r="AK98" s="51"/>
      <c r="AL98" s="51"/>
      <c r="AM98" s="51"/>
      <c r="AN98" s="51"/>
      <c r="AO98" s="51"/>
      <c r="AP98" s="51"/>
      <c r="AQ98" s="51"/>
      <c r="AR98" s="51"/>
      <c r="AS98" s="51"/>
      <c r="AT98" s="51"/>
      <c r="AU98" s="51"/>
      <c r="AV98" s="51"/>
      <c r="AW98" s="51"/>
      <c r="AX98" s="51"/>
      <c r="AY98" s="51"/>
      <c r="AZ98" s="51"/>
      <c r="BA98" s="51"/>
      <c r="BB98" s="51"/>
      <c r="BC98" s="51"/>
      <c r="BD98" s="51"/>
      <c r="BE98" s="51"/>
      <c r="BF98" s="51"/>
      <c r="BG98" s="51"/>
      <c r="BH98" s="51"/>
      <c r="BI98" s="51"/>
      <c r="BJ98" s="51"/>
      <c r="BK98" s="51"/>
      <c r="BL98" s="51"/>
      <c r="BM98" s="51"/>
      <c r="BN98" s="51"/>
      <c r="BO98" s="51"/>
      <c r="BP98" s="51"/>
      <c r="BQ98" s="51"/>
      <c r="BR98" s="51"/>
      <c r="BS98" s="51"/>
      <c r="BT98" s="51"/>
      <c r="BU98" s="51"/>
      <c r="BV98" s="51"/>
      <c r="BW98" s="51"/>
    </row>
    <row r="99" ht="15" x14ac:dyDescent="0.25" customHeight="1">
      <c r="C99" s="50"/>
      <c r="D99" s="50"/>
      <c r="E99" s="50"/>
      <c r="F99" s="50"/>
      <c r="G99" s="50"/>
      <c r="H99" s="50"/>
      <c r="I99" s="50"/>
      <c r="J99" s="50"/>
      <c r="K99" s="50"/>
      <c r="L99" s="50"/>
      <c r="M99" s="51" t="s">
        <v>422</v>
      </c>
      <c r="N99" s="51"/>
      <c r="O99" s="51"/>
      <c r="P99" s="51"/>
      <c r="Q99" s="51"/>
      <c r="R99" s="51"/>
      <c r="S99" s="51"/>
      <c r="T99" s="51"/>
      <c r="U99" s="51"/>
      <c r="V99" s="51"/>
      <c r="W99" s="51" t="s">
        <v>423</v>
      </c>
      <c r="X99" s="51"/>
      <c r="Y99" s="51"/>
      <c r="Z99" s="51"/>
      <c r="AA99" s="51"/>
      <c r="AB99" s="51"/>
      <c r="AC99" s="51"/>
      <c r="AD99" s="51"/>
      <c r="AE99" s="51"/>
      <c r="AF99" s="51"/>
      <c r="AG99" s="51"/>
      <c r="AH99" s="51"/>
      <c r="AI99" s="51"/>
      <c r="AJ99" s="51"/>
      <c r="AK99" s="51"/>
      <c r="AL99" s="51"/>
      <c r="AM99" s="51"/>
      <c r="AN99" s="51"/>
      <c r="AO99" s="51"/>
      <c r="AP99" s="51"/>
      <c r="AQ99" s="51"/>
      <c r="AR99" s="51"/>
      <c r="AS99" s="51"/>
      <c r="AT99" s="51"/>
      <c r="AU99" s="51"/>
      <c r="AV99" s="51"/>
      <c r="AW99" s="51"/>
      <c r="AX99" s="51"/>
      <c r="AY99" s="51"/>
      <c r="AZ99" s="51"/>
      <c r="BA99" s="51"/>
      <c r="BB99" s="51"/>
      <c r="BC99" s="51"/>
      <c r="BD99" s="51"/>
      <c r="BE99" s="51"/>
      <c r="BF99" s="51"/>
      <c r="BG99" s="51"/>
      <c r="BH99" s="51"/>
      <c r="BI99" s="51"/>
      <c r="BJ99" s="51"/>
      <c r="BK99" s="51"/>
      <c r="BL99" s="51"/>
      <c r="BM99" s="51"/>
      <c r="BN99" s="51"/>
      <c r="BO99" s="51"/>
      <c r="BP99" s="51"/>
      <c r="BQ99" s="51"/>
      <c r="BR99" s="51"/>
      <c r="BS99" s="51"/>
      <c r="BT99" s="51"/>
      <c r="BU99" s="51"/>
      <c r="BV99" s="51"/>
      <c r="BW99" s="51"/>
    </row>
    <row r="100" ht="15" x14ac:dyDescent="0.25" customHeight="1">
      <c r="C100" s="50"/>
      <c r="D100" s="50"/>
      <c r="E100" s="50"/>
      <c r="F100" s="50"/>
      <c r="G100" s="50"/>
      <c r="H100" s="50"/>
      <c r="I100" s="50"/>
      <c r="J100" s="50"/>
      <c r="K100" s="50"/>
      <c r="L100" s="50"/>
      <c r="M100" s="51" t="s">
        <v>424</v>
      </c>
      <c r="N100" s="51"/>
      <c r="O100" s="51"/>
      <c r="P100" s="51"/>
      <c r="Q100" s="51"/>
      <c r="R100" s="51"/>
      <c r="S100" s="51"/>
      <c r="T100" s="51"/>
      <c r="U100" s="51"/>
      <c r="V100" s="51"/>
      <c r="W100" s="51" t="s">
        <v>425</v>
      </c>
      <c r="X100" s="51"/>
      <c r="Y100" s="51"/>
      <c r="Z100" s="51"/>
      <c r="AA100" s="51"/>
      <c r="AB100" s="51"/>
      <c r="AC100" s="51"/>
      <c r="AD100" s="51"/>
      <c r="AE100" s="51"/>
      <c r="AF100" s="51"/>
      <c r="AG100" s="51"/>
      <c r="AH100" s="51"/>
      <c r="AI100" s="51"/>
      <c r="AJ100" s="51"/>
      <c r="AK100" s="51"/>
      <c r="AL100" s="51"/>
      <c r="AM100" s="51"/>
      <c r="AN100" s="51"/>
      <c r="AO100" s="51"/>
      <c r="AP100" s="51"/>
      <c r="AQ100" s="51"/>
      <c r="AR100" s="51"/>
      <c r="AS100" s="51"/>
      <c r="AT100" s="51"/>
      <c r="AU100" s="51"/>
      <c r="AV100" s="51"/>
      <c r="AW100" s="51"/>
      <c r="AX100" s="51"/>
      <c r="AY100" s="51"/>
      <c r="AZ100" s="51"/>
      <c r="BA100" s="51"/>
      <c r="BB100" s="51"/>
      <c r="BC100" s="51"/>
      <c r="BD100" s="51"/>
      <c r="BE100" s="51"/>
      <c r="BF100" s="51"/>
      <c r="BG100" s="51"/>
      <c r="BH100" s="51"/>
      <c r="BI100" s="51"/>
      <c r="BJ100" s="51"/>
      <c r="BK100" s="51"/>
      <c r="BL100" s="51"/>
      <c r="BM100" s="51"/>
      <c r="BN100" s="51"/>
      <c r="BO100" s="51"/>
      <c r="BP100" s="51"/>
      <c r="BQ100" s="51"/>
      <c r="BR100" s="51"/>
      <c r="BS100" s="51"/>
      <c r="BT100" s="51"/>
      <c r="BU100" s="51"/>
      <c r="BV100" s="51"/>
      <c r="BW100" s="51"/>
    </row>
    <row r="101" ht="15" x14ac:dyDescent="0.25" customHeight="1">
      <c r="C101" s="50"/>
      <c r="D101" s="50"/>
      <c r="E101" s="50"/>
      <c r="F101" s="50"/>
      <c r="G101" s="50"/>
      <c r="H101" s="50"/>
      <c r="I101" s="50"/>
      <c r="J101" s="50"/>
      <c r="K101" s="50"/>
      <c r="L101" s="50"/>
      <c r="M101" s="51" t="s">
        <v>426</v>
      </c>
      <c r="N101" s="51"/>
      <c r="O101" s="51"/>
      <c r="P101" s="51"/>
      <c r="Q101" s="51"/>
      <c r="R101" s="51"/>
      <c r="S101" s="51"/>
      <c r="T101" s="51"/>
      <c r="U101" s="51"/>
      <c r="V101" s="51"/>
      <c r="W101" s="51" t="s">
        <v>427</v>
      </c>
      <c r="X101" s="51"/>
      <c r="Y101" s="51"/>
      <c r="Z101" s="51"/>
      <c r="AA101" s="51"/>
      <c r="AB101" s="51"/>
      <c r="AC101" s="51"/>
      <c r="AD101" s="51"/>
      <c r="AE101" s="51"/>
      <c r="AF101" s="51"/>
      <c r="AG101" s="51"/>
      <c r="AH101" s="51"/>
      <c r="AI101" s="51"/>
      <c r="AJ101" s="51"/>
      <c r="AK101" s="51"/>
      <c r="AL101" s="51"/>
      <c r="AM101" s="51"/>
      <c r="AN101" s="51"/>
      <c r="AO101" s="51"/>
      <c r="AP101" s="51"/>
      <c r="AQ101" s="51"/>
      <c r="AR101" s="51"/>
      <c r="AS101" s="51"/>
      <c r="AT101" s="51"/>
      <c r="AU101" s="51"/>
      <c r="AV101" s="51"/>
      <c r="AW101" s="51"/>
      <c r="AX101" s="51"/>
      <c r="AY101" s="51"/>
      <c r="AZ101" s="51"/>
      <c r="BA101" s="51"/>
      <c r="BB101" s="51"/>
      <c r="BC101" s="51"/>
      <c r="BD101" s="51"/>
      <c r="BE101" s="51"/>
      <c r="BF101" s="51"/>
      <c r="BG101" s="51"/>
      <c r="BH101" s="51"/>
      <c r="BI101" s="51"/>
      <c r="BJ101" s="51"/>
      <c r="BK101" s="51"/>
      <c r="BL101" s="51"/>
      <c r="BM101" s="51"/>
      <c r="BN101" s="51"/>
      <c r="BO101" s="51"/>
      <c r="BP101" s="51"/>
      <c r="BQ101" s="51"/>
      <c r="BR101" s="51"/>
      <c r="BS101" s="51"/>
      <c r="BT101" s="51"/>
      <c r="BU101" s="51"/>
      <c r="BV101" s="51"/>
      <c r="BW101" s="51"/>
    </row>
    <row r="102" ht="15" x14ac:dyDescent="0.25" customHeight="1">
      <c r="C102" s="50"/>
      <c r="D102" s="50"/>
      <c r="E102" s="50"/>
      <c r="F102" s="50"/>
      <c r="G102" s="50"/>
      <c r="H102" s="50"/>
      <c r="I102" s="50"/>
      <c r="J102" s="50"/>
      <c r="K102" s="50"/>
      <c r="L102" s="50"/>
      <c r="M102" s="51" t="s">
        <v>428</v>
      </c>
      <c r="N102" s="51"/>
      <c r="O102" s="51"/>
      <c r="P102" s="51"/>
      <c r="Q102" s="51"/>
      <c r="R102" s="51"/>
      <c r="S102" s="51"/>
      <c r="T102" s="51"/>
      <c r="U102" s="51"/>
      <c r="V102" s="51"/>
      <c r="W102" s="51" t="s">
        <v>143</v>
      </c>
      <c r="X102" s="51"/>
      <c r="Y102" s="51"/>
      <c r="Z102" s="51"/>
      <c r="AA102" s="51"/>
      <c r="AB102" s="51"/>
      <c r="AC102" s="51"/>
      <c r="AD102" s="51"/>
      <c r="AE102" s="51"/>
      <c r="AF102" s="51"/>
      <c r="AG102" s="51"/>
      <c r="AH102" s="51"/>
      <c r="AI102" s="51"/>
      <c r="AJ102" s="51"/>
      <c r="AK102" s="51"/>
      <c r="AL102" s="51"/>
      <c r="AM102" s="51"/>
      <c r="AN102" s="51"/>
      <c r="AO102" s="51"/>
      <c r="AP102" s="51"/>
      <c r="AQ102" s="51"/>
      <c r="AR102" s="51"/>
      <c r="AS102" s="51"/>
      <c r="AT102" s="51"/>
      <c r="AU102" s="51"/>
      <c r="AV102" s="51"/>
      <c r="AW102" s="51"/>
      <c r="AX102" s="51"/>
      <c r="AY102" s="51"/>
      <c r="AZ102" s="51"/>
      <c r="BA102" s="51"/>
      <c r="BB102" s="51"/>
      <c r="BC102" s="51"/>
      <c r="BD102" s="51"/>
      <c r="BE102" s="51"/>
      <c r="BF102" s="51"/>
      <c r="BG102" s="51"/>
      <c r="BH102" s="51"/>
      <c r="BI102" s="51"/>
      <c r="BJ102" s="51"/>
      <c r="BK102" s="51"/>
      <c r="BL102" s="51"/>
      <c r="BM102" s="51"/>
      <c r="BN102" s="51"/>
      <c r="BO102" s="51"/>
      <c r="BP102" s="51"/>
      <c r="BQ102" s="51"/>
      <c r="BR102" s="51"/>
      <c r="BS102" s="51"/>
      <c r="BT102" s="51"/>
      <c r="BU102" s="51"/>
      <c r="BV102" s="51"/>
      <c r="BW102" s="51"/>
    </row>
    <row r="103" ht="15" x14ac:dyDescent="0.25" customHeight="1">
      <c r="C103" s="50"/>
      <c r="D103" s="50"/>
      <c r="E103" s="50"/>
      <c r="F103" s="50"/>
      <c r="G103" s="50"/>
      <c r="H103" s="50"/>
      <c r="I103" s="50"/>
      <c r="J103" s="50"/>
      <c r="K103" s="50"/>
      <c r="L103" s="50"/>
      <c r="M103" s="51" t="s">
        <v>148</v>
      </c>
      <c r="N103" s="51"/>
      <c r="O103" s="51"/>
      <c r="P103" s="51"/>
      <c r="Q103" s="51"/>
      <c r="R103" s="51"/>
      <c r="S103" s="51"/>
      <c r="T103" s="51"/>
      <c r="U103" s="51"/>
      <c r="V103" s="51"/>
      <c r="W103" s="51" t="s">
        <v>429</v>
      </c>
      <c r="X103" s="51"/>
      <c r="Y103" s="51"/>
      <c r="Z103" s="51"/>
      <c r="AA103" s="51"/>
      <c r="AB103" s="51"/>
      <c r="AC103" s="51"/>
      <c r="AD103" s="51"/>
      <c r="AE103" s="51"/>
      <c r="AF103" s="51"/>
      <c r="AG103" s="51"/>
      <c r="AH103" s="51"/>
      <c r="AI103" s="51"/>
      <c r="AJ103" s="51"/>
      <c r="AK103" s="51"/>
      <c r="AL103" s="51"/>
      <c r="AM103" s="51"/>
      <c r="AN103" s="51"/>
      <c r="AO103" s="51"/>
      <c r="AP103" s="51"/>
      <c r="AQ103" s="51"/>
      <c r="AR103" s="51"/>
      <c r="AS103" s="51"/>
      <c r="AT103" s="51"/>
      <c r="AU103" s="51"/>
      <c r="AV103" s="51"/>
      <c r="AW103" s="51"/>
      <c r="AX103" s="51"/>
      <c r="AY103" s="51"/>
      <c r="AZ103" s="51"/>
      <c r="BA103" s="51"/>
      <c r="BB103" s="51"/>
      <c r="BC103" s="51"/>
      <c r="BD103" s="51"/>
      <c r="BE103" s="51"/>
      <c r="BF103" s="51"/>
      <c r="BG103" s="51"/>
      <c r="BH103" s="51"/>
      <c r="BI103" s="51"/>
      <c r="BJ103" s="51"/>
      <c r="BK103" s="51"/>
      <c r="BL103" s="51"/>
      <c r="BM103" s="51"/>
      <c r="BN103" s="51"/>
      <c r="BO103" s="51"/>
      <c r="BP103" s="51"/>
      <c r="BQ103" s="51"/>
      <c r="BR103" s="51"/>
      <c r="BS103" s="51"/>
      <c r="BT103" s="51"/>
      <c r="BU103" s="51"/>
      <c r="BV103" s="51"/>
      <c r="BW103" s="51"/>
    </row>
    <row r="105" ht="15" x14ac:dyDescent="0.25" customHeight="1">
      <c r="C105" s="26" t="s">
        <v>392</v>
      </c>
      <c r="D105" s="26"/>
      <c r="E105" s="26"/>
      <c r="F105" s="26"/>
      <c r="G105" s="26"/>
      <c r="H105" s="26"/>
      <c r="I105" s="26"/>
      <c r="J105" s="26"/>
      <c r="K105" s="26"/>
      <c r="L105" s="26"/>
      <c r="M105" s="26"/>
      <c r="N105" s="26"/>
      <c r="O105" s="26"/>
      <c r="P105" s="26"/>
      <c r="Q105" s="26"/>
      <c r="R105" s="26"/>
      <c r="S105" s="26" t="s">
        <v>430</v>
      </c>
      <c r="T105" s="26"/>
      <c r="U105" s="26"/>
      <c r="V105" s="26"/>
      <c r="W105" s="26"/>
      <c r="X105" s="26"/>
      <c r="Y105" s="26"/>
      <c r="Z105" s="26"/>
      <c r="AA105" s="26"/>
      <c r="AB105" s="26"/>
      <c r="AC105" s="26"/>
      <c r="AD105" s="26"/>
      <c r="AE105" s="26"/>
      <c r="AF105" s="26"/>
      <c r="AG105" s="26"/>
      <c r="AH105" s="26"/>
      <c r="AI105" s="26"/>
      <c r="AJ105" s="26"/>
      <c r="AK105" s="26"/>
      <c r="AL105" s="26"/>
      <c r="AM105" s="26"/>
      <c r="AN105" s="26"/>
      <c r="AO105" s="26"/>
      <c r="AP105" s="26"/>
      <c r="AQ105" s="26"/>
      <c r="AR105" s="26"/>
      <c r="AS105" s="26"/>
      <c r="AT105" s="26"/>
      <c r="AU105" s="26"/>
      <c r="AV105" s="26"/>
      <c r="AW105" s="26"/>
      <c r="AX105" s="26"/>
      <c r="AY105" s="26"/>
      <c r="AZ105" s="26"/>
      <c r="BA105" s="26"/>
      <c r="BB105" s="26"/>
      <c r="BC105" s="26"/>
      <c r="BD105" s="26"/>
      <c r="BE105" s="26"/>
      <c r="BF105" s="26"/>
      <c r="BG105" s="26"/>
      <c r="BH105" s="26"/>
      <c r="BI105" s="26"/>
      <c r="BJ105" s="26"/>
      <c r="BK105" s="26"/>
      <c r="BL105" s="26"/>
      <c r="BM105" s="26"/>
      <c r="BN105" s="26"/>
      <c r="BO105" s="26"/>
      <c r="BP105" s="26"/>
      <c r="BQ105" s="26"/>
      <c r="BR105" s="26"/>
      <c r="BS105" s="26"/>
      <c r="BT105" s="26"/>
      <c r="BU105" s="26"/>
      <c r="BV105" s="26"/>
      <c r="BW105" s="26"/>
    </row>
    <row r="106" ht="15" x14ac:dyDescent="0.25" customHeight="1">
      <c r="C106" s="50" t="s">
        <v>155</v>
      </c>
      <c r="D106" s="50"/>
      <c r="E106" s="50"/>
      <c r="F106" s="50"/>
      <c r="G106" s="50"/>
      <c r="H106" s="50"/>
      <c r="I106" s="50"/>
      <c r="J106" s="50"/>
      <c r="K106" s="50"/>
      <c r="L106" s="50"/>
      <c r="M106" s="50"/>
      <c r="N106" s="50"/>
      <c r="O106" s="50"/>
      <c r="P106" s="50"/>
      <c r="Q106" s="50"/>
      <c r="R106" s="50"/>
      <c r="S106" s="51" t="s">
        <v>431</v>
      </c>
      <c r="T106" s="51"/>
      <c r="U106" s="51"/>
      <c r="V106" s="51"/>
      <c r="W106" s="51"/>
      <c r="X106" s="51"/>
      <c r="Y106" s="51"/>
      <c r="Z106" s="51"/>
      <c r="AA106" s="51"/>
      <c r="AB106" s="51"/>
      <c r="AC106" s="51"/>
      <c r="AD106" s="51"/>
      <c r="AE106" s="51"/>
      <c r="AF106" s="51"/>
      <c r="AG106" s="51"/>
      <c r="AH106" s="51"/>
      <c r="AI106" s="51"/>
      <c r="AJ106" s="51"/>
      <c r="AK106" s="51"/>
      <c r="AL106" s="51"/>
      <c r="AM106" s="51"/>
      <c r="AN106" s="51"/>
      <c r="AO106" s="51"/>
      <c r="AP106" s="51"/>
      <c r="AQ106" s="51"/>
      <c r="AR106" s="51"/>
      <c r="AS106" s="51"/>
      <c r="AT106" s="51"/>
      <c r="AU106" s="51"/>
      <c r="AV106" s="51"/>
      <c r="AW106" s="51"/>
      <c r="AX106" s="51"/>
      <c r="AY106" s="51"/>
      <c r="AZ106" s="51"/>
      <c r="BA106" s="51"/>
      <c r="BB106" s="51"/>
      <c r="BC106" s="51"/>
      <c r="BD106" s="51"/>
      <c r="BE106" s="51"/>
      <c r="BF106" s="51"/>
      <c r="BG106" s="51"/>
      <c r="BH106" s="51"/>
      <c r="BI106" s="51"/>
      <c r="BJ106" s="51"/>
      <c r="BK106" s="51"/>
      <c r="BL106" s="51"/>
      <c r="BM106" s="51"/>
      <c r="BN106" s="51"/>
      <c r="BO106" s="51"/>
      <c r="BP106" s="51"/>
      <c r="BQ106" s="51"/>
      <c r="BR106" s="51"/>
      <c r="BS106" s="51"/>
      <c r="BT106" s="51"/>
      <c r="BU106" s="51"/>
      <c r="BV106" s="51"/>
      <c r="BW106" s="51"/>
    </row>
    <row r="107" ht="15" x14ac:dyDescent="0.25" customHeight="1">
      <c r="C107" s="50" t="s">
        <v>158</v>
      </c>
      <c r="D107" s="50"/>
      <c r="E107" s="50"/>
      <c r="F107" s="50"/>
      <c r="G107" s="50"/>
      <c r="H107" s="50"/>
      <c r="I107" s="50"/>
      <c r="J107" s="50"/>
      <c r="K107" s="50"/>
      <c r="L107" s="50"/>
      <c r="M107" s="50"/>
      <c r="N107" s="50"/>
      <c r="O107" s="50"/>
      <c r="P107" s="50"/>
      <c r="Q107" s="50"/>
      <c r="R107" s="50"/>
      <c r="S107" s="51" t="s">
        <v>432</v>
      </c>
      <c r="T107" s="51"/>
      <c r="U107" s="51"/>
      <c r="V107" s="51"/>
      <c r="W107" s="51"/>
      <c r="X107" s="51"/>
      <c r="Y107" s="51"/>
      <c r="Z107" s="51"/>
      <c r="AA107" s="51"/>
      <c r="AB107" s="51"/>
      <c r="AC107" s="51"/>
      <c r="AD107" s="51"/>
      <c r="AE107" s="51"/>
      <c r="AF107" s="51"/>
      <c r="AG107" s="51"/>
      <c r="AH107" s="51"/>
      <c r="AI107" s="51"/>
      <c r="AJ107" s="51"/>
      <c r="AK107" s="51"/>
      <c r="AL107" s="51"/>
      <c r="AM107" s="51"/>
      <c r="AN107" s="51"/>
      <c r="AO107" s="51"/>
      <c r="AP107" s="51"/>
      <c r="AQ107" s="51"/>
      <c r="AR107" s="51"/>
      <c r="AS107" s="51"/>
      <c r="AT107" s="51"/>
      <c r="AU107" s="51"/>
      <c r="AV107" s="51"/>
      <c r="AW107" s="51"/>
      <c r="AX107" s="51"/>
      <c r="AY107" s="51"/>
      <c r="AZ107" s="51"/>
      <c r="BA107" s="51"/>
      <c r="BB107" s="51"/>
      <c r="BC107" s="51"/>
      <c r="BD107" s="51"/>
      <c r="BE107" s="51"/>
      <c r="BF107" s="51"/>
      <c r="BG107" s="51"/>
      <c r="BH107" s="51"/>
      <c r="BI107" s="51"/>
      <c r="BJ107" s="51"/>
      <c r="BK107" s="51"/>
      <c r="BL107" s="51"/>
      <c r="BM107" s="51"/>
      <c r="BN107" s="51"/>
      <c r="BO107" s="51"/>
      <c r="BP107" s="51"/>
      <c r="BQ107" s="51"/>
      <c r="BR107" s="51"/>
      <c r="BS107" s="51"/>
      <c r="BT107" s="51"/>
      <c r="BU107" s="51"/>
      <c r="BV107" s="51"/>
      <c r="BW107" s="51"/>
    </row>
    <row r="108" ht="15" x14ac:dyDescent="0.25" customHeight="1">
      <c r="C108" s="50" t="s">
        <v>161</v>
      </c>
      <c r="D108" s="50"/>
      <c r="E108" s="50"/>
      <c r="F108" s="50"/>
      <c r="G108" s="50"/>
      <c r="H108" s="50"/>
      <c r="I108" s="50"/>
      <c r="J108" s="50"/>
      <c r="K108" s="50"/>
      <c r="L108" s="50"/>
      <c r="M108" s="50"/>
      <c r="N108" s="50"/>
      <c r="O108" s="50"/>
      <c r="P108" s="50"/>
      <c r="Q108" s="50"/>
      <c r="R108" s="50"/>
      <c r="S108" s="51" t="s">
        <v>433</v>
      </c>
      <c r="T108" s="51"/>
      <c r="U108" s="51"/>
      <c r="V108" s="51"/>
      <c r="W108" s="51"/>
      <c r="X108" s="51"/>
      <c r="Y108" s="51"/>
      <c r="Z108" s="51"/>
      <c r="AA108" s="51"/>
      <c r="AB108" s="51"/>
      <c r="AC108" s="51"/>
      <c r="AD108" s="51"/>
      <c r="AE108" s="51"/>
      <c r="AF108" s="51"/>
      <c r="AG108" s="51"/>
      <c r="AH108" s="51"/>
      <c r="AI108" s="51"/>
      <c r="AJ108" s="51"/>
      <c r="AK108" s="51"/>
      <c r="AL108" s="51"/>
      <c r="AM108" s="51"/>
      <c r="AN108" s="51"/>
      <c r="AO108" s="51"/>
      <c r="AP108" s="51"/>
      <c r="AQ108" s="51"/>
      <c r="AR108" s="51"/>
      <c r="AS108" s="51"/>
      <c r="AT108" s="51"/>
      <c r="AU108" s="51"/>
      <c r="AV108" s="51"/>
      <c r="AW108" s="51"/>
      <c r="AX108" s="51"/>
      <c r="AY108" s="51"/>
      <c r="AZ108" s="51"/>
      <c r="BA108" s="51"/>
      <c r="BB108" s="51"/>
      <c r="BC108" s="51"/>
      <c r="BD108" s="51"/>
      <c r="BE108" s="51"/>
      <c r="BF108" s="51"/>
      <c r="BG108" s="51"/>
      <c r="BH108" s="51"/>
      <c r="BI108" s="51"/>
      <c r="BJ108" s="51"/>
      <c r="BK108" s="51"/>
      <c r="BL108" s="51"/>
      <c r="BM108" s="51"/>
      <c r="BN108" s="51"/>
      <c r="BO108" s="51"/>
      <c r="BP108" s="51"/>
      <c r="BQ108" s="51"/>
      <c r="BR108" s="51"/>
      <c r="BS108" s="51"/>
      <c r="BT108" s="51"/>
      <c r="BU108" s="51"/>
      <c r="BV108" s="51"/>
      <c r="BW108" s="51"/>
    </row>
    <row r="109" ht="15" x14ac:dyDescent="0.25" customHeight="1">
      <c r="C109" s="50" t="s">
        <v>434</v>
      </c>
      <c r="D109" s="50"/>
      <c r="E109" s="50"/>
      <c r="F109" s="50"/>
      <c r="G109" s="50"/>
      <c r="H109" s="50"/>
      <c r="I109" s="50"/>
      <c r="J109" s="50"/>
      <c r="K109" s="50"/>
      <c r="L109" s="50"/>
      <c r="M109" s="50"/>
      <c r="N109" s="50"/>
      <c r="O109" s="50"/>
      <c r="P109" s="50"/>
      <c r="Q109" s="50"/>
      <c r="R109" s="50"/>
      <c r="S109" s="51" t="s">
        <v>435</v>
      </c>
      <c r="T109" s="51"/>
      <c r="U109" s="51"/>
      <c r="V109" s="51"/>
      <c r="W109" s="51"/>
      <c r="X109" s="51"/>
      <c r="Y109" s="51"/>
      <c r="Z109" s="51"/>
      <c r="AA109" s="51"/>
      <c r="AB109" s="51"/>
      <c r="AC109" s="51"/>
      <c r="AD109" s="51"/>
      <c r="AE109" s="51"/>
      <c r="AF109" s="51"/>
      <c r="AG109" s="51"/>
      <c r="AH109" s="51"/>
      <c r="AI109" s="51"/>
      <c r="AJ109" s="51"/>
      <c r="AK109" s="51"/>
      <c r="AL109" s="51"/>
      <c r="AM109" s="51"/>
      <c r="AN109" s="51"/>
      <c r="AO109" s="51"/>
      <c r="AP109" s="51"/>
      <c r="AQ109" s="51"/>
      <c r="AR109" s="51"/>
      <c r="AS109" s="51"/>
      <c r="AT109" s="51"/>
      <c r="AU109" s="51"/>
      <c r="AV109" s="51"/>
      <c r="AW109" s="51"/>
      <c r="AX109" s="51"/>
      <c r="AY109" s="51"/>
      <c r="AZ109" s="51"/>
      <c r="BA109" s="51"/>
      <c r="BB109" s="51"/>
      <c r="BC109" s="51"/>
      <c r="BD109" s="51"/>
      <c r="BE109" s="51"/>
      <c r="BF109" s="51"/>
      <c r="BG109" s="51"/>
      <c r="BH109" s="51"/>
      <c r="BI109" s="51"/>
      <c r="BJ109" s="51"/>
      <c r="BK109" s="51"/>
      <c r="BL109" s="51"/>
      <c r="BM109" s="51"/>
      <c r="BN109" s="51"/>
      <c r="BO109" s="51"/>
      <c r="BP109" s="51"/>
      <c r="BQ109" s="51"/>
      <c r="BR109" s="51"/>
      <c r="BS109" s="51"/>
      <c r="BT109" s="51"/>
      <c r="BU109" s="51"/>
      <c r="BV109" s="51"/>
      <c r="BW109" s="51"/>
    </row>
    <row r="110" ht="15" x14ac:dyDescent="0.25" customHeight="1">
      <c r="C110" s="50" t="s">
        <v>436</v>
      </c>
      <c r="D110" s="50"/>
      <c r="E110" s="50"/>
      <c r="F110" s="50"/>
      <c r="G110" s="50"/>
      <c r="H110" s="50"/>
      <c r="I110" s="50"/>
      <c r="J110" s="50"/>
      <c r="K110" s="50"/>
      <c r="L110" s="50"/>
      <c r="M110" s="50"/>
      <c r="N110" s="50"/>
      <c r="O110" s="50"/>
      <c r="P110" s="50"/>
      <c r="Q110" s="50"/>
      <c r="R110" s="50"/>
      <c r="S110" s="51" t="s">
        <v>437</v>
      </c>
      <c r="T110" s="51"/>
      <c r="U110" s="51"/>
      <c r="V110" s="51"/>
      <c r="W110" s="51"/>
      <c r="X110" s="51"/>
      <c r="Y110" s="51"/>
      <c r="Z110" s="51"/>
      <c r="AA110" s="51"/>
      <c r="AB110" s="51"/>
      <c r="AC110" s="51"/>
      <c r="AD110" s="51"/>
      <c r="AE110" s="51"/>
      <c r="AF110" s="51"/>
      <c r="AG110" s="51"/>
      <c r="AH110" s="51"/>
      <c r="AI110" s="51"/>
      <c r="AJ110" s="51"/>
      <c r="AK110" s="51"/>
      <c r="AL110" s="51"/>
      <c r="AM110" s="51"/>
      <c r="AN110" s="51"/>
      <c r="AO110" s="51"/>
      <c r="AP110" s="51"/>
      <c r="AQ110" s="51"/>
      <c r="AR110" s="51"/>
      <c r="AS110" s="51"/>
      <c r="AT110" s="51"/>
      <c r="AU110" s="51"/>
      <c r="AV110" s="51"/>
      <c r="AW110" s="51"/>
      <c r="AX110" s="51"/>
      <c r="AY110" s="51"/>
      <c r="AZ110" s="51"/>
      <c r="BA110" s="51"/>
      <c r="BB110" s="51"/>
      <c r="BC110" s="51"/>
      <c r="BD110" s="51"/>
      <c r="BE110" s="51"/>
      <c r="BF110" s="51"/>
      <c r="BG110" s="51"/>
      <c r="BH110" s="51"/>
      <c r="BI110" s="51"/>
      <c r="BJ110" s="51"/>
      <c r="BK110" s="51"/>
      <c r="BL110" s="51"/>
      <c r="BM110" s="51"/>
      <c r="BN110" s="51"/>
      <c r="BO110" s="51"/>
      <c r="BP110" s="51"/>
      <c r="BQ110" s="51"/>
      <c r="BR110" s="51"/>
      <c r="BS110" s="51"/>
      <c r="BT110" s="51"/>
      <c r="BU110" s="51"/>
      <c r="BV110" s="51"/>
      <c r="BW110" s="51"/>
    </row>
    <row r="112" ht="15" x14ac:dyDescent="0.25" customHeight="1">
      <c r="B112" s="49" t="s">
        <v>438</v>
      </c>
      <c r="C112" s="49"/>
      <c r="D112" s="49"/>
      <c r="E112" s="49"/>
      <c r="F112" s="49"/>
      <c r="G112" s="49"/>
      <c r="H112" s="49"/>
      <c r="I112" s="49"/>
      <c r="J112" s="49"/>
      <c r="K112" s="49"/>
      <c r="L112" s="49"/>
      <c r="M112" s="49"/>
      <c r="N112" s="49"/>
      <c r="O112" s="49"/>
      <c r="P112" s="49"/>
      <c r="Q112" s="49"/>
      <c r="R112" s="49"/>
      <c r="S112" s="49"/>
      <c r="T112" s="49"/>
      <c r="U112" s="49"/>
      <c r="V112" s="49"/>
      <c r="W112" s="49"/>
      <c r="X112" s="49"/>
      <c r="Y112" s="49"/>
      <c r="Z112" s="49"/>
      <c r="AA112" s="49"/>
      <c r="AB112" s="49"/>
      <c r="AC112" s="49"/>
      <c r="AD112" s="49"/>
      <c r="AE112" s="49"/>
      <c r="AF112" s="49"/>
      <c r="AG112" s="49"/>
      <c r="AH112" s="49"/>
      <c r="AI112" s="49"/>
      <c r="AJ112" s="49"/>
      <c r="AK112" s="49"/>
      <c r="AL112" s="49"/>
      <c r="AM112" s="49"/>
      <c r="AN112" s="49"/>
      <c r="AO112" s="49"/>
      <c r="AP112" s="49"/>
      <c r="AQ112" s="49"/>
      <c r="AR112" s="49"/>
      <c r="AS112" s="49"/>
      <c r="AT112" s="49"/>
      <c r="AU112" s="49"/>
      <c r="AV112" s="49"/>
      <c r="AW112" s="49"/>
      <c r="AX112" s="49"/>
      <c r="AY112" s="49"/>
      <c r="AZ112" s="49"/>
      <c r="BA112" s="49"/>
      <c r="BB112" s="49"/>
      <c r="BC112" s="49"/>
      <c r="BD112" s="49"/>
      <c r="BE112" s="49"/>
      <c r="BF112" s="49"/>
      <c r="BG112" s="49"/>
      <c r="BH112" s="49"/>
      <c r="BI112" s="49"/>
      <c r="BJ112" s="49"/>
      <c r="BK112" s="49"/>
      <c r="BL112" s="49"/>
      <c r="BM112" s="49"/>
      <c r="BN112" s="49"/>
      <c r="BO112" s="49"/>
      <c r="BP112" s="49"/>
      <c r="BQ112" s="49"/>
      <c r="BR112" s="49"/>
      <c r="BS112" s="49"/>
      <c r="BT112" s="49"/>
      <c r="BU112" s="49"/>
      <c r="BV112" s="49"/>
      <c r="BW112" s="49"/>
    </row>
    <row r="113" ht="15" x14ac:dyDescent="0.25" customHeight="1">
      <c r="B113" s="49"/>
      <c r="C113" s="49"/>
      <c r="D113" s="49"/>
      <c r="E113" s="49"/>
      <c r="F113" s="49"/>
      <c r="G113" s="49"/>
      <c r="H113" s="49"/>
      <c r="I113" s="49"/>
      <c r="J113" s="49"/>
      <c r="K113" s="49"/>
      <c r="L113" s="49"/>
      <c r="M113" s="49"/>
      <c r="N113" s="49"/>
      <c r="O113" s="49"/>
      <c r="P113" s="49"/>
      <c r="Q113" s="49"/>
      <c r="R113" s="49"/>
      <c r="S113" s="49"/>
      <c r="T113" s="49"/>
      <c r="U113" s="49"/>
      <c r="V113" s="49"/>
      <c r="W113" s="49"/>
      <c r="X113" s="49"/>
      <c r="Y113" s="49"/>
      <c r="Z113" s="49"/>
      <c r="AA113" s="49"/>
      <c r="AB113" s="49"/>
      <c r="AC113" s="49"/>
      <c r="AD113" s="49"/>
      <c r="AE113" s="49"/>
      <c r="AF113" s="49"/>
      <c r="AG113" s="49"/>
      <c r="AH113" s="49"/>
      <c r="AI113" s="49"/>
      <c r="AJ113" s="49"/>
      <c r="AK113" s="49"/>
      <c r="AL113" s="49"/>
      <c r="AM113" s="49"/>
      <c r="AN113" s="49"/>
      <c r="AO113" s="49"/>
      <c r="AP113" s="49"/>
      <c r="AQ113" s="49"/>
      <c r="AR113" s="49"/>
      <c r="AS113" s="49"/>
      <c r="AT113" s="49"/>
      <c r="AU113" s="49"/>
      <c r="AV113" s="49"/>
      <c r="AW113" s="49"/>
      <c r="AX113" s="49"/>
      <c r="AY113" s="49"/>
      <c r="AZ113" s="49"/>
      <c r="BA113" s="49"/>
      <c r="BB113" s="49"/>
      <c r="BC113" s="49"/>
      <c r="BD113" s="49"/>
      <c r="BE113" s="49"/>
      <c r="BF113" s="49"/>
      <c r="BG113" s="49"/>
      <c r="BH113" s="49"/>
      <c r="BI113" s="49"/>
      <c r="BJ113" s="49"/>
      <c r="BK113" s="49"/>
      <c r="BL113" s="49"/>
      <c r="BM113" s="49"/>
      <c r="BN113" s="49"/>
      <c r="BO113" s="49"/>
      <c r="BP113" s="49"/>
      <c r="BQ113" s="49"/>
      <c r="BR113" s="49"/>
      <c r="BS113" s="49"/>
      <c r="BT113" s="49"/>
      <c r="BU113" s="49"/>
      <c r="BV113" s="49"/>
      <c r="BW113" s="49"/>
    </row>
    <row r="115" ht="15" x14ac:dyDescent="0.25" customHeight="1">
      <c r="C115" s="52" t="s">
        <v>439</v>
      </c>
      <c r="D115" s="52"/>
      <c r="E115" s="52"/>
      <c r="F115" s="52"/>
      <c r="G115" s="52"/>
      <c r="H115" s="52"/>
      <c r="I115" s="52"/>
      <c r="J115" s="52"/>
      <c r="K115" s="52"/>
      <c r="L115" s="52"/>
      <c r="M115" s="52"/>
      <c r="N115" s="52"/>
      <c r="O115" s="52"/>
      <c r="P115" s="52"/>
      <c r="Q115" s="52"/>
      <c r="R115" s="52"/>
      <c r="S115" s="52"/>
      <c r="T115" s="52"/>
      <c r="U115" s="52"/>
      <c r="V115" s="52"/>
      <c r="W115" s="52"/>
      <c r="X115" s="52"/>
      <c r="Y115" s="52"/>
      <c r="Z115" s="52"/>
      <c r="AA115" s="52"/>
      <c r="AB115" s="52"/>
      <c r="AC115" s="52"/>
      <c r="AD115" s="52"/>
      <c r="AE115" s="52"/>
      <c r="AF115" s="52"/>
      <c r="AG115" s="52"/>
      <c r="AH115" s="52"/>
      <c r="AI115" s="52"/>
      <c r="AJ115" s="52"/>
      <c r="AK115" s="52"/>
      <c r="AL115" s="52"/>
      <c r="AM115" s="52"/>
      <c r="AN115" s="52"/>
      <c r="AO115" s="52"/>
      <c r="AP115" s="52"/>
      <c r="AQ115" s="52"/>
      <c r="AR115" s="52"/>
      <c r="AS115" s="52"/>
      <c r="AT115" s="52"/>
      <c r="AU115" s="52"/>
      <c r="AV115" s="52"/>
      <c r="AW115" s="52"/>
      <c r="AX115" s="52"/>
      <c r="AY115" s="52"/>
      <c r="AZ115" s="52"/>
      <c r="BA115" s="52"/>
      <c r="BB115" s="52"/>
      <c r="BC115" s="52"/>
      <c r="BD115" s="52"/>
      <c r="BE115" s="52"/>
      <c r="BF115" s="52"/>
      <c r="BG115" s="52"/>
      <c r="BH115" s="52"/>
      <c r="BI115" s="52"/>
      <c r="BJ115" s="52"/>
      <c r="BK115" s="52"/>
      <c r="BL115" s="52"/>
      <c r="BM115" s="52"/>
      <c r="BN115" s="52"/>
      <c r="BO115" s="52"/>
      <c r="BP115" s="52"/>
      <c r="BQ115" s="52"/>
      <c r="BR115" s="52"/>
      <c r="BS115" s="52"/>
      <c r="BT115" s="52"/>
      <c r="BU115" s="52"/>
      <c r="BV115" s="52"/>
      <c r="BW115" s="52"/>
    </row>
    <row r="116" ht="15" x14ac:dyDescent="0.25" customHeight="1">
      <c r="C116" s="52" t="s">
        <v>440</v>
      </c>
      <c r="D116" s="52"/>
      <c r="E116" s="52"/>
      <c r="F116" s="52"/>
      <c r="G116" s="52"/>
      <c r="H116" s="52"/>
      <c r="I116" s="52"/>
      <c r="J116" s="52"/>
      <c r="K116" s="52"/>
      <c r="L116" s="52"/>
      <c r="M116" s="52"/>
      <c r="N116" s="52"/>
      <c r="O116" s="52"/>
      <c r="P116" s="52"/>
      <c r="Q116" s="52"/>
      <c r="R116" s="52"/>
      <c r="S116" s="52"/>
      <c r="T116" s="52"/>
      <c r="U116" s="52"/>
      <c r="V116" s="52"/>
      <c r="W116" s="52"/>
      <c r="X116" s="52"/>
      <c r="Y116" s="52"/>
      <c r="Z116" s="52"/>
      <c r="AA116" s="52"/>
      <c r="AB116" s="52"/>
      <c r="AC116" s="52"/>
      <c r="AD116" s="52"/>
      <c r="AE116" s="52"/>
      <c r="AF116" s="52"/>
      <c r="AG116" s="52"/>
      <c r="AH116" s="52"/>
      <c r="AI116" s="52"/>
      <c r="AJ116" s="52"/>
      <c r="AK116" s="52"/>
      <c r="AL116" s="52"/>
      <c r="AM116" s="52"/>
      <c r="AN116" s="52"/>
      <c r="AO116" s="52"/>
      <c r="AP116" s="52"/>
      <c r="AQ116" s="52"/>
      <c r="AR116" s="52"/>
      <c r="AS116" s="52"/>
      <c r="AT116" s="52"/>
      <c r="AU116" s="52"/>
      <c r="AV116" s="52"/>
      <c r="AW116" s="52"/>
      <c r="AX116" s="52"/>
      <c r="AY116" s="52"/>
      <c r="AZ116" s="52"/>
      <c r="BA116" s="52"/>
      <c r="BB116" s="52"/>
      <c r="BC116" s="52"/>
      <c r="BD116" s="52"/>
      <c r="BE116" s="52"/>
      <c r="BF116" s="52"/>
      <c r="BG116" s="52"/>
      <c r="BH116" s="52"/>
      <c r="BI116" s="52"/>
      <c r="BJ116" s="52"/>
      <c r="BK116" s="52"/>
      <c r="BL116" s="52"/>
      <c r="BM116" s="52"/>
      <c r="BN116" s="52"/>
      <c r="BO116" s="52"/>
      <c r="BP116" s="52"/>
      <c r="BQ116" s="52"/>
      <c r="BR116" s="52"/>
      <c r="BS116" s="52"/>
      <c r="BT116" s="52"/>
      <c r="BU116" s="52"/>
      <c r="BV116" s="52"/>
      <c r="BW116" s="52"/>
    </row>
    <row r="117" ht="15" x14ac:dyDescent="0.25" customHeight="1">
      <c r="C117" s="52" t="s">
        <v>441</v>
      </c>
      <c r="D117" s="52"/>
      <c r="E117" s="52"/>
      <c r="F117" s="52"/>
      <c r="G117" s="52"/>
      <c r="H117" s="52"/>
      <c r="I117" s="52"/>
      <c r="J117" s="52"/>
      <c r="K117" s="52"/>
      <c r="L117" s="52"/>
      <c r="M117" s="52"/>
      <c r="N117" s="52"/>
      <c r="O117" s="52"/>
      <c r="P117" s="52"/>
      <c r="Q117" s="52"/>
      <c r="R117" s="52"/>
      <c r="S117" s="52"/>
      <c r="T117" s="52"/>
      <c r="U117" s="52"/>
      <c r="V117" s="52"/>
      <c r="W117" s="52"/>
      <c r="X117" s="52"/>
      <c r="Y117" s="52"/>
      <c r="Z117" s="52"/>
      <c r="AA117" s="52"/>
      <c r="AB117" s="52"/>
      <c r="AC117" s="52"/>
      <c r="AD117" s="52"/>
      <c r="AE117" s="52"/>
      <c r="AF117" s="52"/>
      <c r="AG117" s="52"/>
      <c r="AH117" s="52"/>
      <c r="AI117" s="52"/>
      <c r="AJ117" s="52"/>
      <c r="AK117" s="52"/>
      <c r="AL117" s="52"/>
      <c r="AM117" s="52"/>
      <c r="AN117" s="52"/>
      <c r="AO117" s="52"/>
      <c r="AP117" s="52"/>
      <c r="AQ117" s="52"/>
      <c r="AR117" s="52"/>
      <c r="AS117" s="52"/>
      <c r="AT117" s="52"/>
      <c r="AU117" s="52"/>
      <c r="AV117" s="52"/>
      <c r="AW117" s="52"/>
      <c r="AX117" s="52"/>
      <c r="AY117" s="52"/>
      <c r="AZ117" s="52"/>
      <c r="BA117" s="52"/>
      <c r="BB117" s="52"/>
      <c r="BC117" s="52"/>
      <c r="BD117" s="52"/>
      <c r="BE117" s="52"/>
      <c r="BF117" s="52"/>
      <c r="BG117" s="52"/>
      <c r="BH117" s="52"/>
      <c r="BI117" s="52"/>
      <c r="BJ117" s="52"/>
      <c r="BK117" s="52"/>
      <c r="BL117" s="52"/>
      <c r="BM117" s="52"/>
      <c r="BN117" s="52"/>
      <c r="BO117" s="52"/>
      <c r="BP117" s="52"/>
      <c r="BQ117" s="52"/>
      <c r="BR117" s="52"/>
      <c r="BS117" s="52"/>
      <c r="BT117" s="52"/>
      <c r="BU117" s="52"/>
      <c r="BV117" s="52"/>
      <c r="BW117" s="52"/>
    </row>
    <row r="118" ht="15" x14ac:dyDescent="0.25" customHeight="1">
      <c r="C118" s="52" t="s">
        <v>442</v>
      </c>
      <c r="D118" s="52"/>
      <c r="E118" s="52"/>
      <c r="F118" s="52"/>
      <c r="G118" s="52"/>
      <c r="H118" s="52"/>
      <c r="I118" s="52"/>
      <c r="J118" s="52"/>
      <c r="K118" s="52"/>
      <c r="L118" s="52"/>
      <c r="M118" s="52"/>
      <c r="N118" s="52"/>
      <c r="O118" s="52"/>
      <c r="P118" s="52"/>
      <c r="Q118" s="52"/>
      <c r="R118" s="52"/>
      <c r="S118" s="52"/>
      <c r="T118" s="52"/>
      <c r="U118" s="52"/>
      <c r="V118" s="52"/>
      <c r="W118" s="52"/>
      <c r="X118" s="52"/>
      <c r="Y118" s="52"/>
      <c r="Z118" s="52"/>
      <c r="AA118" s="52"/>
      <c r="AB118" s="52"/>
      <c r="AC118" s="52"/>
      <c r="AD118" s="52"/>
      <c r="AE118" s="52"/>
      <c r="AF118" s="52"/>
      <c r="AG118" s="52"/>
      <c r="AH118" s="52"/>
      <c r="AI118" s="52"/>
      <c r="AJ118" s="52"/>
      <c r="AK118" s="52"/>
      <c r="AL118" s="52"/>
      <c r="AM118" s="52"/>
      <c r="AN118" s="52"/>
      <c r="AO118" s="52"/>
      <c r="AP118" s="52"/>
      <c r="AQ118" s="52"/>
      <c r="AR118" s="52"/>
      <c r="AS118" s="52"/>
      <c r="AT118" s="52"/>
      <c r="AU118" s="52"/>
      <c r="AV118" s="52"/>
      <c r="AW118" s="52"/>
      <c r="AX118" s="52"/>
      <c r="AY118" s="52"/>
      <c r="AZ118" s="52"/>
      <c r="BA118" s="52"/>
      <c r="BB118" s="52"/>
      <c r="BC118" s="52"/>
      <c r="BD118" s="52"/>
      <c r="BE118" s="52"/>
      <c r="BF118" s="52"/>
      <c r="BG118" s="52"/>
      <c r="BH118" s="52"/>
      <c r="BI118" s="52"/>
      <c r="BJ118" s="52"/>
      <c r="BK118" s="52"/>
      <c r="BL118" s="52"/>
      <c r="BM118" s="52"/>
      <c r="BN118" s="52"/>
      <c r="BO118" s="52"/>
      <c r="BP118" s="52"/>
      <c r="BQ118" s="52"/>
      <c r="BR118" s="52"/>
      <c r="BS118" s="52"/>
      <c r="BT118" s="52"/>
      <c r="BU118" s="52"/>
      <c r="BV118" s="52"/>
      <c r="BW118" s="52"/>
    </row>
    <row r="119" ht="15" x14ac:dyDescent="0.25" customHeight="1">
      <c r="C119" s="52" t="s">
        <v>443</v>
      </c>
      <c r="D119" s="52"/>
      <c r="E119" s="52"/>
      <c r="F119" s="52"/>
      <c r="G119" s="52"/>
      <c r="H119" s="52"/>
      <c r="I119" s="52"/>
      <c r="J119" s="52"/>
      <c r="K119" s="52"/>
      <c r="L119" s="52"/>
      <c r="M119" s="52"/>
      <c r="N119" s="52"/>
      <c r="O119" s="52"/>
      <c r="P119" s="52"/>
      <c r="Q119" s="52"/>
      <c r="R119" s="52"/>
      <c r="S119" s="52"/>
      <c r="T119" s="52"/>
      <c r="U119" s="52"/>
      <c r="V119" s="52"/>
      <c r="W119" s="52"/>
      <c r="X119" s="52"/>
      <c r="Y119" s="52"/>
      <c r="Z119" s="52"/>
      <c r="AA119" s="52"/>
      <c r="AB119" s="52"/>
      <c r="AC119" s="52"/>
      <c r="AD119" s="52"/>
      <c r="AE119" s="52"/>
      <c r="AF119" s="52"/>
      <c r="AG119" s="52"/>
      <c r="AH119" s="52"/>
      <c r="AI119" s="52"/>
      <c r="AJ119" s="52"/>
      <c r="AK119" s="52"/>
      <c r="AL119" s="52"/>
      <c r="AM119" s="52"/>
      <c r="AN119" s="52"/>
      <c r="AO119" s="52"/>
      <c r="AP119" s="52"/>
      <c r="AQ119" s="52"/>
      <c r="AR119" s="52"/>
      <c r="AS119" s="52"/>
      <c r="AT119" s="52"/>
      <c r="AU119" s="52"/>
      <c r="AV119" s="52"/>
      <c r="AW119" s="52"/>
      <c r="AX119" s="52"/>
      <c r="AY119" s="52"/>
      <c r="AZ119" s="52"/>
      <c r="BA119" s="52"/>
      <c r="BB119" s="52"/>
      <c r="BC119" s="52"/>
      <c r="BD119" s="52"/>
      <c r="BE119" s="52"/>
      <c r="BF119" s="52"/>
      <c r="BG119" s="52"/>
      <c r="BH119" s="52"/>
      <c r="BI119" s="52"/>
      <c r="BJ119" s="52"/>
      <c r="BK119" s="52"/>
      <c r="BL119" s="52"/>
      <c r="BM119" s="52"/>
      <c r="BN119" s="52"/>
      <c r="BO119" s="52"/>
      <c r="BP119" s="52"/>
      <c r="BQ119" s="52"/>
      <c r="BR119" s="52"/>
      <c r="BS119" s="52"/>
      <c r="BT119" s="52"/>
      <c r="BU119" s="52"/>
      <c r="BV119" s="52"/>
      <c r="BW119" s="52"/>
    </row>
    <row r="120" ht="15" x14ac:dyDescent="0.25" customHeight="1">
      <c r="C120" s="52" t="s">
        <v>444</v>
      </c>
      <c r="D120" s="52"/>
      <c r="E120" s="52"/>
      <c r="F120" s="52"/>
      <c r="G120" s="52"/>
      <c r="H120" s="52"/>
      <c r="I120" s="52"/>
      <c r="J120" s="52"/>
      <c r="K120" s="52"/>
      <c r="L120" s="52"/>
      <c r="M120" s="52"/>
      <c r="N120" s="52"/>
      <c r="O120" s="52"/>
      <c r="P120" s="52"/>
      <c r="Q120" s="52"/>
      <c r="R120" s="52"/>
      <c r="S120" s="52"/>
      <c r="T120" s="52"/>
      <c r="U120" s="52"/>
      <c r="V120" s="52"/>
      <c r="W120" s="52"/>
      <c r="X120" s="52"/>
      <c r="Y120" s="52"/>
      <c r="Z120" s="52"/>
      <c r="AA120" s="52"/>
      <c r="AB120" s="52"/>
      <c r="AC120" s="52"/>
      <c r="AD120" s="52"/>
      <c r="AE120" s="52"/>
      <c r="AF120" s="52"/>
      <c r="AG120" s="52"/>
      <c r="AH120" s="52"/>
      <c r="AI120" s="52"/>
      <c r="AJ120" s="52"/>
      <c r="AK120" s="52"/>
      <c r="AL120" s="52"/>
      <c r="AM120" s="52"/>
      <c r="AN120" s="52"/>
      <c r="AO120" s="52"/>
      <c r="AP120" s="52"/>
      <c r="AQ120" s="52"/>
      <c r="AR120" s="52"/>
      <c r="AS120" s="52"/>
      <c r="AT120" s="52"/>
      <c r="AU120" s="52"/>
      <c r="AV120" s="52"/>
      <c r="AW120" s="52"/>
      <c r="AX120" s="52"/>
      <c r="AY120" s="52"/>
      <c r="AZ120" s="52"/>
      <c r="BA120" s="52"/>
      <c r="BB120" s="52"/>
      <c r="BC120" s="52"/>
      <c r="BD120" s="52"/>
      <c r="BE120" s="52"/>
      <c r="BF120" s="52"/>
      <c r="BG120" s="52"/>
      <c r="BH120" s="52"/>
      <c r="BI120" s="52"/>
      <c r="BJ120" s="52"/>
      <c r="BK120" s="52"/>
      <c r="BL120" s="52"/>
      <c r="BM120" s="52"/>
      <c r="BN120" s="52"/>
      <c r="BO120" s="52"/>
      <c r="BP120" s="52"/>
      <c r="BQ120" s="52"/>
      <c r="BR120" s="52"/>
      <c r="BS120" s="52"/>
      <c r="BT120" s="52"/>
      <c r="BU120" s="52"/>
      <c r="BV120" s="52"/>
      <c r="BW120" s="52"/>
    </row>
    <row r="121" ht="15" x14ac:dyDescent="0.25" customHeight="1">
      <c r="C121" s="52" t="s">
        <v>445</v>
      </c>
      <c r="D121" s="52"/>
      <c r="E121" s="52"/>
      <c r="F121" s="52"/>
      <c r="G121" s="52"/>
      <c r="H121" s="52"/>
      <c r="I121" s="52"/>
      <c r="J121" s="52"/>
      <c r="K121" s="52"/>
      <c r="L121" s="52"/>
      <c r="M121" s="52"/>
      <c r="N121" s="52"/>
      <c r="O121" s="52"/>
      <c r="P121" s="52"/>
      <c r="Q121" s="52"/>
      <c r="R121" s="52"/>
      <c r="S121" s="52"/>
      <c r="T121" s="52"/>
      <c r="U121" s="52"/>
      <c r="V121" s="52"/>
      <c r="W121" s="52"/>
      <c r="X121" s="52"/>
      <c r="Y121" s="52"/>
      <c r="Z121" s="52"/>
      <c r="AA121" s="52"/>
      <c r="AB121" s="52"/>
      <c r="AC121" s="52"/>
      <c r="AD121" s="52"/>
      <c r="AE121" s="52"/>
      <c r="AF121" s="52"/>
      <c r="AG121" s="52"/>
      <c r="AH121" s="52"/>
      <c r="AI121" s="52"/>
      <c r="AJ121" s="52"/>
      <c r="AK121" s="52"/>
      <c r="AL121" s="52"/>
      <c r="AM121" s="52"/>
      <c r="AN121" s="52"/>
      <c r="AO121" s="52"/>
      <c r="AP121" s="52"/>
      <c r="AQ121" s="52"/>
      <c r="AR121" s="52"/>
      <c r="AS121" s="52"/>
      <c r="AT121" s="52"/>
      <c r="AU121" s="52"/>
      <c r="AV121" s="52"/>
      <c r="AW121" s="52"/>
      <c r="AX121" s="52"/>
      <c r="AY121" s="52"/>
      <c r="AZ121" s="52"/>
      <c r="BA121" s="52"/>
      <c r="BB121" s="52"/>
      <c r="BC121" s="52"/>
      <c r="BD121" s="52"/>
      <c r="BE121" s="52"/>
      <c r="BF121" s="52"/>
      <c r="BG121" s="52"/>
      <c r="BH121" s="52"/>
      <c r="BI121" s="52"/>
      <c r="BJ121" s="52"/>
      <c r="BK121" s="52"/>
      <c r="BL121" s="52"/>
      <c r="BM121" s="52"/>
      <c r="BN121" s="52"/>
      <c r="BO121" s="52"/>
      <c r="BP121" s="52"/>
      <c r="BQ121" s="52"/>
      <c r="BR121" s="52"/>
      <c r="BS121" s="52"/>
      <c r="BT121" s="52"/>
      <c r="BU121" s="52"/>
      <c r="BV121" s="52"/>
      <c r="BW121" s="52"/>
    </row>
    <row r="123" ht="15" x14ac:dyDescent="0.25" customHeight="1">
      <c r="B123" s="49" t="s">
        <v>446</v>
      </c>
      <c r="C123" s="49"/>
      <c r="D123" s="49"/>
      <c r="E123" s="49"/>
      <c r="F123" s="49"/>
      <c r="G123" s="49"/>
      <c r="H123" s="49"/>
      <c r="I123" s="49"/>
      <c r="J123" s="49"/>
      <c r="K123" s="49"/>
      <c r="L123" s="49"/>
      <c r="M123" s="49"/>
      <c r="N123" s="49"/>
      <c r="O123" s="49"/>
      <c r="P123" s="49"/>
      <c r="Q123" s="49"/>
      <c r="R123" s="49"/>
      <c r="S123" s="49"/>
      <c r="T123" s="49"/>
      <c r="U123" s="49"/>
      <c r="V123" s="49"/>
      <c r="W123" s="49"/>
      <c r="X123" s="49"/>
      <c r="Y123" s="49"/>
      <c r="Z123" s="49"/>
      <c r="AA123" s="49"/>
      <c r="AB123" s="49"/>
      <c r="AC123" s="49"/>
      <c r="AD123" s="49"/>
      <c r="AE123" s="49"/>
      <c r="AF123" s="49"/>
      <c r="AG123" s="49"/>
      <c r="AH123" s="49"/>
      <c r="AI123" s="49"/>
      <c r="AJ123" s="49"/>
      <c r="AK123" s="49"/>
      <c r="AL123" s="49"/>
      <c r="AM123" s="49"/>
      <c r="AN123" s="49"/>
      <c r="AO123" s="49"/>
      <c r="AP123" s="49"/>
      <c r="AQ123" s="49"/>
      <c r="AR123" s="49"/>
      <c r="AS123" s="49"/>
      <c r="AT123" s="49"/>
      <c r="AU123" s="49"/>
      <c r="AV123" s="49"/>
      <c r="AW123" s="49"/>
      <c r="AX123" s="49"/>
      <c r="AY123" s="49"/>
      <c r="AZ123" s="49"/>
      <c r="BA123" s="49"/>
      <c r="BB123" s="49"/>
      <c r="BC123" s="49"/>
      <c r="BD123" s="49"/>
      <c r="BE123" s="49"/>
      <c r="BF123" s="49"/>
      <c r="BG123" s="49"/>
      <c r="BH123" s="49"/>
      <c r="BI123" s="49"/>
      <c r="BJ123" s="49"/>
      <c r="BK123" s="49"/>
      <c r="BL123" s="49"/>
      <c r="BM123" s="49"/>
      <c r="BN123" s="49"/>
      <c r="BO123" s="49"/>
      <c r="BP123" s="49"/>
      <c r="BQ123" s="49"/>
      <c r="BR123" s="49"/>
      <c r="BS123" s="49"/>
      <c r="BT123" s="49"/>
      <c r="BU123" s="49"/>
      <c r="BV123" s="49"/>
      <c r="BW123" s="49"/>
    </row>
    <row r="124" ht="15" x14ac:dyDescent="0.25" customHeight="1">
      <c r="B124" s="49"/>
      <c r="C124" s="49"/>
      <c r="D124" s="49"/>
      <c r="E124" s="49"/>
      <c r="F124" s="49"/>
      <c r="G124" s="49"/>
      <c r="H124" s="49"/>
      <c r="I124" s="49"/>
      <c r="J124" s="49"/>
      <c r="K124" s="49"/>
      <c r="L124" s="49"/>
      <c r="M124" s="49"/>
      <c r="N124" s="49"/>
      <c r="O124" s="49"/>
      <c r="P124" s="49"/>
      <c r="Q124" s="49"/>
      <c r="R124" s="49"/>
      <c r="S124" s="49"/>
      <c r="T124" s="49"/>
      <c r="U124" s="49"/>
      <c r="V124" s="49"/>
      <c r="W124" s="49"/>
      <c r="X124" s="49"/>
      <c r="Y124" s="49"/>
      <c r="Z124" s="49"/>
      <c r="AA124" s="49"/>
      <c r="AB124" s="49"/>
      <c r="AC124" s="49"/>
      <c r="AD124" s="49"/>
      <c r="AE124" s="49"/>
      <c r="AF124" s="49"/>
      <c r="AG124" s="49"/>
      <c r="AH124" s="49"/>
      <c r="AI124" s="49"/>
      <c r="AJ124" s="49"/>
      <c r="AK124" s="49"/>
      <c r="AL124" s="49"/>
      <c r="AM124" s="49"/>
      <c r="AN124" s="49"/>
      <c r="AO124" s="49"/>
      <c r="AP124" s="49"/>
      <c r="AQ124" s="49"/>
      <c r="AR124" s="49"/>
      <c r="AS124" s="49"/>
      <c r="AT124" s="49"/>
      <c r="AU124" s="49"/>
      <c r="AV124" s="49"/>
      <c r="AW124" s="49"/>
      <c r="AX124" s="49"/>
      <c r="AY124" s="49"/>
      <c r="AZ124" s="49"/>
      <c r="BA124" s="49"/>
      <c r="BB124" s="49"/>
      <c r="BC124" s="49"/>
      <c r="BD124" s="49"/>
      <c r="BE124" s="49"/>
      <c r="BF124" s="49"/>
      <c r="BG124" s="49"/>
      <c r="BH124" s="49"/>
      <c r="BI124" s="49"/>
      <c r="BJ124" s="49"/>
      <c r="BK124" s="49"/>
      <c r="BL124" s="49"/>
      <c r="BM124" s="49"/>
      <c r="BN124" s="49"/>
      <c r="BO124" s="49"/>
      <c r="BP124" s="49"/>
      <c r="BQ124" s="49"/>
      <c r="BR124" s="49"/>
      <c r="BS124" s="49"/>
      <c r="BT124" s="49"/>
      <c r="BU124" s="49"/>
      <c r="BV124" s="49"/>
      <c r="BW124" s="49"/>
    </row>
    <row r="126" ht="15" x14ac:dyDescent="0.25" customHeight="1">
      <c r="C126" s="53" t="s">
        <v>447</v>
      </c>
      <c r="D126" s="53"/>
      <c r="E126" s="53"/>
      <c r="F126" s="53"/>
      <c r="G126" s="53"/>
      <c r="H126" s="53"/>
      <c r="I126" s="53"/>
      <c r="J126" s="53"/>
      <c r="K126" s="53"/>
      <c r="L126" s="53"/>
      <c r="M126" s="53"/>
      <c r="N126" s="53"/>
      <c r="O126" s="53"/>
      <c r="P126" s="53"/>
      <c r="Q126" s="53"/>
      <c r="R126" s="53"/>
      <c r="S126" s="53"/>
      <c r="T126" s="53"/>
      <c r="U126" s="53"/>
      <c r="V126" s="53"/>
      <c r="W126" s="53"/>
      <c r="X126" s="53"/>
      <c r="Y126" s="53"/>
      <c r="Z126" s="53"/>
      <c r="AA126" s="53"/>
      <c r="AB126" s="53"/>
      <c r="AC126" s="53"/>
      <c r="AD126" s="53"/>
      <c r="AE126" s="53"/>
      <c r="AF126" s="53"/>
      <c r="AG126" s="53"/>
      <c r="AH126" s="53"/>
      <c r="AI126" s="53"/>
      <c r="AJ126" s="53"/>
      <c r="AK126" s="53"/>
      <c r="AL126" s="53"/>
      <c r="AM126" s="53"/>
      <c r="AN126" s="53"/>
      <c r="AO126" s="53"/>
      <c r="AP126" s="53"/>
      <c r="AQ126" s="53"/>
      <c r="AR126" s="53"/>
      <c r="AS126" s="53"/>
      <c r="AT126" s="53"/>
      <c r="AU126" s="53"/>
      <c r="AV126" s="53"/>
      <c r="AW126" s="53"/>
      <c r="AX126" s="53"/>
      <c r="AY126" s="53"/>
      <c r="AZ126" s="53"/>
      <c r="BA126" s="53"/>
      <c r="BB126" s="53"/>
      <c r="BC126" s="53"/>
      <c r="BD126" s="53"/>
      <c r="BE126" s="53"/>
      <c r="BF126" s="53"/>
      <c r="BG126" s="53"/>
      <c r="BH126" s="53"/>
      <c r="BI126" s="53"/>
      <c r="BJ126" s="53"/>
      <c r="BK126" s="53"/>
      <c r="BL126" s="53"/>
      <c r="BM126" s="53"/>
      <c r="BN126" s="53"/>
      <c r="BO126" s="53"/>
      <c r="BP126" s="53"/>
      <c r="BQ126" s="53"/>
      <c r="BR126" s="53"/>
      <c r="BS126" s="53"/>
      <c r="BT126" s="53"/>
      <c r="BU126" s="53"/>
      <c r="BV126" s="53"/>
      <c r="BW126" s="53"/>
    </row>
    <row r="127" ht="15" x14ac:dyDescent="0.25" customHeight="1">
      <c r="C127" s="53" t="s">
        <v>448</v>
      </c>
      <c r="D127" s="53"/>
      <c r="E127" s="53"/>
      <c r="F127" s="53"/>
      <c r="G127" s="53"/>
      <c r="H127" s="53"/>
      <c r="I127" s="53"/>
      <c r="J127" s="53"/>
      <c r="K127" s="53"/>
      <c r="L127" s="53"/>
      <c r="M127" s="53"/>
      <c r="N127" s="53"/>
      <c r="O127" s="53"/>
      <c r="P127" s="53"/>
      <c r="Q127" s="53"/>
      <c r="R127" s="53"/>
      <c r="S127" s="53"/>
      <c r="T127" s="53"/>
      <c r="U127" s="53"/>
      <c r="V127" s="53"/>
      <c r="W127" s="53"/>
      <c r="X127" s="53"/>
      <c r="Y127" s="53"/>
      <c r="Z127" s="53"/>
      <c r="AA127" s="53"/>
      <c r="AB127" s="53"/>
      <c r="AC127" s="53"/>
      <c r="AD127" s="53"/>
      <c r="AE127" s="53"/>
      <c r="AF127" s="53"/>
      <c r="AG127" s="53"/>
      <c r="AH127" s="53"/>
      <c r="AI127" s="53"/>
      <c r="AJ127" s="53"/>
      <c r="AK127" s="53"/>
      <c r="AL127" s="53"/>
      <c r="AM127" s="53"/>
      <c r="AN127" s="53"/>
      <c r="AO127" s="53"/>
      <c r="AP127" s="53"/>
      <c r="AQ127" s="53"/>
      <c r="AR127" s="53"/>
      <c r="AS127" s="53"/>
      <c r="AT127" s="53"/>
      <c r="AU127" s="53"/>
      <c r="AV127" s="53"/>
      <c r="AW127" s="53"/>
      <c r="AX127" s="53"/>
      <c r="AY127" s="53"/>
      <c r="AZ127" s="53"/>
      <c r="BA127" s="53"/>
      <c r="BB127" s="53"/>
      <c r="BC127" s="53"/>
      <c r="BD127" s="53"/>
      <c r="BE127" s="53"/>
      <c r="BF127" s="53"/>
      <c r="BG127" s="53"/>
      <c r="BH127" s="53"/>
      <c r="BI127" s="53"/>
      <c r="BJ127" s="53"/>
      <c r="BK127" s="53"/>
      <c r="BL127" s="53"/>
      <c r="BM127" s="53"/>
      <c r="BN127" s="53"/>
      <c r="BO127" s="53"/>
      <c r="BP127" s="53"/>
      <c r="BQ127" s="53"/>
      <c r="BR127" s="53"/>
      <c r="BS127" s="53"/>
      <c r="BT127" s="53"/>
      <c r="BU127" s="53"/>
      <c r="BV127" s="53"/>
      <c r="BW127" s="53"/>
    </row>
    <row r="128" ht="15" x14ac:dyDescent="0.25" customHeight="1">
      <c r="C128" s="53" t="s">
        <v>449</v>
      </c>
      <c r="D128" s="53"/>
      <c r="E128" s="53"/>
      <c r="F128" s="53"/>
      <c r="G128" s="53"/>
      <c r="H128" s="53"/>
      <c r="I128" s="53"/>
      <c r="J128" s="53"/>
      <c r="K128" s="53"/>
      <c r="L128" s="53"/>
      <c r="M128" s="53"/>
      <c r="N128" s="53"/>
      <c r="O128" s="53"/>
      <c r="P128" s="53"/>
      <c r="Q128" s="53"/>
      <c r="R128" s="53"/>
      <c r="S128" s="53"/>
      <c r="T128" s="53"/>
      <c r="U128" s="53"/>
      <c r="V128" s="53"/>
      <c r="W128" s="53"/>
      <c r="X128" s="53"/>
      <c r="Y128" s="53"/>
      <c r="Z128" s="53"/>
      <c r="AA128" s="53"/>
      <c r="AB128" s="53"/>
      <c r="AC128" s="53"/>
      <c r="AD128" s="53"/>
      <c r="AE128" s="53"/>
      <c r="AF128" s="53"/>
      <c r="AG128" s="53"/>
      <c r="AH128" s="53"/>
      <c r="AI128" s="53"/>
      <c r="AJ128" s="53"/>
      <c r="AK128" s="53"/>
      <c r="AL128" s="53"/>
      <c r="AM128" s="53"/>
      <c r="AN128" s="53"/>
      <c r="AO128" s="53"/>
      <c r="AP128" s="53"/>
      <c r="AQ128" s="53"/>
      <c r="AR128" s="53"/>
      <c r="AS128" s="53"/>
      <c r="AT128" s="53"/>
      <c r="AU128" s="53"/>
      <c r="AV128" s="53"/>
      <c r="AW128" s="53"/>
      <c r="AX128" s="53"/>
      <c r="AY128" s="53"/>
      <c r="AZ128" s="53"/>
      <c r="BA128" s="53"/>
      <c r="BB128" s="53"/>
      <c r="BC128" s="53"/>
      <c r="BD128" s="53"/>
      <c r="BE128" s="53"/>
      <c r="BF128" s="53"/>
      <c r="BG128" s="53"/>
      <c r="BH128" s="53"/>
      <c r="BI128" s="53"/>
      <c r="BJ128" s="53"/>
      <c r="BK128" s="53"/>
      <c r="BL128" s="53"/>
      <c r="BM128" s="53"/>
      <c r="BN128" s="53"/>
      <c r="BO128" s="53"/>
      <c r="BP128" s="53"/>
      <c r="BQ128" s="53"/>
      <c r="BR128" s="53"/>
      <c r="BS128" s="53"/>
      <c r="BT128" s="53"/>
      <c r="BU128" s="53"/>
      <c r="BV128" s="53"/>
      <c r="BW128" s="53"/>
    </row>
    <row r="129" ht="15" x14ac:dyDescent="0.25" customHeight="1">
      <c r="C129" s="53" t="s">
        <v>450</v>
      </c>
      <c r="D129" s="53"/>
      <c r="E129" s="53"/>
      <c r="F129" s="53"/>
      <c r="G129" s="53"/>
      <c r="H129" s="53"/>
      <c r="I129" s="53"/>
      <c r="J129" s="53"/>
      <c r="K129" s="53"/>
      <c r="L129" s="53"/>
      <c r="M129" s="53"/>
      <c r="N129" s="53"/>
      <c r="O129" s="53"/>
      <c r="P129" s="53"/>
      <c r="Q129" s="53"/>
      <c r="R129" s="53"/>
      <c r="S129" s="53"/>
      <c r="T129" s="53"/>
      <c r="U129" s="53"/>
      <c r="V129" s="53"/>
      <c r="W129" s="53"/>
      <c r="X129" s="53"/>
      <c r="Y129" s="53"/>
      <c r="Z129" s="53"/>
      <c r="AA129" s="53"/>
      <c r="AB129" s="53"/>
      <c r="AC129" s="53"/>
      <c r="AD129" s="53"/>
      <c r="AE129" s="53"/>
      <c r="AF129" s="53"/>
      <c r="AG129" s="53"/>
      <c r="AH129" s="53"/>
      <c r="AI129" s="53"/>
      <c r="AJ129" s="53"/>
      <c r="AK129" s="53"/>
      <c r="AL129" s="53"/>
      <c r="AM129" s="53"/>
      <c r="AN129" s="53"/>
      <c r="AO129" s="53"/>
      <c r="AP129" s="53"/>
      <c r="AQ129" s="53"/>
      <c r="AR129" s="53"/>
      <c r="AS129" s="53"/>
      <c r="AT129" s="53"/>
      <c r="AU129" s="53"/>
      <c r="AV129" s="53"/>
      <c r="AW129" s="53"/>
      <c r="AX129" s="53"/>
      <c r="AY129" s="53"/>
      <c r="AZ129" s="53"/>
      <c r="BA129" s="53"/>
      <c r="BB129" s="53"/>
      <c r="BC129" s="53"/>
      <c r="BD129" s="53"/>
      <c r="BE129" s="53"/>
      <c r="BF129" s="53"/>
      <c r="BG129" s="53"/>
      <c r="BH129" s="53"/>
      <c r="BI129" s="53"/>
      <c r="BJ129" s="53"/>
      <c r="BK129" s="53"/>
      <c r="BL129" s="53"/>
      <c r="BM129" s="53"/>
      <c r="BN129" s="53"/>
      <c r="BO129" s="53"/>
      <c r="BP129" s="53"/>
      <c r="BQ129" s="53"/>
      <c r="BR129" s="53"/>
      <c r="BS129" s="53"/>
      <c r="BT129" s="53"/>
      <c r="BU129" s="53"/>
      <c r="BV129" s="53"/>
      <c r="BW129" s="53"/>
    </row>
    <row r="130" ht="15" x14ac:dyDescent="0.25" customHeight="1">
      <c r="C130" s="53" t="s">
        <v>451</v>
      </c>
      <c r="D130" s="53"/>
      <c r="E130" s="53"/>
      <c r="F130" s="53"/>
      <c r="G130" s="53"/>
      <c r="H130" s="53"/>
      <c r="I130" s="53"/>
      <c r="J130" s="53"/>
      <c r="K130" s="53"/>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3"/>
      <c r="AR130" s="53"/>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c r="BS130" s="53"/>
      <c r="BT130" s="53"/>
      <c r="BU130" s="53"/>
      <c r="BV130" s="53"/>
      <c r="BW130" s="53"/>
    </row>
    <row r="131" ht="15" x14ac:dyDescent="0.25" customHeight="1">
      <c r="C131" s="53" t="s">
        <v>452</v>
      </c>
      <c r="D131" s="53"/>
      <c r="E131" s="53"/>
      <c r="F131" s="53"/>
      <c r="G131" s="53"/>
      <c r="H131" s="53"/>
      <c r="I131" s="53"/>
      <c r="J131" s="53"/>
      <c r="K131" s="53"/>
      <c r="L131" s="53"/>
      <c r="M131" s="53"/>
      <c r="N131" s="53"/>
      <c r="O131" s="53"/>
      <c r="P131" s="53"/>
      <c r="Q131" s="53"/>
      <c r="R131" s="53"/>
      <c r="S131" s="53"/>
      <c r="T131" s="53"/>
      <c r="U131" s="53"/>
      <c r="V131" s="53"/>
      <c r="W131" s="53"/>
      <c r="X131" s="53"/>
      <c r="Y131" s="53"/>
      <c r="Z131" s="53"/>
      <c r="AA131" s="53"/>
      <c r="AB131" s="53"/>
      <c r="AC131" s="53"/>
      <c r="AD131" s="53"/>
      <c r="AE131" s="53"/>
      <c r="AF131" s="53"/>
      <c r="AG131" s="53"/>
      <c r="AH131" s="53"/>
      <c r="AI131" s="53"/>
      <c r="AJ131" s="53"/>
      <c r="AK131" s="53"/>
      <c r="AL131" s="53"/>
      <c r="AM131" s="53"/>
      <c r="AN131" s="53"/>
      <c r="AO131" s="53"/>
      <c r="AP131" s="53"/>
      <c r="AQ131" s="53"/>
      <c r="AR131" s="53"/>
      <c r="AS131" s="53"/>
      <c r="AT131" s="53"/>
      <c r="AU131" s="53"/>
      <c r="AV131" s="53"/>
      <c r="AW131" s="53"/>
      <c r="AX131" s="53"/>
      <c r="AY131" s="53"/>
      <c r="AZ131" s="53"/>
      <c r="BA131" s="53"/>
      <c r="BB131" s="53"/>
      <c r="BC131" s="53"/>
      <c r="BD131" s="53"/>
      <c r="BE131" s="53"/>
      <c r="BF131" s="53"/>
      <c r="BG131" s="53"/>
      <c r="BH131" s="53"/>
      <c r="BI131" s="53"/>
      <c r="BJ131" s="53"/>
      <c r="BK131" s="53"/>
      <c r="BL131" s="53"/>
      <c r="BM131" s="53"/>
      <c r="BN131" s="53"/>
      <c r="BO131" s="53"/>
      <c r="BP131" s="53"/>
      <c r="BQ131" s="53"/>
      <c r="BR131" s="53"/>
      <c r="BS131" s="53"/>
      <c r="BT131" s="53"/>
      <c r="BU131" s="53"/>
      <c r="BV131" s="53"/>
      <c r="BW131" s="53"/>
    </row>
  </sheetData>
  <mergeCells count="155">
    <mergeCell ref="C127:BW127"/>
    <mergeCell ref="C128:BW128"/>
    <mergeCell ref="C129:BW129"/>
    <mergeCell ref="C130:BW130"/>
    <mergeCell ref="C131:BW131"/>
    <mergeCell ref="C115:BW115"/>
    <mergeCell ref="C116:BW116"/>
    <mergeCell ref="C117:BW117"/>
    <mergeCell ref="C118:BW118"/>
    <mergeCell ref="C119:BW119"/>
    <mergeCell ref="C120:BW120"/>
    <mergeCell ref="C121:BW121"/>
    <mergeCell ref="B123:BW124"/>
    <mergeCell ref="C126:BW126"/>
    <mergeCell ref="C107:R107"/>
    <mergeCell ref="S107:BW107"/>
    <mergeCell ref="C108:R108"/>
    <mergeCell ref="S108:BW108"/>
    <mergeCell ref="C109:R109"/>
    <mergeCell ref="S109:BW109"/>
    <mergeCell ref="C110:R110"/>
    <mergeCell ref="S110:BW110"/>
    <mergeCell ref="B112:BW113"/>
    <mergeCell ref="C102:L102"/>
    <mergeCell ref="M102:V102"/>
    <mergeCell ref="W102:BW102"/>
    <mergeCell ref="C103:L103"/>
    <mergeCell ref="M103:V103"/>
    <mergeCell ref="W103:BW103"/>
    <mergeCell ref="C105:R105"/>
    <mergeCell ref="S105:BW105"/>
    <mergeCell ref="C106:R106"/>
    <mergeCell ref="S106:BW106"/>
    <mergeCell ref="C99:L99"/>
    <mergeCell ref="M99:V99"/>
    <mergeCell ref="W99:BW99"/>
    <mergeCell ref="C100:L100"/>
    <mergeCell ref="M100:V100"/>
    <mergeCell ref="W100:BW100"/>
    <mergeCell ref="C101:L101"/>
    <mergeCell ref="M101:V101"/>
    <mergeCell ref="W101:BW101"/>
    <mergeCell ref="C96:L96"/>
    <mergeCell ref="M96:V96"/>
    <mergeCell ref="W96:BW96"/>
    <mergeCell ref="C97:L97"/>
    <mergeCell ref="M97:V97"/>
    <mergeCell ref="W97:BW97"/>
    <mergeCell ref="C98:L98"/>
    <mergeCell ref="M98:V98"/>
    <mergeCell ref="W98:BW98"/>
    <mergeCell ref="C85:BW85"/>
    <mergeCell ref="C86:BW86"/>
    <mergeCell ref="C87:BW87"/>
    <mergeCell ref="C88:BW88"/>
    <mergeCell ref="C89:BW89"/>
    <mergeCell ref="C90:BW90"/>
    <mergeCell ref="B92:BW93"/>
    <mergeCell ref="C95:L95"/>
    <mergeCell ref="M95:V95"/>
    <mergeCell ref="W95:BW95"/>
    <mergeCell ref="C79:L79"/>
    <mergeCell ref="M79:X79"/>
    <mergeCell ref="Y79:AS79"/>
    <mergeCell ref="AT79:BI79"/>
    <mergeCell ref="BJ79:BW79"/>
    <mergeCell ref="C80:L80"/>
    <mergeCell ref="M80:X80"/>
    <mergeCell ref="Y80:AS80"/>
    <mergeCell ref="AT80:BI80"/>
    <mergeCell ref="BJ80:BW80"/>
    <mergeCell ref="C77:L77"/>
    <mergeCell ref="M77:X77"/>
    <mergeCell ref="Y77:AS77"/>
    <mergeCell ref="AT77:BI77"/>
    <mergeCell ref="BJ77:BW77"/>
    <mergeCell ref="C78:L78"/>
    <mergeCell ref="M78:X78"/>
    <mergeCell ref="Y78:AS78"/>
    <mergeCell ref="AT78:BI78"/>
    <mergeCell ref="BJ78:BW78"/>
    <mergeCell ref="B47:BW48"/>
    <mergeCell ref="C66:BW66"/>
    <mergeCell ref="C67:BW67"/>
    <mergeCell ref="C68:BW68"/>
    <mergeCell ref="C69:BW69"/>
    <mergeCell ref="C70:BW70"/>
    <mergeCell ref="C71:BW71"/>
    <mergeCell ref="B73:BW74"/>
    <mergeCell ref="C76:L76"/>
    <mergeCell ref="M76:X76"/>
    <mergeCell ref="Y76:AS76"/>
    <mergeCell ref="AT76:BI76"/>
    <mergeCell ref="BJ76:BW76"/>
    <mergeCell ref="C41:R41"/>
    <mergeCell ref="S41:BW41"/>
    <mergeCell ref="C42:R42"/>
    <mergeCell ref="S42:BW42"/>
    <mergeCell ref="C43:R43"/>
    <mergeCell ref="S43:BW43"/>
    <mergeCell ref="C44:R44"/>
    <mergeCell ref="S44:BW44"/>
    <mergeCell ref="C45:R45"/>
    <mergeCell ref="S45:BW45"/>
    <mergeCell ref="C32:BW32"/>
    <mergeCell ref="C33:BW33"/>
    <mergeCell ref="B35:BW36"/>
    <mergeCell ref="C38:R38"/>
    <mergeCell ref="S38:BW38"/>
    <mergeCell ref="C39:R39"/>
    <mergeCell ref="S39:BW39"/>
    <mergeCell ref="C40:R40"/>
    <mergeCell ref="S40:BW40"/>
    <mergeCell ref="C22:P22"/>
    <mergeCell ref="Q22:AD22"/>
    <mergeCell ref="AE22:BW22"/>
    <mergeCell ref="B24:BW25"/>
    <mergeCell ref="C27:BW27"/>
    <mergeCell ref="C28:BW28"/>
    <mergeCell ref="C29:BW29"/>
    <mergeCell ref="C30:BW30"/>
    <mergeCell ref="C31:BW31"/>
    <mergeCell ref="C19:P19"/>
    <mergeCell ref="Q19:AD19"/>
    <mergeCell ref="AE19:BW19"/>
    <mergeCell ref="C20:P20"/>
    <mergeCell ref="Q20:AD20"/>
    <mergeCell ref="AE20:BW20"/>
    <mergeCell ref="C21:P21"/>
    <mergeCell ref="Q21:AD21"/>
    <mergeCell ref="AE21:BW21"/>
    <mergeCell ref="B1:BW2"/>
    <mergeCell ref="B4:BW5"/>
    <mergeCell ref="B14:BW15"/>
    <mergeCell ref="C17:P17"/>
    <mergeCell ref="Q17:AD17"/>
    <mergeCell ref="AE17:BW17"/>
    <mergeCell ref="C18:P18"/>
    <mergeCell ref="Q18:AD18"/>
    <mergeCell ref="AE18:BW18"/>
    <mergeCell ref="C81:L81"/>
    <mergeCell ref="M81:X81"/>
    <mergeCell ref="Y81:AS81"/>
    <mergeCell ref="AT81:BI81"/>
    <mergeCell ref="BJ81:BW81"/>
    <mergeCell ref="C82:L82"/>
    <mergeCell ref="M82:X82"/>
    <mergeCell ref="Y82:AS82"/>
    <mergeCell ref="AT82:BI82"/>
    <mergeCell ref="BJ82:BW82"/>
    <mergeCell ref="C83:L83"/>
    <mergeCell ref="M83:X83"/>
    <mergeCell ref="Y83:AS83"/>
    <mergeCell ref="AT83:BI83"/>
    <mergeCell ref="BJ83:BW83"/>
  </mergeCells>
  <phoneticPr fontId="35"/>
  <printOptions horizontalCentered="1"/>
  <pageMargins left="0.4" right="0.4" top="0.4" bottom="0.4" header="0.3" footer="0.3"/>
  <pageSetup paperSize="8" fitToHeight="0" orientation="landscape"/>
  <rowBreaks count="2" manualBreakCount="2">
    <brk id="46" max="16383" man="1"/>
    <brk id="91" max="16383" man="1"/>
  </rowBreak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15C92"/>
    <pageSetUpPr fitToPage="1"/>
  </sheetPr>
  <dimension ref="A1:DL51"/>
  <sheetViews>
    <sheetView zoomScale="80" zoomScaleNormal="80" workbookViewId="0"/>
  </sheetViews>
  <sheetFormatPr defaultRowHeight="15" customHeight="1" x14ac:dyDescent="0.25"/>
  <cols>
    <col min="1" max="161" width="2.80859375" customWidth="1"/>
  </cols>
  <sheetData>
    <row r="1" ht="15" customHeight="1" x14ac:dyDescent="0.25">
      <c r="A1" s="1"/>
      <c r="C1" s="54" t="str">
        <f>文書名</f>
        <v>システム構成図</v>
      </c>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J1" s="56" t="s">
        <v>69</v>
      </c>
      <c r="AK1" s="56"/>
      <c r="AL1" s="56"/>
      <c r="AM1" s="56"/>
      <c r="AN1" s="56"/>
      <c r="AO1" s="56" t="s">
        <v>6</v>
      </c>
      <c r="AP1" s="56"/>
      <c r="AQ1" s="56"/>
      <c r="AR1" s="56"/>
      <c r="AS1" s="56"/>
      <c r="AT1" s="56"/>
      <c r="AU1" s="56"/>
      <c r="AV1" s="56"/>
      <c r="AW1" s="56"/>
      <c r="AX1" s="56"/>
      <c r="AY1" s="56"/>
      <c r="AZ1" s="56"/>
      <c r="BA1" s="56"/>
      <c r="BB1" s="56" t="s">
        <v>10</v>
      </c>
      <c r="BC1" s="56"/>
      <c r="BD1" s="56"/>
      <c r="BE1" s="56"/>
      <c r="BF1" s="56" t="s">
        <v>12</v>
      </c>
      <c r="BG1" s="56"/>
      <c r="BH1" s="56"/>
      <c r="BI1" s="56"/>
      <c r="BJ1" s="56"/>
      <c r="BK1" s="56"/>
      <c r="BL1" s="56" t="s">
        <v>70</v>
      </c>
      <c r="BM1" s="56"/>
      <c r="BN1" s="56"/>
      <c r="BO1" s="56"/>
      <c r="BP1" s="56"/>
      <c r="BQ1" s="56"/>
      <c r="BR1" s="56" t="s">
        <v>14</v>
      </c>
      <c r="BS1" s="56"/>
      <c r="BT1" s="56"/>
      <c r="BU1" s="56"/>
      <c r="BV1" s="56"/>
      <c r="BW1" s="56"/>
      <c r="BX1" s="56"/>
      <c r="CA1" s="60" t="s">
        <v>72</v>
      </c>
      <c r="CB1" s="60"/>
      <c r="CC1" s="60"/>
      <c r="CD1" s="60"/>
      <c r="CE1" s="60"/>
      <c r="CF1" s="60"/>
      <c r="CG1" s="60"/>
      <c r="CH1" s="60"/>
      <c r="CI1" s="60"/>
      <c r="CJ1" s="60"/>
      <c r="CK1" s="60"/>
      <c r="CL1" s="60"/>
      <c r="CM1" s="60"/>
      <c r="CN1" s="60"/>
      <c r="CO1" s="60"/>
      <c r="CP1" s="60"/>
      <c r="CQ1" s="60"/>
      <c r="CR1" s="60"/>
      <c r="CS1" s="60"/>
      <c r="CT1" s="60"/>
      <c r="CU1" s="60"/>
      <c r="CV1" s="60"/>
      <c r="CW1" s="60"/>
      <c r="CX1" s="60"/>
      <c r="CY1" s="60"/>
      <c r="CZ1" s="60"/>
      <c r="DA1" s="60"/>
      <c r="DB1" s="60"/>
      <c r="DC1" s="60"/>
      <c r="DD1" s="60"/>
      <c r="DE1" s="60"/>
      <c r="DF1" s="60"/>
      <c r="DG1" s="60"/>
      <c r="DH1" s="60"/>
      <c r="DI1" s="60"/>
      <c r="DJ1" s="60"/>
      <c r="DK1" s="60"/>
      <c r="DL1" s="60"/>
    </row>
    <row r="2" ht="15" customHeight="1" x14ac:dyDescent="0.25">
      <c r="A2" s="1"/>
      <c r="C2" s="54"/>
      <c r="D2" s="54"/>
      <c r="E2" s="54"/>
      <c r="F2" s="54"/>
      <c r="G2" s="54"/>
      <c r="H2" s="54"/>
      <c r="I2" s="54"/>
      <c r="J2" s="54"/>
      <c r="K2" s="54"/>
      <c r="L2" s="54"/>
      <c r="M2" s="54"/>
      <c r="N2" s="54"/>
      <c r="O2" s="54"/>
      <c r="P2" s="54"/>
      <c r="Q2" s="54"/>
      <c r="R2" s="54"/>
      <c r="S2" s="54"/>
      <c r="T2" s="54"/>
      <c r="U2" s="54"/>
      <c r="V2" s="54"/>
      <c r="W2" s="54"/>
      <c r="X2" s="54"/>
      <c r="Y2" s="54"/>
      <c r="Z2" s="54"/>
      <c r="AA2" s="54"/>
      <c r="AB2" s="54"/>
      <c r="AC2" s="54"/>
      <c r="AD2" s="54"/>
      <c r="AE2" s="54"/>
      <c r="AF2" s="54"/>
      <c r="AG2" s="54"/>
      <c r="AH2" s="54"/>
      <c r="AJ2" s="57" t="s">
        <v>71</v>
      </c>
      <c r="AK2" s="57"/>
      <c r="AL2" s="57"/>
      <c r="AM2" s="57"/>
      <c r="AN2" s="57"/>
      <c r="AO2" s="58" t="str">
        <f>IF(システム名="","",システム名)</f>
        <v>○○システム</v>
      </c>
      <c r="AP2" s="58"/>
      <c r="AQ2" s="58"/>
      <c r="AR2" s="58"/>
      <c r="AS2" s="58"/>
      <c r="AT2" s="58"/>
      <c r="AU2" s="58"/>
      <c r="AV2" s="58"/>
      <c r="AW2" s="58"/>
      <c r="AX2" s="58"/>
      <c r="AY2" s="58"/>
      <c r="AZ2" s="58"/>
      <c r="BA2" s="58"/>
      <c r="BB2" s="58" t="str">
        <f>IF(版数="","",版数)</f>
        <v>1.0</v>
      </c>
      <c r="BC2" s="58"/>
      <c r="BD2" s="58"/>
      <c r="BE2" s="58"/>
      <c r="BF2" s="59">
        <f>IF(作成日="","",作成日)</f>
        <v>46298</v>
      </c>
      <c r="BG2" s="59"/>
      <c r="BH2" s="59"/>
      <c r="BI2" s="59"/>
      <c r="BJ2" s="59"/>
      <c r="BK2" s="59"/>
      <c r="BL2" s="59">
        <f>IF(更新日="","",更新日)</f>
        <v>46298</v>
      </c>
      <c r="BM2" s="59"/>
      <c r="BN2" s="59"/>
      <c r="BO2" s="59"/>
      <c r="BP2" s="59"/>
      <c r="BQ2" s="59"/>
      <c r="BR2" s="58" t="str">
        <f>IF(作成者="","",作成者)</f>
        <v>（氏名）</v>
      </c>
      <c r="BS2" s="58"/>
      <c r="BT2" s="58"/>
      <c r="BU2" s="58"/>
      <c r="BV2" s="58"/>
      <c r="BW2" s="58"/>
      <c r="BX2" s="58"/>
      <c r="CA2" s="60"/>
      <c r="CB2" s="60"/>
      <c r="CC2" s="60"/>
      <c r="CD2" s="60"/>
      <c r="CE2" s="60"/>
      <c r="CF2" s="60"/>
      <c r="CG2" s="60"/>
      <c r="CH2" s="60"/>
      <c r="CI2" s="60"/>
      <c r="CJ2" s="60"/>
      <c r="CK2" s="60"/>
      <c r="CL2" s="60"/>
      <c r="CM2" s="60"/>
      <c r="CN2" s="60"/>
      <c r="CO2" s="60"/>
      <c r="CP2" s="60"/>
      <c r="CQ2" s="60"/>
      <c r="CR2" s="60"/>
      <c r="CS2" s="60"/>
      <c r="CT2" s="60"/>
      <c r="CU2" s="60"/>
      <c r="CV2" s="60"/>
      <c r="CW2" s="60"/>
      <c r="CX2" s="60"/>
      <c r="CY2" s="60"/>
      <c r="CZ2" s="60"/>
      <c r="DA2" s="60"/>
      <c r="DB2" s="60"/>
      <c r="DC2" s="60"/>
      <c r="DD2" s="60"/>
      <c r="DE2" s="60"/>
      <c r="DF2" s="60"/>
      <c r="DG2" s="60"/>
      <c r="DH2" s="60"/>
      <c r="DI2" s="60"/>
      <c r="DJ2" s="60"/>
      <c r="DK2" s="60"/>
      <c r="DL2" s="60"/>
    </row>
    <row r="3" ht="15" customHeight="1" x14ac:dyDescent="0.25">
      <c r="A3" s="1"/>
      <c r="C3" s="55" t="s">
        <v>68</v>
      </c>
      <c r="D3" s="55"/>
      <c r="E3" s="55"/>
      <c r="F3" s="55"/>
      <c r="G3" s="55"/>
      <c r="H3" s="55"/>
      <c r="I3" s="55"/>
      <c r="J3" s="55"/>
      <c r="K3" s="55"/>
      <c r="L3" s="55"/>
      <c r="M3" s="55"/>
      <c r="N3" s="55"/>
      <c r="O3" s="55"/>
      <c r="P3" s="55"/>
      <c r="Q3" s="55"/>
      <c r="R3" s="55"/>
      <c r="S3" s="55"/>
      <c r="T3" s="55"/>
      <c r="U3" s="55"/>
      <c r="V3" s="55"/>
      <c r="W3" s="55"/>
      <c r="X3" s="55"/>
      <c r="Y3" s="55"/>
      <c r="Z3" s="55"/>
      <c r="AA3" s="55"/>
      <c r="AB3" s="55"/>
      <c r="AC3" s="55"/>
      <c r="AD3" s="55"/>
      <c r="AE3" s="55"/>
      <c r="AF3" s="55"/>
      <c r="AG3" s="55"/>
      <c r="AH3" s="55"/>
      <c r="AJ3" s="57"/>
      <c r="AK3" s="57"/>
      <c r="AL3" s="57"/>
      <c r="AM3" s="57"/>
      <c r="AN3" s="57"/>
      <c r="AO3" s="58"/>
      <c r="AP3" s="58"/>
      <c r="AQ3" s="58"/>
      <c r="AR3" s="58"/>
      <c r="AS3" s="58"/>
      <c r="AT3" s="58"/>
      <c r="AU3" s="58"/>
      <c r="AV3" s="58"/>
      <c r="AW3" s="58"/>
      <c r="AX3" s="58"/>
      <c r="AY3" s="58"/>
      <c r="AZ3" s="58"/>
      <c r="BA3" s="58"/>
      <c r="BB3" s="58"/>
      <c r="BC3" s="58"/>
      <c r="BD3" s="58"/>
      <c r="BE3" s="58"/>
      <c r="BF3" s="59"/>
      <c r="BG3" s="59"/>
      <c r="BH3" s="59"/>
      <c r="BI3" s="59"/>
      <c r="BJ3" s="59"/>
      <c r="BK3" s="59"/>
      <c r="BL3" s="59"/>
      <c r="BM3" s="59"/>
      <c r="BN3" s="59"/>
      <c r="BO3" s="59"/>
      <c r="BP3" s="59"/>
      <c r="BQ3" s="59"/>
      <c r="BR3" s="58"/>
      <c r="BS3" s="58"/>
      <c r="BT3" s="58"/>
      <c r="BU3" s="58"/>
      <c r="BV3" s="58"/>
      <c r="BW3" s="58"/>
      <c r="BX3" s="58"/>
      <c r="CA3" s="61" t="s">
        <v>73</v>
      </c>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row>
    <row r="5" ht="15" customHeight="1" x14ac:dyDescent="0.25">
      <c r="A5" s="7"/>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9"/>
      <c r="CA5" s="62" t="s">
        <v>74</v>
      </c>
      <c r="CB5" s="62"/>
      <c r="CC5" s="62"/>
      <c r="CD5" s="62"/>
      <c r="CE5" s="62"/>
      <c r="CF5" s="62"/>
      <c r="CG5" s="62"/>
      <c r="CH5" s="62"/>
      <c r="CJ5" s="63" t="s">
        <v>75</v>
      </c>
      <c r="CK5" s="63"/>
      <c r="CL5" s="63"/>
      <c r="CM5" s="63"/>
      <c r="CN5" s="63"/>
      <c r="CO5" s="63"/>
      <c r="CP5" s="63"/>
      <c r="CQ5" s="63"/>
      <c r="CS5" s="64" t="s">
        <v>76</v>
      </c>
      <c r="CT5" s="64"/>
      <c r="CU5" s="64"/>
      <c r="CV5" s="64"/>
      <c r="CW5" s="64"/>
      <c r="CX5" s="64"/>
      <c r="CY5" s="64"/>
      <c r="CZ5" s="64"/>
      <c r="DB5" s="65" t="s">
        <v>77</v>
      </c>
      <c r="DC5" s="65"/>
      <c r="DD5" s="65"/>
      <c r="DE5" s="65"/>
      <c r="DF5" s="65"/>
      <c r="DG5" s="65"/>
      <c r="DH5" s="65"/>
      <c r="DI5" s="65"/>
      <c r="DK5" s="80" t="s">
        <v>465</v>
      </c>
      <c r="DL5" s="80"/>
      <c r="DM5" s="80"/>
      <c r="DN5" s="80"/>
      <c r="DO5" s="80"/>
      <c r="DP5" s="80"/>
      <c r="DQ5" s="80"/>
      <c r="DR5" s="80"/>
      <c r="DT5" s="84" t="s">
        <v>469</v>
      </c>
      <c r="DU5" s="84"/>
      <c r="DV5" s="84"/>
      <c r="DW5" s="84"/>
      <c r="DX5" s="84"/>
      <c r="DY5" s="84"/>
      <c r="DZ5" s="84"/>
      <c r="EA5" s="84"/>
      <c r="EC5" s="88" t="s">
        <v>473</v>
      </c>
      <c r="ED5" s="88"/>
      <c r="EE5" s="88"/>
      <c r="EF5" s="88"/>
      <c r="EG5" s="88"/>
      <c r="EH5" s="88"/>
      <c r="EI5" s="88"/>
      <c r="EJ5" s="88"/>
    </row>
    <row r="6" ht="15" customHeight="1" x14ac:dyDescent="0.25">
      <c r="A6" s="10"/>
      <c r="BX6" s="11"/>
      <c r="CA6" s="66" t="s">
        <v>78</v>
      </c>
      <c r="CB6" s="66"/>
      <c r="CC6" s="66"/>
      <c r="CD6" s="66"/>
      <c r="CE6" s="66"/>
      <c r="CF6" s="66"/>
      <c r="CG6" s="66"/>
      <c r="CH6" s="66"/>
      <c r="CI6" s="66"/>
      <c r="CJ6" s="66"/>
      <c r="CK6" s="66"/>
      <c r="CL6" s="66"/>
      <c r="CM6" s="66"/>
      <c r="CN6" s="66"/>
      <c r="CO6" s="66"/>
      <c r="CP6" s="66"/>
      <c r="CQ6" s="66"/>
      <c r="CR6" s="66"/>
      <c r="CS6" s="66"/>
      <c r="CT6" s="66"/>
      <c r="CU6" s="66"/>
      <c r="CV6" s="66"/>
      <c r="CW6" s="66"/>
      <c r="CX6" s="66"/>
      <c r="CY6" s="66"/>
      <c r="CZ6" s="66"/>
      <c r="DA6" s="66"/>
      <c r="DB6" s="66"/>
      <c r="DC6" s="66"/>
      <c r="DD6" s="66"/>
      <c r="DE6" s="66"/>
      <c r="DF6" s="66"/>
      <c r="DG6" s="66"/>
      <c r="DH6" s="66"/>
      <c r="DI6" s="66"/>
      <c r="DJ6" s="66"/>
      <c r="DK6" s="66"/>
      <c r="DL6" s="66"/>
    </row>
    <row r="7" ht="15" customHeight="1" x14ac:dyDescent="0.25">
      <c r="A7" s="10"/>
      <c r="BX7" s="11"/>
    </row>
    <row r="8" ht="15" customHeight="1" x14ac:dyDescent="0.25">
      <c r="A8" s="10"/>
      <c r="BX8" s="11"/>
    </row>
    <row r="9" ht="15" customHeight="1" x14ac:dyDescent="0.25">
      <c r="A9" s="10"/>
      <c r="BX9" s="11"/>
    </row>
    <row r="10" ht="15" customHeight="1" x14ac:dyDescent="0.25">
      <c r="A10" s="10"/>
      <c r="BX10" s="11"/>
    </row>
    <row r="11" ht="15" customHeight="1" x14ac:dyDescent="0.25">
      <c r="A11" s="10"/>
      <c r="BX11" s="11"/>
    </row>
    <row r="12" ht="15" customHeight="1" x14ac:dyDescent="0.25">
      <c r="A12" s="10"/>
      <c r="BX12" s="11"/>
    </row>
    <row r="13" ht="15" customHeight="1" x14ac:dyDescent="0.25">
      <c r="A13" s="10"/>
      <c r="BX13" s="11"/>
    </row>
    <row r="14" ht="15" customHeight="1" x14ac:dyDescent="0.25">
      <c r="A14" s="10"/>
      <c r="BX14" s="11"/>
    </row>
    <row r="15" ht="15" customHeight="1" x14ac:dyDescent="0.25">
      <c r="A15" s="10"/>
      <c r="BX15" s="11"/>
    </row>
    <row r="16" ht="15" customHeight="1" x14ac:dyDescent="0.25">
      <c r="A16" s="10"/>
      <c r="BX16" s="11"/>
    </row>
    <row r="17" ht="15" customHeight="1" x14ac:dyDescent="0.25">
      <c r="A17" s="10"/>
      <c r="BX17" s="11"/>
    </row>
    <row r="18" ht="15" customHeight="1" x14ac:dyDescent="0.25">
      <c r="A18" s="10"/>
      <c r="BX18" s="11"/>
    </row>
    <row r="19" ht="15" customHeight="1" x14ac:dyDescent="0.25">
      <c r="A19" s="10"/>
      <c r="BX19" s="11"/>
    </row>
    <row r="20" ht="15" customHeight="1" x14ac:dyDescent="0.25">
      <c r="A20" s="10"/>
      <c r="BX20" s="11"/>
    </row>
    <row r="21" ht="15" customHeight="1" x14ac:dyDescent="0.25">
      <c r="A21" s="10"/>
      <c r="BX21" s="11"/>
    </row>
    <row r="22" ht="15" customHeight="1" x14ac:dyDescent="0.25">
      <c r="A22" s="10"/>
      <c r="BX22" s="11"/>
    </row>
    <row r="23" ht="15" customHeight="1" x14ac:dyDescent="0.25">
      <c r="A23" s="10"/>
      <c r="BX23" s="11"/>
    </row>
    <row r="24" ht="15" customHeight="1" x14ac:dyDescent="0.25">
      <c r="A24" s="10"/>
      <c r="BX24" s="11"/>
    </row>
    <row r="25" ht="15" customHeight="1" x14ac:dyDescent="0.25">
      <c r="A25" s="10"/>
      <c r="BX25" s="11"/>
    </row>
    <row r="26" ht="15" customHeight="1" x14ac:dyDescent="0.25">
      <c r="A26" s="10"/>
      <c r="BX26" s="11"/>
    </row>
    <row r="27" ht="15" customHeight="1" x14ac:dyDescent="0.25">
      <c r="A27" s="10"/>
      <c r="BX27" s="11"/>
      <c r="CA27" s="66" t="s">
        <v>79</v>
      </c>
      <c r="CB27" s="66"/>
      <c r="CC27" s="66"/>
      <c r="CD27" s="66"/>
      <c r="CE27" s="66"/>
      <c r="CF27" s="66"/>
      <c r="CG27" s="66"/>
      <c r="CH27" s="66"/>
      <c r="CI27" s="66"/>
      <c r="CJ27" s="66"/>
      <c r="CK27" s="66"/>
      <c r="CL27" s="66"/>
      <c r="CM27" s="66"/>
      <c r="CN27" s="66"/>
      <c r="CO27" s="66"/>
      <c r="CP27" s="66"/>
      <c r="CQ27" s="66"/>
      <c r="CR27" s="66"/>
      <c r="CS27" s="66"/>
      <c r="CT27" s="66"/>
      <c r="CU27" s="66"/>
      <c r="CV27" s="66"/>
      <c r="CW27" s="66"/>
      <c r="CX27" s="66"/>
      <c r="CY27" s="66"/>
      <c r="CZ27" s="66"/>
      <c r="DA27" s="66"/>
      <c r="DB27" s="66"/>
      <c r="DC27" s="66"/>
      <c r="DD27" s="66"/>
      <c r="DE27" s="66"/>
      <c r="DF27" s="66"/>
      <c r="DG27" s="66"/>
      <c r="DH27" s="66"/>
      <c r="DI27" s="66"/>
      <c r="DJ27" s="66"/>
      <c r="DK27" s="66"/>
      <c r="DL27" s="66"/>
    </row>
    <row r="28" ht="15" customHeight="1" x14ac:dyDescent="0.25">
      <c r="A28" s="10"/>
      <c r="BX28" s="11"/>
    </row>
    <row r="29" ht="15" customHeight="1" x14ac:dyDescent="0.25">
      <c r="A29" s="10"/>
      <c r="BX29" s="11"/>
    </row>
    <row r="30" ht="15" customHeight="1" x14ac:dyDescent="0.25">
      <c r="A30" s="10"/>
      <c r="BX30" s="11"/>
    </row>
    <row r="31" ht="15" customHeight="1" x14ac:dyDescent="0.25">
      <c r="A31" s="10"/>
      <c r="BX31" s="11"/>
    </row>
    <row r="32" ht="15" customHeight="1" x14ac:dyDescent="0.25">
      <c r="A32" s="10"/>
      <c r="BX32" s="11"/>
    </row>
    <row r="33" ht="15" customHeight="1" x14ac:dyDescent="0.25">
      <c r="A33" s="10"/>
      <c r="BX33" s="11"/>
    </row>
    <row r="34" ht="15" customHeight="1" x14ac:dyDescent="0.25">
      <c r="A34" s="10"/>
      <c r="BX34" s="11"/>
      <c r="CA34" s="66" t="s">
        <v>80</v>
      </c>
      <c r="CB34" s="66"/>
      <c r="CC34" s="66"/>
      <c r="CD34" s="66"/>
      <c r="CE34" s="66"/>
      <c r="CF34" s="66"/>
      <c r="CG34" s="66"/>
      <c r="CH34" s="66"/>
      <c r="CI34" s="66"/>
      <c r="CJ34" s="66"/>
      <c r="CK34" s="66"/>
      <c r="CL34" s="66"/>
      <c r="CM34" s="66"/>
      <c r="CN34" s="66"/>
      <c r="CO34" s="66"/>
      <c r="CP34" s="66"/>
      <c r="CQ34" s="66"/>
      <c r="CR34" s="66"/>
      <c r="CS34" s="66"/>
      <c r="CT34" s="66"/>
      <c r="CU34" s="66"/>
      <c r="CV34" s="66"/>
      <c r="CW34" s="66"/>
      <c r="CX34" s="66"/>
      <c r="CY34" s="66"/>
      <c r="CZ34" s="66"/>
      <c r="DA34" s="66"/>
      <c r="DB34" s="66"/>
      <c r="DC34" s="66"/>
      <c r="DD34" s="66"/>
      <c r="DE34" s="66"/>
      <c r="DF34" s="66"/>
      <c r="DG34" s="66"/>
      <c r="DH34" s="66"/>
      <c r="DI34" s="66"/>
      <c r="DJ34" s="66"/>
      <c r="DK34" s="66"/>
      <c r="DL34" s="66"/>
    </row>
    <row r="35" ht="15" customHeight="1" x14ac:dyDescent="0.25">
      <c r="A35" s="10"/>
      <c r="BX35" s="11"/>
    </row>
    <row r="36" ht="15" customHeight="1" x14ac:dyDescent="0.25">
      <c r="A36" s="10"/>
      <c r="BX36" s="11"/>
    </row>
    <row r="37" ht="15" customHeight="1" x14ac:dyDescent="0.25">
      <c r="A37" s="10"/>
      <c r="BX37" s="11"/>
    </row>
    <row r="38" ht="15" customHeight="1" x14ac:dyDescent="0.25">
      <c r="A38" s="10"/>
      <c r="BX38" s="11"/>
    </row>
    <row r="39" ht="15" customHeight="1" x14ac:dyDescent="0.25">
      <c r="A39" s="10"/>
      <c r="BX39" s="11"/>
    </row>
    <row r="40" ht="15" customHeight="1" x14ac:dyDescent="0.25">
      <c r="A40" s="10"/>
      <c r="BX40" s="11"/>
    </row>
    <row r="41" ht="15" customHeight="1" x14ac:dyDescent="0.25">
      <c r="A41" s="10"/>
      <c r="BX41" s="11"/>
    </row>
    <row r="42" ht="15" customHeight="1" x14ac:dyDescent="0.25">
      <c r="A42" s="10"/>
      <c r="BX42" s="11"/>
    </row>
    <row r="43" ht="15" customHeight="1" x14ac:dyDescent="0.25">
      <c r="A43" s="10"/>
      <c r="BX43" s="11"/>
    </row>
    <row r="44" ht="15" customHeight="1" x14ac:dyDescent="0.25">
      <c r="A44" s="10"/>
      <c r="BX44" s="11"/>
    </row>
    <row r="45" ht="15" customHeight="1" x14ac:dyDescent="0.25">
      <c r="A45" s="10"/>
      <c r="BX45" s="11"/>
    </row>
    <row r="46" ht="15" customHeight="1" x14ac:dyDescent="0.25">
      <c r="A46" s="10"/>
      <c r="BX46" s="11"/>
    </row>
    <row r="47" ht="15" customHeight="1" x14ac:dyDescent="0.25">
      <c r="A47" s="10"/>
      <c r="BX47" s="11"/>
      <c r="CA47" s="66" t="s">
        <v>81</v>
      </c>
      <c r="CB47" s="66"/>
      <c r="CC47" s="66"/>
      <c r="CD47" s="66"/>
      <c r="CE47" s="66"/>
      <c r="CF47" s="66"/>
      <c r="CG47" s="66"/>
      <c r="CH47" s="66"/>
      <c r="CI47" s="66"/>
      <c r="CJ47" s="66"/>
      <c r="CK47" s="66"/>
      <c r="CL47" s="66"/>
      <c r="CM47" s="66"/>
      <c r="CN47" s="66"/>
      <c r="CO47" s="66"/>
      <c r="CP47" s="66"/>
      <c r="CQ47" s="66"/>
      <c r="CR47" s="66"/>
      <c r="CS47" s="66"/>
      <c r="CT47" s="66"/>
      <c r="CU47" s="66"/>
      <c r="CV47" s="66"/>
      <c r="CW47" s="66"/>
      <c r="CX47" s="66"/>
      <c r="CY47" s="66"/>
      <c r="CZ47" s="66"/>
      <c r="DA47" s="66"/>
      <c r="DB47" s="66"/>
      <c r="DC47" s="66"/>
      <c r="DD47" s="66"/>
      <c r="DE47" s="66"/>
      <c r="DF47" s="66"/>
      <c r="DG47" s="66"/>
      <c r="DH47" s="66"/>
      <c r="DI47" s="66"/>
      <c r="DJ47" s="66"/>
      <c r="DK47" s="66"/>
      <c r="DL47" s="66"/>
    </row>
    <row r="48" ht="15" customHeight="1" x14ac:dyDescent="0.25">
      <c r="A48" s="10"/>
      <c r="BX48" s="11"/>
    </row>
    <row r="49" ht="15" x14ac:dyDescent="0.25" customHeight="1">
      <c r="A49" s="10"/>
      <c r="BX49" s="11"/>
    </row>
    <row r="50" ht="15" x14ac:dyDescent="0.25" customHeight="1">
      <c r="A50" s="12"/>
      <c r="B50" s="13"/>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3"/>
      <c r="AM50" s="13"/>
      <c r="AN50" s="13"/>
      <c r="AO50" s="13"/>
      <c r="AP50" s="13"/>
      <c r="AQ50" s="13"/>
      <c r="AR50" s="13"/>
      <c r="AS50" s="13"/>
      <c r="AT50" s="13"/>
      <c r="AU50" s="13"/>
      <c r="AV50" s="13"/>
      <c r="AW50" s="13"/>
      <c r="AX50" s="13"/>
      <c r="AY50" s="13"/>
      <c r="AZ50" s="13"/>
      <c r="BA50" s="13"/>
      <c r="BB50" s="13"/>
      <c r="BC50" s="13"/>
      <c r="BD50" s="13"/>
      <c r="BE50" s="13"/>
      <c r="BF50" s="13"/>
      <c r="BG50" s="13"/>
      <c r="BH50" s="13"/>
      <c r="BI50" s="13"/>
      <c r="BJ50" s="13"/>
      <c r="BK50" s="13"/>
      <c r="BL50" s="13"/>
      <c r="BM50" s="13"/>
      <c r="BN50" s="13"/>
      <c r="BO50" s="13"/>
      <c r="BP50" s="13"/>
      <c r="BQ50" s="13"/>
      <c r="BR50" s="13"/>
      <c r="BS50" s="13"/>
      <c r="BT50" s="13"/>
      <c r="BU50" s="13"/>
      <c r="BV50" s="13"/>
      <c r="BW50" s="13"/>
      <c r="BX50" s="14"/>
    </row>
    <row r="51" ht="15" x14ac:dyDescent="0.25" customHeight="1">
      <c r="B51" s="21" t="str">
        <f>"機密区分："&amp;機密区分</f>
        <v>機密区分：社外秘</v>
      </c>
      <c r="C51" s="21"/>
      <c r="D51" s="21"/>
      <c r="E51" s="21"/>
      <c r="F51" s="21"/>
      <c r="G51" s="21"/>
      <c r="H51" s="21"/>
      <c r="I51" s="21"/>
      <c r="J51" s="21"/>
      <c r="K51" s="21"/>
      <c r="L51" s="21"/>
      <c r="M51" s="21"/>
      <c r="N51" s="21"/>
      <c r="O51" s="21"/>
      <c r="P51" s="21"/>
      <c r="Q51" s="21"/>
      <c r="R51" s="21"/>
      <c r="S51" s="21"/>
      <c r="T51" s="21"/>
      <c r="U51" s="21"/>
      <c r="V51" s="21"/>
      <c r="W51" s="21"/>
      <c r="X51" s="21"/>
      <c r="Y51" s="21"/>
      <c r="Z51" s="46" t="str">
        <f>IF(会社名="","",会社名)</f>
        <v>（会社名・部署名）</v>
      </c>
      <c r="AA51" s="46"/>
      <c r="AB51" s="46"/>
      <c r="AC51" s="46"/>
      <c r="AD51" s="46"/>
      <c r="AE51" s="46"/>
      <c r="AF51" s="46"/>
      <c r="AG51" s="46"/>
      <c r="AH51" s="46"/>
      <c r="AI51" s="46"/>
      <c r="AJ51" s="46"/>
      <c r="AK51" s="46"/>
      <c r="AL51" s="46"/>
      <c r="AM51" s="46"/>
      <c r="AN51" s="46"/>
      <c r="AO51" s="46"/>
      <c r="AP51" s="46"/>
      <c r="AQ51" s="46"/>
      <c r="AR51" s="46"/>
      <c r="AS51" s="46"/>
      <c r="AT51" s="46"/>
      <c r="AU51" s="46"/>
      <c r="AV51" s="46"/>
      <c r="AW51" s="46"/>
      <c r="AX51" s="46"/>
      <c r="AY51" s="46"/>
      <c r="AZ51" s="47" t="str">
        <f>"文書番号："&amp;文書番号&amp;"　版数："&amp;版数</f>
        <v>文書番号：ARC-0002　版数：1.0</v>
      </c>
      <c r="BA51" s="47"/>
      <c r="BB51" s="47"/>
      <c r="BC51" s="47"/>
      <c r="BD51" s="47"/>
      <c r="BE51" s="47"/>
      <c r="BF51" s="47"/>
      <c r="BG51" s="47"/>
      <c r="BH51" s="47"/>
      <c r="BI51" s="47"/>
      <c r="BJ51" s="47"/>
      <c r="BK51" s="47"/>
      <c r="BL51" s="47"/>
      <c r="BM51" s="47"/>
      <c r="BN51" s="47"/>
      <c r="BO51" s="47"/>
      <c r="BP51" s="47"/>
      <c r="BQ51" s="47"/>
      <c r="BR51" s="47"/>
      <c r="BS51" s="47"/>
      <c r="BT51" s="47"/>
      <c r="BU51" s="47"/>
      <c r="BV51" s="47"/>
      <c r="BW51" s="47"/>
      <c r="BX51" s="47"/>
    </row>
  </sheetData>
  <mergeCells count="30">
    <mergeCell ref="B51:Y51"/>
    <mergeCell ref="Z51:AY51"/>
    <mergeCell ref="AZ51:BX51"/>
    <mergeCell ref="CA1:EJ2"/>
    <mergeCell ref="CA3:EJ3"/>
    <mergeCell ref="CA5:CH5"/>
    <mergeCell ref="CJ5:CQ5"/>
    <mergeCell ref="CS5:CZ5"/>
    <mergeCell ref="DB5:DI5"/>
    <mergeCell ref="CA6:EJ6"/>
    <mergeCell ref="CA27:EJ27"/>
    <mergeCell ref="CA34:EJ34"/>
    <mergeCell ref="CA47:EJ47"/>
    <mergeCell ref="BF1:BK1"/>
    <mergeCell ref="BL1:BQ1"/>
    <mergeCell ref="BR1:BX1"/>
    <mergeCell ref="AJ2:AN3"/>
    <mergeCell ref="AO2:BA3"/>
    <mergeCell ref="BB2:BE3"/>
    <mergeCell ref="BF2:BK3"/>
    <mergeCell ref="BL2:BQ3"/>
    <mergeCell ref="BR2:BX3"/>
    <mergeCell ref="C1:AH2"/>
    <mergeCell ref="C3:AH3"/>
    <mergeCell ref="AJ1:AN1"/>
    <mergeCell ref="AO1:BA1"/>
    <mergeCell ref="BB1:BE1"/>
    <mergeCell ref="DK5:DR5"/>
    <mergeCell ref="DT5:EA5"/>
    <mergeCell ref="EC5:EJ5"/>
  </mergeCells>
  <phoneticPr fontId="35"/>
  <printOptions horizontalCentered="1"/>
  <pageMargins left="0.4" right="0.4" top="0.4" bottom="0.4" header="0.3" footer="0.3"/>
  <pageSetup paperSize="8"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95959"/>
    <pageSetUpPr fitToPage="1"/>
  </sheetPr>
  <dimension ref="A1:BX51"/>
  <sheetViews>
    <sheetView zoomScale="80" zoomScaleNormal="80" workbookViewId="0"/>
  </sheetViews>
  <sheetFormatPr defaultRowHeight="15" customHeight="1" x14ac:dyDescent="0.25"/>
  <cols>
    <col min="1" max="161" width="2.80859375" customWidth="1"/>
  </cols>
  <sheetData>
    <row r="1" ht="15" customHeight="1" x14ac:dyDescent="0.25">
      <c r="A1" s="1"/>
      <c r="C1" s="54" t="str">
        <f>文書名&amp;"　記入例"</f>
        <v>システム構成図　記入例</v>
      </c>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J1" s="56" t="s">
        <v>69</v>
      </c>
      <c r="AK1" s="56"/>
      <c r="AL1" s="56"/>
      <c r="AM1" s="56"/>
      <c r="AN1" s="56"/>
      <c r="AO1" s="56" t="s">
        <v>6</v>
      </c>
      <c r="AP1" s="56"/>
      <c r="AQ1" s="56"/>
      <c r="AR1" s="56"/>
      <c r="AS1" s="56"/>
      <c r="AT1" s="56"/>
      <c r="AU1" s="56"/>
      <c r="AV1" s="56"/>
      <c r="AW1" s="56"/>
      <c r="AX1" s="56"/>
      <c r="AY1" s="56"/>
      <c r="AZ1" s="56"/>
      <c r="BA1" s="56"/>
      <c r="BB1" s="56" t="s">
        <v>10</v>
      </c>
      <c r="BC1" s="56"/>
      <c r="BD1" s="56"/>
      <c r="BE1" s="56"/>
      <c r="BF1" s="56" t="s">
        <v>12</v>
      </c>
      <c r="BG1" s="56"/>
      <c r="BH1" s="56"/>
      <c r="BI1" s="56"/>
      <c r="BJ1" s="56"/>
      <c r="BK1" s="56"/>
      <c r="BL1" s="56" t="s">
        <v>70</v>
      </c>
      <c r="BM1" s="56"/>
      <c r="BN1" s="56"/>
      <c r="BO1" s="56"/>
      <c r="BP1" s="56"/>
      <c r="BQ1" s="56"/>
      <c r="BR1" s="56" t="s">
        <v>14</v>
      </c>
      <c r="BS1" s="56"/>
      <c r="BT1" s="56"/>
      <c r="BU1" s="56"/>
      <c r="BV1" s="56"/>
      <c r="BW1" s="56"/>
      <c r="BX1" s="56"/>
    </row>
    <row r="2" ht="15" customHeight="1" x14ac:dyDescent="0.25">
      <c r="A2" s="1"/>
      <c r="C2" s="54"/>
      <c r="D2" s="54"/>
      <c r="E2" s="54"/>
      <c r="F2" s="54"/>
      <c r="G2" s="54"/>
      <c r="H2" s="54"/>
      <c r="I2" s="54"/>
      <c r="J2" s="54"/>
      <c r="K2" s="54"/>
      <c r="L2" s="54"/>
      <c r="M2" s="54"/>
      <c r="N2" s="54"/>
      <c r="O2" s="54"/>
      <c r="P2" s="54"/>
      <c r="Q2" s="54"/>
      <c r="R2" s="54"/>
      <c r="S2" s="54"/>
      <c r="T2" s="54"/>
      <c r="U2" s="54"/>
      <c r="V2" s="54"/>
      <c r="W2" s="54"/>
      <c r="X2" s="54"/>
      <c r="Y2" s="54"/>
      <c r="Z2" s="54"/>
      <c r="AA2" s="54"/>
      <c r="AB2" s="54"/>
      <c r="AC2" s="54"/>
      <c r="AD2" s="54"/>
      <c r="AE2" s="54"/>
      <c r="AF2" s="54"/>
      <c r="AG2" s="54"/>
      <c r="AH2" s="54"/>
      <c r="AJ2" s="57" t="s">
        <v>71</v>
      </c>
      <c r="AK2" s="57"/>
      <c r="AL2" s="57"/>
      <c r="AM2" s="57"/>
      <c r="AN2" s="57"/>
      <c r="AO2" s="58" t="s">
        <v>83</v>
      </c>
      <c r="AP2" s="58"/>
      <c r="AQ2" s="58"/>
      <c r="AR2" s="58"/>
      <c r="AS2" s="58"/>
      <c r="AT2" s="58"/>
      <c r="AU2" s="58"/>
      <c r="AV2" s="58"/>
      <c r="AW2" s="58"/>
      <c r="AX2" s="58"/>
      <c r="AY2" s="58"/>
      <c r="AZ2" s="58"/>
      <c r="BA2" s="58"/>
      <c r="BB2" s="58" t="s">
        <v>11</v>
      </c>
      <c r="BC2" s="58"/>
      <c r="BD2" s="58"/>
      <c r="BE2" s="58"/>
      <c r="BF2" s="59">
        <v>46298</v>
      </c>
      <c r="BG2" s="59"/>
      <c r="BH2" s="59"/>
      <c r="BI2" s="59"/>
      <c r="BJ2" s="59"/>
      <c r="BK2" s="59"/>
      <c r="BL2" s="59">
        <v>46298</v>
      </c>
      <c r="BM2" s="59"/>
      <c r="BN2" s="59"/>
      <c r="BO2" s="59"/>
      <c r="BP2" s="59"/>
      <c r="BQ2" s="59"/>
      <c r="BR2" s="58" t="s">
        <v>84</v>
      </c>
      <c r="BS2" s="58"/>
      <c r="BT2" s="58"/>
      <c r="BU2" s="58"/>
      <c r="BV2" s="58"/>
      <c r="BW2" s="58"/>
      <c r="BX2" s="58"/>
    </row>
    <row r="3" ht="15" customHeight="1" x14ac:dyDescent="0.25">
      <c r="A3" s="1"/>
      <c r="C3" s="55" t="s">
        <v>82</v>
      </c>
      <c r="D3" s="55"/>
      <c r="E3" s="55"/>
      <c r="F3" s="55"/>
      <c r="G3" s="55"/>
      <c r="H3" s="55"/>
      <c r="I3" s="55"/>
      <c r="J3" s="55"/>
      <c r="K3" s="55"/>
      <c r="L3" s="55"/>
      <c r="M3" s="55"/>
      <c r="N3" s="55"/>
      <c r="O3" s="55"/>
      <c r="P3" s="55"/>
      <c r="Q3" s="55"/>
      <c r="R3" s="55"/>
      <c r="S3" s="55"/>
      <c r="T3" s="55"/>
      <c r="U3" s="55"/>
      <c r="V3" s="55"/>
      <c r="W3" s="55"/>
      <c r="X3" s="55"/>
      <c r="Y3" s="55"/>
      <c r="Z3" s="55"/>
      <c r="AA3" s="55"/>
      <c r="AB3" s="55"/>
      <c r="AC3" s="55"/>
      <c r="AD3" s="55"/>
      <c r="AE3" s="55"/>
      <c r="AF3" s="55"/>
      <c r="AG3" s="55"/>
      <c r="AH3" s="55"/>
      <c r="AJ3" s="57"/>
      <c r="AK3" s="57"/>
      <c r="AL3" s="57"/>
      <c r="AM3" s="57"/>
      <c r="AN3" s="57"/>
      <c r="AO3" s="58"/>
      <c r="AP3" s="58"/>
      <c r="AQ3" s="58"/>
      <c r="AR3" s="58"/>
      <c r="AS3" s="58"/>
      <c r="AT3" s="58"/>
      <c r="AU3" s="58"/>
      <c r="AV3" s="58"/>
      <c r="AW3" s="58"/>
      <c r="AX3" s="58"/>
      <c r="AY3" s="58"/>
      <c r="AZ3" s="58"/>
      <c r="BA3" s="58"/>
      <c r="BB3" s="58"/>
      <c r="BC3" s="58"/>
      <c r="BD3" s="58"/>
      <c r="BE3" s="58"/>
      <c r="BF3" s="59"/>
      <c r="BG3" s="59"/>
      <c r="BH3" s="59"/>
      <c r="BI3" s="59"/>
      <c r="BJ3" s="59"/>
      <c r="BK3" s="59"/>
      <c r="BL3" s="59"/>
      <c r="BM3" s="59"/>
      <c r="BN3" s="59"/>
      <c r="BO3" s="59"/>
      <c r="BP3" s="59"/>
      <c r="BQ3" s="59"/>
      <c r="BR3" s="58"/>
      <c r="BS3" s="58"/>
      <c r="BT3" s="58"/>
      <c r="BU3" s="58"/>
      <c r="BV3" s="58"/>
      <c r="BW3" s="58"/>
      <c r="BX3" s="58"/>
    </row>
    <row r="5" ht="15" customHeight="1" x14ac:dyDescent="0.25">
      <c r="A5" s="7"/>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9"/>
    </row>
    <row r="6" ht="15" customHeight="1" x14ac:dyDescent="0.25">
      <c r="A6" s="10"/>
      <c r="BX6" s="11"/>
    </row>
    <row r="7" ht="15" customHeight="1" x14ac:dyDescent="0.25">
      <c r="A7" s="10"/>
      <c r="BX7" s="11"/>
    </row>
    <row r="8" ht="15" customHeight="1" x14ac:dyDescent="0.25">
      <c r="A8" s="10"/>
      <c r="BX8" s="11"/>
    </row>
    <row r="9" ht="15" customHeight="1" x14ac:dyDescent="0.25">
      <c r="A9" s="10"/>
      <c r="BX9" s="11"/>
    </row>
    <row r="10" ht="15" customHeight="1" x14ac:dyDescent="0.25">
      <c r="A10" s="10"/>
      <c r="BX10" s="11"/>
    </row>
    <row r="11" ht="15" customHeight="1" x14ac:dyDescent="0.25">
      <c r="A11" s="10"/>
      <c r="BX11" s="11"/>
    </row>
    <row r="12" ht="15" customHeight="1" x14ac:dyDescent="0.25">
      <c r="A12" s="10"/>
      <c r="BX12" s="11"/>
    </row>
    <row r="13" ht="15" customHeight="1" x14ac:dyDescent="0.25">
      <c r="A13" s="10"/>
      <c r="BX13" s="11"/>
    </row>
    <row r="14" ht="15" customHeight="1" x14ac:dyDescent="0.25">
      <c r="A14" s="10"/>
      <c r="BX14" s="11"/>
    </row>
    <row r="15" ht="15" customHeight="1" x14ac:dyDescent="0.25">
      <c r="A15" s="10"/>
      <c r="BX15" s="11"/>
    </row>
    <row r="16" ht="15" customHeight="1" x14ac:dyDescent="0.25">
      <c r="A16" s="10"/>
      <c r="BX16" s="11"/>
    </row>
    <row r="17" ht="15" customHeight="1" x14ac:dyDescent="0.25">
      <c r="A17" s="10"/>
      <c r="BX17" s="11"/>
    </row>
    <row r="18" ht="15" customHeight="1" x14ac:dyDescent="0.25">
      <c r="A18" s="10"/>
      <c r="BX18" s="11"/>
    </row>
    <row r="19" ht="15" customHeight="1" x14ac:dyDescent="0.25">
      <c r="A19" s="10"/>
      <c r="BX19" s="11"/>
    </row>
    <row r="20" ht="15" customHeight="1" x14ac:dyDescent="0.25">
      <c r="A20" s="10"/>
      <c r="BX20" s="11"/>
    </row>
    <row r="21" ht="15" customHeight="1" x14ac:dyDescent="0.25">
      <c r="A21" s="10"/>
      <c r="BX21" s="11"/>
    </row>
    <row r="22" ht="15" customHeight="1" x14ac:dyDescent="0.25">
      <c r="A22" s="10"/>
      <c r="BX22" s="11"/>
    </row>
    <row r="23" ht="15" customHeight="1" x14ac:dyDescent="0.25">
      <c r="A23" s="10"/>
      <c r="BX23" s="11"/>
    </row>
    <row r="24" ht="15" customHeight="1" x14ac:dyDescent="0.25">
      <c r="A24" s="10"/>
      <c r="BX24" s="11"/>
    </row>
    <row r="25" ht="15" customHeight="1" x14ac:dyDescent="0.25">
      <c r="A25" s="10"/>
      <c r="BX25" s="11"/>
    </row>
    <row r="26" ht="15" customHeight="1" x14ac:dyDescent="0.25">
      <c r="A26" s="10"/>
      <c r="BX26" s="11"/>
    </row>
    <row r="27" ht="15" customHeight="1" x14ac:dyDescent="0.25">
      <c r="A27" s="10"/>
      <c r="BX27" s="11"/>
    </row>
    <row r="28" ht="15" customHeight="1" x14ac:dyDescent="0.25">
      <c r="A28" s="10"/>
      <c r="BX28" s="11"/>
    </row>
    <row r="29" ht="15" customHeight="1" x14ac:dyDescent="0.25">
      <c r="A29" s="10"/>
      <c r="BX29" s="11"/>
    </row>
    <row r="30" ht="15" customHeight="1" x14ac:dyDescent="0.25">
      <c r="A30" s="10"/>
      <c r="BX30" s="11"/>
    </row>
    <row r="31" ht="15" customHeight="1" x14ac:dyDescent="0.25">
      <c r="A31" s="10"/>
      <c r="BX31" s="11"/>
    </row>
    <row r="32" ht="15" customHeight="1" x14ac:dyDescent="0.25">
      <c r="A32" s="10"/>
      <c r="BX32" s="11"/>
    </row>
    <row r="33" ht="15" customHeight="1" x14ac:dyDescent="0.25">
      <c r="A33" s="10"/>
      <c r="BX33" s="11"/>
    </row>
    <row r="34" ht="15" customHeight="1" x14ac:dyDescent="0.25">
      <c r="A34" s="10"/>
      <c r="BX34" s="11"/>
    </row>
    <row r="35" ht="15" customHeight="1" x14ac:dyDescent="0.25">
      <c r="A35" s="10"/>
      <c r="BX35" s="11"/>
    </row>
    <row r="36" ht="15" customHeight="1" x14ac:dyDescent="0.25">
      <c r="A36" s="10"/>
      <c r="BX36" s="11"/>
    </row>
    <row r="37" ht="15" customHeight="1" x14ac:dyDescent="0.25">
      <c r="A37" s="10"/>
      <c r="BX37" s="11"/>
    </row>
    <row r="38" ht="15" customHeight="1" x14ac:dyDescent="0.25">
      <c r="A38" s="10"/>
      <c r="BX38" s="11"/>
    </row>
    <row r="39" ht="15" customHeight="1" x14ac:dyDescent="0.25">
      <c r="A39" s="10"/>
      <c r="BX39" s="11"/>
    </row>
    <row r="40" ht="15" customHeight="1" x14ac:dyDescent="0.25">
      <c r="A40" s="10"/>
      <c r="BX40" s="11"/>
    </row>
    <row r="41" ht="15" customHeight="1" x14ac:dyDescent="0.25">
      <c r="A41" s="10"/>
      <c r="BX41" s="11"/>
    </row>
    <row r="42" ht="15" customHeight="1" x14ac:dyDescent="0.25">
      <c r="A42" s="10"/>
      <c r="BX42" s="11"/>
    </row>
    <row r="43" ht="15" customHeight="1" x14ac:dyDescent="0.25">
      <c r="A43" s="10"/>
      <c r="BX43" s="11"/>
    </row>
    <row r="44" ht="15" customHeight="1" x14ac:dyDescent="0.25">
      <c r="A44" s="10"/>
      <c r="BX44" s="11"/>
    </row>
    <row r="45" ht="15" customHeight="1" x14ac:dyDescent="0.25">
      <c r="A45" s="10"/>
      <c r="BX45" s="11"/>
    </row>
    <row r="46" ht="15" customHeight="1" x14ac:dyDescent="0.25">
      <c r="A46" s="10"/>
      <c r="BX46" s="11"/>
    </row>
    <row r="47" ht="15" customHeight="1" x14ac:dyDescent="0.25">
      <c r="A47" s="10"/>
      <c r="BX47" s="11"/>
    </row>
    <row r="48" ht="15" customHeight="1" x14ac:dyDescent="0.25">
      <c r="A48" s="10"/>
      <c r="BX48" s="11"/>
    </row>
    <row r="49" ht="15" x14ac:dyDescent="0.25" customHeight="1">
      <c r="A49" s="10"/>
      <c r="BX49" s="11"/>
    </row>
    <row r="50" ht="15" x14ac:dyDescent="0.25" customHeight="1">
      <c r="A50" s="12"/>
      <c r="B50" s="13"/>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3"/>
      <c r="AM50" s="13"/>
      <c r="AN50" s="13"/>
      <c r="AO50" s="13"/>
      <c r="AP50" s="13"/>
      <c r="AQ50" s="13"/>
      <c r="AR50" s="13"/>
      <c r="AS50" s="13"/>
      <c r="AT50" s="13"/>
      <c r="AU50" s="13"/>
      <c r="AV50" s="13"/>
      <c r="AW50" s="13"/>
      <c r="AX50" s="13"/>
      <c r="AY50" s="13"/>
      <c r="AZ50" s="13"/>
      <c r="BA50" s="13"/>
      <c r="BB50" s="13"/>
      <c r="BC50" s="13"/>
      <c r="BD50" s="13"/>
      <c r="BE50" s="13"/>
      <c r="BF50" s="13"/>
      <c r="BG50" s="13"/>
      <c r="BH50" s="13"/>
      <c r="BI50" s="13"/>
      <c r="BJ50" s="13"/>
      <c r="BK50" s="13"/>
      <c r="BL50" s="13"/>
      <c r="BM50" s="13"/>
      <c r="BN50" s="13"/>
      <c r="BO50" s="13"/>
      <c r="BP50" s="13"/>
      <c r="BQ50" s="13"/>
      <c r="BR50" s="13"/>
      <c r="BS50" s="13"/>
      <c r="BT50" s="13"/>
      <c r="BU50" s="13"/>
      <c r="BV50" s="13"/>
      <c r="BW50" s="13"/>
      <c r="BX50" s="14"/>
    </row>
    <row r="51" ht="15" x14ac:dyDescent="0.25" customHeight="1">
      <c r="B51" s="21" t="str">
        <f>"機密区分："&amp;機密区分</f>
        <v>機密区分：社外秘</v>
      </c>
      <c r="C51" s="21"/>
      <c r="D51" s="21"/>
      <c r="E51" s="21"/>
      <c r="F51" s="21"/>
      <c r="G51" s="21"/>
      <c r="H51" s="21"/>
      <c r="I51" s="21"/>
      <c r="J51" s="21"/>
      <c r="K51" s="21"/>
      <c r="L51" s="21"/>
      <c r="M51" s="21"/>
      <c r="N51" s="21"/>
      <c r="O51" s="21"/>
      <c r="P51" s="21"/>
      <c r="Q51" s="21"/>
      <c r="R51" s="21"/>
      <c r="S51" s="21"/>
      <c r="T51" s="21"/>
      <c r="U51" s="21"/>
      <c r="V51" s="21"/>
      <c r="W51" s="21"/>
      <c r="X51" s="21"/>
      <c r="Y51" s="21"/>
      <c r="Z51" s="46" t="str">
        <f>IF(会社名="","",会社名)</f>
        <v>（会社名・部署名）</v>
      </c>
      <c r="AA51" s="46"/>
      <c r="AB51" s="46"/>
      <c r="AC51" s="46"/>
      <c r="AD51" s="46"/>
      <c r="AE51" s="46"/>
      <c r="AF51" s="46"/>
      <c r="AG51" s="46"/>
      <c r="AH51" s="46"/>
      <c r="AI51" s="46"/>
      <c r="AJ51" s="46"/>
      <c r="AK51" s="46"/>
      <c r="AL51" s="46"/>
      <c r="AM51" s="46"/>
      <c r="AN51" s="46"/>
      <c r="AO51" s="46"/>
      <c r="AP51" s="46"/>
      <c r="AQ51" s="46"/>
      <c r="AR51" s="46"/>
      <c r="AS51" s="46"/>
      <c r="AT51" s="46"/>
      <c r="AU51" s="46"/>
      <c r="AV51" s="46"/>
      <c r="AW51" s="46"/>
      <c r="AX51" s="46"/>
      <c r="AY51" s="46"/>
      <c r="AZ51" s="47" t="str">
        <f>"文書番号："&amp;文書番号&amp;"　版数："&amp;版数</f>
        <v>文書番号：ARC-0002　版数：1.0</v>
      </c>
      <c r="BA51" s="47"/>
      <c r="BB51" s="47"/>
      <c r="BC51" s="47"/>
      <c r="BD51" s="47"/>
      <c r="BE51" s="47"/>
      <c r="BF51" s="47"/>
      <c r="BG51" s="47"/>
      <c r="BH51" s="47"/>
      <c r="BI51" s="47"/>
      <c r="BJ51" s="47"/>
      <c r="BK51" s="47"/>
      <c r="BL51" s="47"/>
      <c r="BM51" s="47"/>
      <c r="BN51" s="47"/>
      <c r="BO51" s="47"/>
      <c r="BP51" s="47"/>
      <c r="BQ51" s="47"/>
      <c r="BR51" s="47"/>
      <c r="BS51" s="47"/>
      <c r="BT51" s="47"/>
      <c r="BU51" s="47"/>
      <c r="BV51" s="47"/>
      <c r="BW51" s="47"/>
      <c r="BX51" s="47"/>
    </row>
  </sheetData>
  <mergeCells count="17">
    <mergeCell ref="B51:Y51"/>
    <mergeCell ref="Z51:AY51"/>
    <mergeCell ref="AZ51:BX51"/>
    <mergeCell ref="BF1:BK1"/>
    <mergeCell ref="BL1:BQ1"/>
    <mergeCell ref="BR1:BX1"/>
    <mergeCell ref="AJ2:AN3"/>
    <mergeCell ref="AO2:BA3"/>
    <mergeCell ref="BB2:BE3"/>
    <mergeCell ref="BF2:BK3"/>
    <mergeCell ref="BL2:BQ3"/>
    <mergeCell ref="BR2:BX3"/>
    <mergeCell ref="C1:AH2"/>
    <mergeCell ref="C3:AH3"/>
    <mergeCell ref="AJ1:AN1"/>
    <mergeCell ref="AO1:BA1"/>
    <mergeCell ref="BB1:BE1"/>
  </mergeCells>
  <phoneticPr fontId="35"/>
  <printOptions horizontalCentered="1"/>
  <pageMargins left="0.4" right="0.4" top="0.4" bottom="0.4" header="0.3" footer="0.3"/>
  <pageSetup paperSize="8"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62626"/>
    <pageSetUpPr fitToPage="1"/>
  </sheetPr>
  <dimension ref="B1:CI218"/>
  <sheetViews>
    <sheetView zoomScale="80" zoomScaleNormal="80" workbookViewId="0"/>
  </sheetViews>
  <sheetFormatPr defaultRowHeight="15" customHeight="1" x14ac:dyDescent="0.25"/>
  <cols>
    <col min="1" max="161" width="2.80859375" customWidth="1"/>
  </cols>
  <sheetData>
    <row r="1" ht="15" customHeight="1">
      <c r="B1" s="48" t="s">
        <v>477</v>
      </c>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c r="AL1" s="48"/>
      <c r="AM1" s="48"/>
      <c r="AN1" s="48"/>
      <c r="AO1" s="48"/>
      <c r="AP1" s="48"/>
      <c r="AQ1" s="48"/>
      <c r="AR1" s="48"/>
      <c r="AS1" s="48"/>
      <c r="AT1" s="48"/>
      <c r="AU1" s="48"/>
      <c r="AV1" s="48"/>
      <c r="AW1" s="48"/>
      <c r="AX1" s="48"/>
      <c r="AY1" s="48"/>
      <c r="AZ1" s="48"/>
      <c r="BA1" s="48"/>
      <c r="BB1" s="48"/>
      <c r="BC1" s="48"/>
      <c r="BD1" s="48"/>
      <c r="BE1" s="48"/>
      <c r="BF1" s="48"/>
      <c r="BG1" s="48"/>
      <c r="BH1" s="48"/>
      <c r="BI1" s="48"/>
      <c r="BJ1" s="48"/>
      <c r="BK1" s="48"/>
      <c r="BL1" s="48"/>
      <c r="BM1" s="48"/>
      <c r="BN1" s="48"/>
      <c r="BO1" s="48"/>
      <c r="BP1" s="48"/>
      <c r="BQ1" s="48"/>
      <c r="BR1" s="48"/>
      <c r="BS1" s="48"/>
      <c r="BT1" s="48"/>
      <c r="BU1" s="48"/>
      <c r="BV1" s="48"/>
      <c r="BW1" s="48"/>
      <c r="BX1" s="48"/>
      <c r="BY1" s="48"/>
      <c r="BZ1" s="48"/>
      <c r="CA1" s="48"/>
      <c r="CB1" s="48"/>
      <c r="CC1" s="48"/>
      <c r="CD1" s="48"/>
      <c r="CE1" s="48"/>
      <c r="CF1" s="48"/>
      <c r="CG1" s="48"/>
      <c r="CH1" s="48"/>
      <c r="CI1" s="48"/>
    </row>
    <row r="2" ht="15" customHeight="1">
      <c r="B2" s="48"/>
      <c r="C2" s="48"/>
      <c r="D2" s="48"/>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row>
    <row r="3" ht="15" customHeight="1">
      <c r="B3" s="67" t="s">
        <v>478</v>
      </c>
      <c r="C3" s="67"/>
      <c r="D3" s="67"/>
      <c r="E3" s="67"/>
      <c r="F3" s="67"/>
      <c r="G3" s="67"/>
      <c r="H3" s="67"/>
      <c r="I3" s="67"/>
      <c r="J3" s="67"/>
      <c r="K3" s="67"/>
      <c r="L3" s="67"/>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row>
    <row r="4" ht="15" customHeight="1"/>
    <row r="5" ht="15" customHeight="1">
      <c r="B5" s="68" t="s">
        <v>479</v>
      </c>
      <c r="C5" s="68"/>
      <c r="D5" s="68"/>
      <c r="E5" s="68"/>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s="68"/>
      <c r="AL5" s="68"/>
      <c r="AM5" s="68"/>
      <c r="AN5" s="68"/>
      <c r="AO5" s="68"/>
    </row>
    <row r="6" ht="15" customHeight="1"/>
    <row r="7" ht="15" customHeight="1">
      <c r="R7" s="69" t="s">
        <v>480</v>
      </c>
      <c r="S7" s="69"/>
      <c r="T7" s="69"/>
      <c r="U7" s="69"/>
      <c r="V7" s="69"/>
      <c r="W7" s="69"/>
      <c r="X7" s="69"/>
      <c r="Y7" s="69"/>
      <c r="Z7" s="69"/>
      <c r="AA7" s="69"/>
      <c r="AB7" s="69"/>
      <c r="AC7" s="69"/>
      <c r="AD7" s="69"/>
      <c r="AE7" s="69"/>
      <c r="AF7" s="69"/>
      <c r="AG7" s="69"/>
      <c r="AH7" s="69"/>
      <c r="AI7" s="69"/>
      <c r="AJ7" s="69"/>
      <c r="AK7" s="69"/>
      <c r="AL7" s="69"/>
      <c r="AM7" s="69"/>
      <c r="AN7" s="69"/>
      <c r="AO7" s="69"/>
      <c r="AP7" s="69"/>
      <c r="AQ7" s="69"/>
      <c r="AR7" s="69"/>
      <c r="AS7" s="69"/>
      <c r="AT7" s="69"/>
      <c r="AU7" s="69"/>
      <c r="AV7" s="69"/>
      <c r="AW7" s="69"/>
      <c r="AX7" s="69"/>
      <c r="AY7" s="69"/>
      <c r="AZ7" s="69"/>
      <c r="BA7" s="69"/>
      <c r="BB7" s="69"/>
      <c r="BC7" s="69"/>
      <c r="BD7" s="69"/>
      <c r="BE7" s="69"/>
      <c r="BF7" s="69"/>
      <c r="BG7" s="69"/>
      <c r="BH7" s="69"/>
      <c r="BI7" s="69"/>
      <c r="BJ7" s="69"/>
      <c r="BK7" s="69"/>
      <c r="BL7" s="69"/>
      <c r="BM7" s="69"/>
      <c r="BN7" s="69"/>
      <c r="BO7" s="69"/>
      <c r="BP7" s="69"/>
      <c r="BQ7" s="69"/>
      <c r="BR7" s="69"/>
      <c r="BS7" s="69"/>
      <c r="BT7" s="69"/>
      <c r="BU7" s="69"/>
      <c r="BV7" s="69"/>
      <c r="BW7" s="69"/>
      <c r="BX7" s="69"/>
      <c r="BY7" s="69"/>
      <c r="BZ7" s="69"/>
      <c r="CA7" s="69"/>
      <c r="CB7" s="69"/>
      <c r="CC7" s="69"/>
      <c r="CD7" s="69"/>
      <c r="CE7" s="69"/>
      <c r="CF7" s="69"/>
      <c r="CG7" s="69"/>
      <c r="CH7" s="69"/>
      <c r="CI7" s="69"/>
    </row>
    <row r="8" ht="15" customHeight="1">
      <c r="R8" s="69" t="s">
        <v>481</v>
      </c>
      <c r="S8" s="69"/>
      <c r="T8" s="69"/>
      <c r="U8" s="69"/>
      <c r="V8" s="69"/>
      <c r="W8" s="69"/>
      <c r="X8" s="69"/>
      <c r="Y8" s="69"/>
      <c r="Z8" s="69"/>
      <c r="AA8" s="69"/>
      <c r="AB8" s="69"/>
      <c r="AC8" s="69"/>
      <c r="AD8" s="69"/>
      <c r="AE8" s="69"/>
      <c r="AF8" s="69"/>
      <c r="AG8" s="69"/>
      <c r="AH8" s="69"/>
      <c r="AI8" s="69"/>
      <c r="AJ8" s="69"/>
      <c r="AK8" s="69"/>
      <c r="AL8" s="69"/>
      <c r="AM8" s="69"/>
      <c r="AN8" s="69"/>
      <c r="AO8" s="69"/>
      <c r="AP8" s="69"/>
      <c r="AQ8" s="69"/>
      <c r="AR8" s="69"/>
      <c r="AS8" s="69"/>
      <c r="AT8" s="69"/>
      <c r="AU8" s="69"/>
      <c r="AV8" s="69"/>
      <c r="AW8" s="69"/>
      <c r="AX8" s="69"/>
      <c r="AY8" s="69"/>
      <c r="AZ8" s="69"/>
      <c r="BA8" s="69"/>
      <c r="BB8" s="69"/>
      <c r="BC8" s="69"/>
      <c r="BD8" s="69"/>
      <c r="BE8" s="69"/>
      <c r="BF8" s="69"/>
      <c r="BG8" s="69"/>
      <c r="BH8" s="69"/>
      <c r="BI8" s="69"/>
      <c r="BJ8" s="69"/>
      <c r="BK8" s="69"/>
      <c r="BL8" s="69"/>
      <c r="BM8" s="69"/>
      <c r="BN8" s="69"/>
      <c r="BO8" s="69"/>
      <c r="BP8" s="69"/>
      <c r="BQ8" s="69"/>
      <c r="BR8" s="69"/>
      <c r="BS8" s="69"/>
      <c r="BT8" s="69"/>
      <c r="BU8" s="69"/>
      <c r="BV8" s="69"/>
      <c r="BW8" s="69"/>
      <c r="BX8" s="69"/>
      <c r="BY8" s="69"/>
      <c r="BZ8" s="69"/>
      <c r="CA8" s="69"/>
      <c r="CB8" s="69"/>
      <c r="CC8" s="69"/>
      <c r="CD8" s="69"/>
      <c r="CE8" s="69"/>
      <c r="CF8" s="69"/>
      <c r="CG8" s="69"/>
      <c r="CH8" s="69"/>
      <c r="CI8" s="69"/>
    </row>
    <row r="9" ht="15" customHeight="1">
      <c r="R9" s="69" t="s">
        <v>482</v>
      </c>
      <c r="S9" s="69"/>
      <c r="T9" s="69"/>
      <c r="U9" s="69"/>
      <c r="V9" s="69"/>
      <c r="W9" s="69"/>
      <c r="X9" s="69"/>
      <c r="Y9" s="69"/>
      <c r="Z9" s="69"/>
      <c r="AA9" s="69"/>
      <c r="AB9" s="69"/>
      <c r="AC9" s="69"/>
      <c r="AD9" s="69"/>
      <c r="AE9" s="69"/>
      <c r="AF9" s="69"/>
      <c r="AG9" s="69"/>
      <c r="AH9" s="69"/>
      <c r="AI9" s="69"/>
      <c r="AJ9" s="69"/>
      <c r="AK9" s="69"/>
      <c r="AL9" s="69"/>
      <c r="AM9" s="69"/>
      <c r="AN9" s="69"/>
      <c r="AO9" s="69"/>
      <c r="AP9" s="69"/>
      <c r="AQ9" s="69"/>
      <c r="AR9" s="69"/>
      <c r="AS9" s="69"/>
      <c r="AT9" s="69"/>
      <c r="AU9" s="69"/>
      <c r="AV9" s="69"/>
      <c r="AW9" s="69"/>
      <c r="AX9" s="69"/>
      <c r="AY9" s="69"/>
      <c r="AZ9" s="69"/>
      <c r="BA9" s="69"/>
      <c r="BB9" s="69"/>
      <c r="BC9" s="69"/>
      <c r="BD9" s="69"/>
      <c r="BE9" s="69"/>
      <c r="BF9" s="69"/>
      <c r="BG9" s="69"/>
      <c r="BH9" s="69"/>
      <c r="BI9" s="69"/>
      <c r="BJ9" s="69"/>
      <c r="BK9" s="69"/>
      <c r="BL9" s="69"/>
      <c r="BM9" s="69"/>
      <c r="BN9" s="69"/>
      <c r="BO9" s="69"/>
      <c r="BP9" s="69"/>
      <c r="BQ9" s="69"/>
      <c r="BR9" s="69"/>
      <c r="BS9" s="69"/>
      <c r="BT9" s="69"/>
      <c r="BU9" s="69"/>
      <c r="BV9" s="69"/>
      <c r="BW9" s="69"/>
      <c r="BX9" s="69"/>
      <c r="BY9" s="69"/>
      <c r="BZ9" s="69"/>
      <c r="CA9" s="69"/>
      <c r="CB9" s="69"/>
      <c r="CC9" s="69"/>
      <c r="CD9" s="69"/>
      <c r="CE9" s="69"/>
      <c r="CF9" s="69"/>
      <c r="CG9" s="69"/>
      <c r="CH9" s="69"/>
      <c r="CI9" s="69"/>
    </row>
    <row r="10" ht="15" customHeight="1">
      <c r="R10" s="69" t="s">
        <v>483</v>
      </c>
      <c r="S10" s="69"/>
      <c r="T10" s="69"/>
      <c r="U10" s="69"/>
      <c r="V10" s="69"/>
      <c r="W10" s="69"/>
      <c r="X10" s="69"/>
      <c r="Y10" s="69"/>
      <c r="Z10" s="69"/>
      <c r="AA10" s="69"/>
      <c r="AB10" s="69"/>
      <c r="AC10" s="69"/>
      <c r="AD10" s="69"/>
      <c r="AE10" s="69"/>
      <c r="AF10" s="69"/>
      <c r="AG10" s="69"/>
      <c r="AH10" s="69"/>
      <c r="AI10" s="69"/>
      <c r="AJ10" s="69"/>
      <c r="AK10" s="69"/>
      <c r="AL10" s="69"/>
      <c r="AM10" s="69"/>
      <c r="AN10" s="69"/>
      <c r="AO10" s="69"/>
      <c r="AP10" s="69"/>
      <c r="AQ10" s="69"/>
      <c r="AR10" s="69"/>
      <c r="AS10" s="69"/>
      <c r="AT10" s="69"/>
      <c r="AU10" s="69"/>
      <c r="AV10" s="69"/>
      <c r="AW10" s="69"/>
      <c r="AX10" s="69"/>
      <c r="AY10" s="69"/>
      <c r="AZ10" s="69"/>
      <c r="BA10" s="69"/>
      <c r="BB10" s="69"/>
      <c r="BC10" s="69"/>
      <c r="BD10" s="69"/>
      <c r="BE10" s="69"/>
      <c r="BF10" s="69"/>
      <c r="BG10" s="69"/>
      <c r="BH10" s="69"/>
      <c r="BI10" s="69"/>
      <c r="BJ10" s="69"/>
      <c r="BK10" s="69"/>
      <c r="BL10" s="69"/>
      <c r="BM10" s="69"/>
      <c r="BN10" s="69"/>
      <c r="BO10" s="69"/>
      <c r="BP10" s="69"/>
      <c r="BQ10" s="69"/>
      <c r="BR10" s="69"/>
      <c r="BS10" s="69"/>
      <c r="BT10" s="69"/>
      <c r="BU10" s="69"/>
      <c r="BV10" s="69"/>
      <c r="BW10" s="69"/>
      <c r="BX10" s="69"/>
      <c r="BY10" s="69"/>
      <c r="BZ10" s="69"/>
      <c r="CA10" s="69"/>
      <c r="CB10" s="69"/>
      <c r="CC10" s="69"/>
      <c r="CD10" s="69"/>
      <c r="CE10" s="69"/>
      <c r="CF10" s="69"/>
      <c r="CG10" s="69"/>
      <c r="CH10" s="69"/>
      <c r="CI10" s="69"/>
    </row>
    <row r="11" ht="15" customHeight="1">
      <c r="R11" s="69" t="s">
        <v>484</v>
      </c>
      <c r="S11" s="69"/>
      <c r="T11" s="69"/>
      <c r="U11" s="69"/>
      <c r="V11" s="69"/>
      <c r="W11" s="69"/>
      <c r="X11" s="69"/>
      <c r="Y11" s="69"/>
      <c r="Z11" s="69"/>
      <c r="AA11" s="69"/>
      <c r="AB11" s="69"/>
      <c r="AC11" s="69"/>
      <c r="AD11" s="69"/>
      <c r="AE11" s="69"/>
      <c r="AF11" s="69"/>
      <c r="AG11" s="69"/>
      <c r="AH11" s="69"/>
      <c r="AI11" s="69"/>
      <c r="AJ11" s="69"/>
      <c r="AK11" s="69"/>
      <c r="AL11" s="69"/>
      <c r="AM11" s="69"/>
      <c r="AN11" s="69"/>
      <c r="AO11" s="69"/>
      <c r="AP11" s="69"/>
      <c r="AQ11" s="69"/>
      <c r="AR11" s="69"/>
      <c r="AS11" s="69"/>
      <c r="AT11" s="69"/>
      <c r="AU11" s="69"/>
      <c r="AV11" s="69"/>
      <c r="AW11" s="69"/>
      <c r="AX11" s="69"/>
      <c r="AY11" s="69"/>
      <c r="AZ11" s="69"/>
      <c r="BA11" s="69"/>
      <c r="BB11" s="69"/>
      <c r="BC11" s="69"/>
      <c r="BD11" s="69"/>
      <c r="BE11" s="69"/>
      <c r="BF11" s="69"/>
      <c r="BG11" s="69"/>
      <c r="BH11" s="69"/>
      <c r="BI11" s="69"/>
      <c r="BJ11" s="69"/>
      <c r="BK11" s="69"/>
      <c r="BL11" s="69"/>
      <c r="BM11" s="69"/>
      <c r="BN11" s="69"/>
      <c r="BO11" s="69"/>
      <c r="BP11" s="69"/>
      <c r="BQ11" s="69"/>
      <c r="BR11" s="69"/>
      <c r="BS11" s="69"/>
      <c r="BT11" s="69"/>
      <c r="BU11" s="69"/>
      <c r="BV11" s="69"/>
      <c r="BW11" s="69"/>
      <c r="BX11" s="69"/>
      <c r="BY11" s="69"/>
      <c r="BZ11" s="69"/>
      <c r="CA11" s="69"/>
      <c r="CB11" s="69"/>
      <c r="CC11" s="69"/>
      <c r="CD11" s="69"/>
      <c r="CE11" s="69"/>
      <c r="CF11" s="69"/>
      <c r="CG11" s="69"/>
      <c r="CH11" s="69"/>
      <c r="CI11" s="69"/>
    </row>
    <row r="12" ht="15" customHeight="1"/>
    <row r="13" ht="15" customHeight="1"/>
    <row r="14" ht="15" customHeight="1">
      <c r="B14" s="74" t="s">
        <v>511</v>
      </c>
      <c r="C14" s="75"/>
      <c r="D14" s="75"/>
      <c r="E14" s="75"/>
      <c r="F14" s="75"/>
      <c r="G14" s="75"/>
      <c r="H14" s="75"/>
      <c r="I14" s="75"/>
      <c r="J14" s="75"/>
      <c r="K14" s="75"/>
      <c r="L14" s="75"/>
      <c r="M14" s="75"/>
      <c r="N14" s="75"/>
      <c r="O14" s="75"/>
      <c r="P14" s="74" t="s">
        <v>191</v>
      </c>
      <c r="Q14" s="75"/>
      <c r="R14" s="75"/>
      <c r="S14" s="75"/>
      <c r="T14" s="75"/>
      <c r="U14" s="75"/>
      <c r="V14" s="75"/>
      <c r="W14" s="75"/>
      <c r="X14" s="75"/>
      <c r="Y14" s="75"/>
      <c r="Z14" s="75"/>
      <c r="AA14" s="75"/>
      <c r="AB14" s="75"/>
      <c r="AC14" s="75"/>
      <c r="AD14" s="74" t="s">
        <v>192</v>
      </c>
      <c r="AE14" s="75"/>
      <c r="AF14" s="75"/>
      <c r="AG14" s="75"/>
      <c r="AH14" s="75"/>
      <c r="AI14" s="75"/>
      <c r="AJ14" s="75"/>
      <c r="AK14" s="75"/>
      <c r="AL14" s="75"/>
      <c r="AM14" s="75"/>
      <c r="AN14" s="75"/>
      <c r="AO14" s="75"/>
      <c r="AP14" s="75"/>
      <c r="AQ14" s="75"/>
      <c r="AR14" s="74" t="s">
        <v>193</v>
      </c>
      <c r="AS14" s="75"/>
      <c r="AT14" s="75"/>
      <c r="AU14" s="75"/>
      <c r="AV14" s="75"/>
      <c r="AW14" s="75"/>
      <c r="AX14" s="75"/>
      <c r="AY14" s="75"/>
      <c r="AZ14" s="75"/>
      <c r="BA14" s="75"/>
      <c r="BB14" s="75"/>
      <c r="BC14" s="75"/>
      <c r="BD14" s="75"/>
      <c r="BE14" s="75"/>
      <c r="BF14" s="74" t="s">
        <v>194</v>
      </c>
      <c r="BG14" s="75"/>
      <c r="BH14" s="75"/>
      <c r="BI14" s="75"/>
      <c r="BJ14" s="75"/>
      <c r="BK14" s="75"/>
      <c r="BL14" s="75"/>
      <c r="BM14" s="75"/>
      <c r="BN14" s="75"/>
      <c r="BO14" s="75"/>
      <c r="BP14" s="75"/>
      <c r="BQ14" s="75"/>
      <c r="BR14" s="75"/>
      <c r="BS14" s="75"/>
      <c r="BT14" s="74" t="s">
        <v>195</v>
      </c>
      <c r="BU14" s="75"/>
      <c r="BV14" s="75"/>
      <c r="BW14" s="75"/>
      <c r="BX14" s="75"/>
      <c r="BY14" s="75"/>
      <c r="BZ14" s="75"/>
      <c r="CA14" s="75"/>
      <c r="CB14" s="75"/>
      <c r="CC14" s="75"/>
      <c r="CD14" s="75"/>
      <c r="CE14" s="75"/>
      <c r="CF14" s="75"/>
      <c r="CG14" s="75"/>
    </row>
    <row r="15" ht="15" customHeight="1"/>
    <row r="16" ht="15" customHeight="1">
      <c r="B16" s="49" t="s">
        <v>485</v>
      </c>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c r="AH16" s="49"/>
      <c r="AI16" s="49"/>
      <c r="AJ16" s="49"/>
      <c r="AK16" s="49"/>
      <c r="AL16" s="49"/>
      <c r="AM16" s="49"/>
      <c r="AN16" s="49"/>
      <c r="AO16" s="49"/>
      <c r="AP16" s="49"/>
      <c r="AQ16" s="49"/>
      <c r="AR16" s="49"/>
      <c r="AS16" s="49"/>
      <c r="AT16" s="49"/>
      <c r="AU16" s="49"/>
      <c r="AV16" s="49"/>
      <c r="AW16" s="49"/>
      <c r="AX16" s="49"/>
      <c r="AY16" s="49"/>
      <c r="AZ16" s="49"/>
      <c r="BA16" s="49"/>
      <c r="BB16" s="49"/>
      <c r="BC16" s="49"/>
      <c r="BD16" s="49"/>
      <c r="BE16" s="49"/>
      <c r="BF16" s="49"/>
      <c r="BG16" s="49"/>
      <c r="BH16" s="49"/>
      <c r="BI16" s="49"/>
      <c r="BJ16" s="49"/>
      <c r="BK16" s="49"/>
      <c r="BL16" s="49"/>
      <c r="BM16" s="49"/>
      <c r="BN16" s="49"/>
      <c r="BO16" s="49"/>
      <c r="BP16" s="49"/>
      <c r="BQ16" s="49"/>
      <c r="BR16" s="49"/>
      <c r="BS16" s="49"/>
      <c r="BT16" s="49"/>
      <c r="BU16" s="49"/>
      <c r="BV16" s="49"/>
      <c r="BW16" s="49"/>
      <c r="BX16" s="49"/>
      <c r="BY16" s="49"/>
      <c r="BZ16" s="49"/>
      <c r="CA16" s="49"/>
      <c r="CB16" s="49"/>
      <c r="CC16" s="49"/>
      <c r="CD16" s="70" t="s">
        <v>94</v>
      </c>
      <c r="CE16" s="70"/>
      <c r="CF16" s="70"/>
      <c r="CG16" s="70"/>
      <c r="CH16" s="70"/>
      <c r="CI16" s="70"/>
    </row>
    <row r="17" ht="15" customHeight="1">
      <c r="B17" s="49"/>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c r="AH17" s="49"/>
      <c r="AI17" s="49"/>
      <c r="AJ17" s="49"/>
      <c r="AK17" s="49"/>
      <c r="AL17" s="49"/>
      <c r="AM17" s="49"/>
      <c r="AN17" s="49"/>
      <c r="AO17" s="49"/>
      <c r="AP17" s="49"/>
      <c r="AQ17" s="49"/>
      <c r="AR17" s="49"/>
      <c r="AS17" s="49"/>
      <c r="AT17" s="49"/>
      <c r="AU17" s="49"/>
      <c r="AV17" s="49"/>
      <c r="AW17" s="49"/>
      <c r="AX17" s="49"/>
      <c r="AY17" s="49"/>
      <c r="AZ17" s="49"/>
      <c r="BA17" s="49"/>
      <c r="BB17" s="49"/>
      <c r="BC17" s="49"/>
      <c r="BD17" s="49"/>
      <c r="BE17" s="49"/>
      <c r="BF17" s="49"/>
      <c r="BG17" s="49"/>
      <c r="BH17" s="49"/>
      <c r="BI17" s="49"/>
      <c r="BJ17" s="49"/>
      <c r="BK17" s="49"/>
      <c r="BL17" s="49"/>
      <c r="BM17" s="49"/>
      <c r="BN17" s="49"/>
      <c r="BO17" s="49"/>
      <c r="BP17" s="49"/>
      <c r="BQ17" s="49"/>
      <c r="BR17" s="49"/>
      <c r="BS17" s="49"/>
      <c r="BT17" s="49"/>
      <c r="BU17" s="49"/>
      <c r="BV17" s="49"/>
      <c r="BW17" s="49"/>
      <c r="BX17" s="49"/>
      <c r="BY17" s="49"/>
      <c r="BZ17" s="49"/>
      <c r="CA17" s="49"/>
      <c r="CB17" s="49"/>
      <c r="CC17" s="49"/>
      <c r="CD17" s="70"/>
      <c r="CE17" s="70"/>
      <c r="CF17" s="70"/>
      <c r="CG17" s="70"/>
      <c r="CH17" s="70"/>
      <c r="CI17" s="70"/>
    </row>
    <row r="18" ht="15" customHeight="1">
      <c r="B18" s="44" t="s">
        <v>486</v>
      </c>
      <c r="C18" s="44"/>
      <c r="D18" s="44"/>
      <c r="E18" s="44"/>
      <c r="F18" s="44"/>
      <c r="G18" s="44"/>
      <c r="H18" s="44"/>
      <c r="I18" s="44"/>
      <c r="J18" s="44"/>
      <c r="K18" s="44"/>
      <c r="L18" s="44"/>
      <c r="M18" s="44"/>
      <c r="N18" s="44"/>
      <c r="O18" s="44"/>
      <c r="P18" s="44"/>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c r="AS18" s="44"/>
      <c r="AT18" s="44"/>
      <c r="AU18" s="44"/>
      <c r="AV18" s="44"/>
      <c r="AW18" s="44"/>
      <c r="AX18" s="44"/>
      <c r="AY18" s="44"/>
      <c r="AZ18" s="44"/>
      <c r="BA18" s="44"/>
      <c r="BB18" s="44"/>
      <c r="BC18" s="44"/>
      <c r="BD18" s="44"/>
      <c r="BE18" s="44"/>
      <c r="BF18" s="44"/>
      <c r="BG18" s="44"/>
      <c r="BH18" s="44"/>
      <c r="BI18" s="44"/>
      <c r="BJ18" s="44"/>
      <c r="BK18" s="44"/>
      <c r="BL18" s="44"/>
      <c r="BM18" s="44"/>
      <c r="BN18" s="44"/>
      <c r="BO18" s="44"/>
      <c r="BP18" s="44"/>
      <c r="BQ18" s="44"/>
      <c r="BR18" s="44"/>
      <c r="BS18" s="44"/>
      <c r="BT18" s="44"/>
      <c r="BU18" s="44"/>
      <c r="BV18" s="44"/>
      <c r="BW18" s="44"/>
      <c r="BX18" s="44"/>
      <c r="BY18" s="44"/>
      <c r="BZ18" s="44"/>
      <c r="CA18" s="44"/>
      <c r="CB18" s="44"/>
      <c r="CC18" s="44"/>
      <c r="CD18" s="44"/>
      <c r="CE18" s="44"/>
      <c r="CF18" s="44"/>
      <c r="CG18" s="44"/>
      <c r="CH18" s="44"/>
      <c r="CI18" s="44"/>
    </row>
    <row r="19" ht="15" customHeight="1">
      <c r="B19" s="71" t="s">
        <v>32</v>
      </c>
      <c r="C19" s="71"/>
      <c r="D19" s="71"/>
      <c r="E19" s="71"/>
      <c r="F19" s="71"/>
      <c r="G19" s="71"/>
      <c r="H19" s="71"/>
      <c r="I19" s="71"/>
      <c r="J19" s="71"/>
      <c r="L19" s="62" t="s">
        <v>74</v>
      </c>
      <c r="M19" s="62"/>
      <c r="N19" s="62"/>
      <c r="O19" s="62"/>
      <c r="P19" s="62"/>
      <c r="Q19" s="62"/>
      <c r="R19" s="62"/>
      <c r="S19" s="62"/>
      <c r="T19" s="62"/>
      <c r="U19" s="62"/>
      <c r="W19" s="63" t="s">
        <v>96</v>
      </c>
      <c r="X19" s="63"/>
      <c r="Y19" s="63"/>
      <c r="Z19" s="63"/>
      <c r="AA19" s="63"/>
      <c r="AB19" s="63"/>
      <c r="AC19" s="63"/>
      <c r="AD19" s="63"/>
      <c r="AE19" s="63"/>
      <c r="AF19" s="63"/>
      <c r="AH19" s="64" t="s">
        <v>97</v>
      </c>
      <c r="AI19" s="64"/>
      <c r="AJ19" s="64"/>
      <c r="AK19" s="64"/>
      <c r="AL19" s="64"/>
      <c r="AM19" s="64"/>
      <c r="AN19" s="64"/>
      <c r="AO19" s="64"/>
      <c r="AP19" s="64"/>
      <c r="AQ19" s="64"/>
      <c r="AS19" s="65" t="s">
        <v>98</v>
      </c>
      <c r="AT19" s="65"/>
      <c r="AU19" s="65"/>
      <c r="AV19" s="65"/>
      <c r="AW19" s="65"/>
      <c r="AX19" s="65"/>
      <c r="AY19" s="65"/>
      <c r="AZ19" s="65"/>
      <c r="BA19" s="65"/>
      <c r="BB19" s="65"/>
      <c r="BD19" s="80" t="s">
        <v>487</v>
      </c>
      <c r="BE19" s="80"/>
      <c r="BF19" s="80"/>
      <c r="BG19" s="80"/>
      <c r="BH19" s="80"/>
      <c r="BI19" s="80"/>
      <c r="BJ19" s="80"/>
      <c r="BK19" s="80"/>
      <c r="BL19" s="80"/>
      <c r="BM19" s="80"/>
      <c r="BO19" s="84" t="s">
        <v>488</v>
      </c>
      <c r="BP19" s="84"/>
      <c r="BQ19" s="84"/>
      <c r="BR19" s="84"/>
      <c r="BS19" s="84"/>
      <c r="BT19" s="84"/>
      <c r="BU19" s="84"/>
      <c r="BV19" s="84"/>
      <c r="BW19" s="84"/>
      <c r="BX19" s="84"/>
      <c r="BZ19" s="88" t="s">
        <v>489</v>
      </c>
      <c r="CA19" s="88"/>
      <c r="CB19" s="88"/>
      <c r="CC19" s="88"/>
      <c r="CD19" s="88"/>
      <c r="CE19" s="88"/>
      <c r="CF19" s="88"/>
      <c r="CG19" s="88"/>
      <c r="CH19" s="88"/>
      <c r="CI19" s="88"/>
    </row>
    <row r="20" ht="15" customHeight="1"/>
    <row r="21" ht="15" customHeight="1">
      <c r="B21" s="72" t="s">
        <v>99</v>
      </c>
      <c r="C21" s="72"/>
      <c r="D21" s="72"/>
      <c r="E21" s="72"/>
      <c r="F21" s="72"/>
      <c r="G21" s="72"/>
      <c r="H21" s="72"/>
      <c r="I21" s="72"/>
      <c r="J21" s="72"/>
    </row>
    <row r="22" ht="15" customHeight="1">
      <c r="B22" s="73" t="s">
        <v>100</v>
      </c>
      <c r="C22" s="73"/>
      <c r="D22" s="73"/>
      <c r="E22" s="73"/>
      <c r="F22" s="73"/>
      <c r="G22" s="73"/>
      <c r="H22" s="73"/>
      <c r="I22" s="73"/>
      <c r="J22" s="73"/>
    </row>
    <row r="23" ht="15" customHeight="1">
      <c r="B23" s="73" t="s">
        <v>490</v>
      </c>
      <c r="C23" s="73"/>
      <c r="D23" s="73"/>
      <c r="E23" s="73"/>
      <c r="F23" s="73"/>
      <c r="G23" s="73"/>
      <c r="H23" s="73"/>
      <c r="I23" s="73"/>
      <c r="J23" s="73"/>
    </row>
    <row r="24" ht="15" customHeight="1"/>
    <row r="25" ht="15" customHeight="1"/>
    <row r="26" ht="15" customHeight="1"/>
    <row r="27" ht="15" customHeight="1">
      <c r="B27" s="72" t="s">
        <v>102</v>
      </c>
      <c r="C27" s="72"/>
      <c r="D27" s="72"/>
      <c r="E27" s="72"/>
      <c r="F27" s="72"/>
      <c r="G27" s="72"/>
      <c r="H27" s="72"/>
      <c r="I27" s="72"/>
      <c r="J27" s="72"/>
    </row>
    <row r="28" ht="15" customHeight="1">
      <c r="B28" s="73" t="s">
        <v>103</v>
      </c>
      <c r="C28" s="73"/>
      <c r="D28" s="73"/>
      <c r="E28" s="73"/>
      <c r="F28" s="73"/>
      <c r="G28" s="73"/>
      <c r="H28" s="73"/>
      <c r="I28" s="73"/>
      <c r="J28" s="73"/>
    </row>
    <row r="29" ht="15" customHeight="1">
      <c r="B29" s="73" t="s">
        <v>104</v>
      </c>
      <c r="C29" s="73"/>
      <c r="D29" s="73"/>
      <c r="E29" s="73"/>
      <c r="F29" s="73"/>
      <c r="G29" s="73"/>
      <c r="H29" s="73"/>
      <c r="I29" s="73"/>
      <c r="J29" s="73"/>
    </row>
    <row r="30" ht="15" customHeight="1"/>
    <row r="31" ht="15" customHeight="1"/>
    <row r="32" ht="15" customHeight="1"/>
    <row r="33" ht="15" customHeight="1">
      <c r="B33" s="72" t="s">
        <v>105</v>
      </c>
      <c r="C33" s="72"/>
      <c r="D33" s="72"/>
      <c r="E33" s="72"/>
      <c r="F33" s="72"/>
      <c r="G33" s="72"/>
      <c r="H33" s="72"/>
      <c r="I33" s="72"/>
      <c r="J33" s="72"/>
    </row>
    <row r="34" ht="15" customHeight="1">
      <c r="B34" s="73" t="s">
        <v>106</v>
      </c>
      <c r="C34" s="73"/>
      <c r="D34" s="73"/>
      <c r="E34" s="73"/>
      <c r="F34" s="73"/>
      <c r="G34" s="73"/>
      <c r="H34" s="73"/>
      <c r="I34" s="73"/>
      <c r="J34" s="73"/>
    </row>
    <row r="35" ht="15" customHeight="1">
      <c r="B35" s="73" t="s">
        <v>101</v>
      </c>
      <c r="C35" s="73"/>
      <c r="D35" s="73"/>
      <c r="E35" s="73"/>
      <c r="F35" s="73"/>
      <c r="G35" s="73"/>
      <c r="H35" s="73"/>
      <c r="I35" s="73"/>
      <c r="J35" s="73"/>
    </row>
    <row r="36" ht="15" customHeight="1"/>
    <row r="37" ht="15" customHeight="1"/>
    <row r="38" ht="15" customHeight="1"/>
    <row r="39" ht="15" customHeight="1">
      <c r="B39" s="72" t="s">
        <v>107</v>
      </c>
      <c r="C39" s="72"/>
      <c r="D39" s="72"/>
      <c r="E39" s="72"/>
      <c r="F39" s="72"/>
      <c r="G39" s="72"/>
      <c r="H39" s="72"/>
      <c r="I39" s="72"/>
      <c r="J39" s="72"/>
    </row>
    <row r="40" ht="15" customHeight="1">
      <c r="B40" s="73" t="s">
        <v>108</v>
      </c>
      <c r="C40" s="73"/>
      <c r="D40" s="73"/>
      <c r="E40" s="73"/>
      <c r="F40" s="73"/>
      <c r="G40" s="73"/>
      <c r="H40" s="73"/>
      <c r="I40" s="73"/>
      <c r="J40" s="73"/>
    </row>
    <row r="41" ht="15" customHeight="1">
      <c r="B41" s="73" t="s">
        <v>109</v>
      </c>
      <c r="C41" s="73"/>
      <c r="D41" s="73"/>
      <c r="E41" s="73"/>
      <c r="F41" s="73"/>
      <c r="G41" s="73"/>
      <c r="H41" s="73"/>
      <c r="I41" s="73"/>
      <c r="J41" s="73"/>
    </row>
    <row r="42" ht="15" customHeight="1"/>
    <row r="43" ht="15" customHeight="1"/>
    <row r="44" ht="15" customHeight="1"/>
    <row r="45" ht="15" customHeight="1">
      <c r="B45" s="72" t="s">
        <v>491</v>
      </c>
      <c r="C45" s="72"/>
      <c r="D45" s="72"/>
      <c r="E45" s="72"/>
      <c r="F45" s="72"/>
      <c r="G45" s="72"/>
      <c r="H45" s="72"/>
      <c r="I45" s="72"/>
      <c r="J45" s="72"/>
    </row>
    <row r="46" ht="15" customHeight="1">
      <c r="B46" s="73" t="s">
        <v>492</v>
      </c>
      <c r="C46" s="73"/>
      <c r="D46" s="73"/>
      <c r="E46" s="73"/>
      <c r="F46" s="73"/>
      <c r="G46" s="73"/>
      <c r="H46" s="73"/>
      <c r="I46" s="73"/>
      <c r="J46" s="73"/>
    </row>
    <row r="47" ht="15" customHeight="1">
      <c r="B47" s="73" t="s">
        <v>112</v>
      </c>
      <c r="C47" s="73"/>
      <c r="D47" s="73"/>
      <c r="E47" s="73"/>
      <c r="F47" s="73"/>
      <c r="G47" s="73"/>
      <c r="H47" s="73"/>
      <c r="I47" s="73"/>
      <c r="J47" s="73"/>
    </row>
    <row r="48" ht="15" customHeight="1"/>
    <row r="49" ht="15" customHeight="1"/>
    <row r="50" ht="15" customHeight="1"/>
    <row r="51" ht="15" customHeight="1">
      <c r="B51" s="72" t="s">
        <v>493</v>
      </c>
      <c r="C51" s="72"/>
      <c r="D51" s="72"/>
      <c r="E51" s="72"/>
      <c r="F51" s="72"/>
      <c r="G51" s="72"/>
      <c r="H51" s="72"/>
      <c r="I51" s="72"/>
      <c r="J51" s="72"/>
    </row>
    <row r="52" ht="15" customHeight="1">
      <c r="B52" s="73" t="s">
        <v>494</v>
      </c>
      <c r="C52" s="73"/>
      <c r="D52" s="73"/>
      <c r="E52" s="73"/>
      <c r="F52" s="73"/>
      <c r="G52" s="73"/>
      <c r="H52" s="73"/>
      <c r="I52" s="73"/>
      <c r="J52" s="73"/>
    </row>
    <row r="53" ht="15" customHeight="1">
      <c r="B53" s="73" t="s">
        <v>112</v>
      </c>
      <c r="C53" s="73"/>
      <c r="D53" s="73"/>
      <c r="E53" s="73"/>
      <c r="F53" s="73"/>
      <c r="G53" s="73"/>
      <c r="H53" s="73"/>
      <c r="I53" s="73"/>
      <c r="J53" s="73"/>
    </row>
    <row r="54" ht="15" customHeight="1"/>
    <row r="55" ht="15" customHeight="1"/>
    <row r="56" ht="15" customHeight="1"/>
    <row r="57" ht="15" customHeight="1">
      <c r="B57" s="72" t="s">
        <v>289</v>
      </c>
      <c r="C57" s="72"/>
      <c r="D57" s="72"/>
      <c r="E57" s="72"/>
      <c r="F57" s="72"/>
      <c r="G57" s="72"/>
      <c r="H57" s="72"/>
      <c r="I57" s="72"/>
      <c r="J57" s="72"/>
    </row>
    <row r="58" ht="15" customHeight="1">
      <c r="B58" s="73" t="s">
        <v>495</v>
      </c>
      <c r="C58" s="73"/>
      <c r="D58" s="73"/>
      <c r="E58" s="73"/>
      <c r="F58" s="73"/>
      <c r="G58" s="73"/>
      <c r="H58" s="73"/>
      <c r="I58" s="73"/>
      <c r="J58" s="73"/>
    </row>
    <row r="59" ht="15" customHeight="1">
      <c r="B59" s="73" t="s">
        <v>101</v>
      </c>
      <c r="C59" s="73"/>
      <c r="D59" s="73"/>
      <c r="E59" s="73"/>
      <c r="F59" s="73"/>
      <c r="G59" s="73"/>
      <c r="H59" s="73"/>
      <c r="I59" s="73"/>
      <c r="J59" s="73"/>
    </row>
    <row r="60" ht="15" customHeight="1"/>
    <row r="61" ht="15" customHeight="1"/>
    <row r="62" ht="15" customHeight="1"/>
    <row r="63" ht="15" customHeight="1">
      <c r="B63" s="72" t="s">
        <v>119</v>
      </c>
      <c r="C63" s="72"/>
      <c r="D63" s="72"/>
      <c r="E63" s="72"/>
      <c r="F63" s="72"/>
      <c r="G63" s="72"/>
      <c r="H63" s="72"/>
      <c r="I63" s="72"/>
      <c r="J63" s="72"/>
    </row>
    <row r="64" ht="15" customHeight="1">
      <c r="B64" s="73" t="s">
        <v>120</v>
      </c>
      <c r="C64" s="73"/>
      <c r="D64" s="73"/>
      <c r="E64" s="73"/>
      <c r="F64" s="73"/>
      <c r="G64" s="73"/>
      <c r="H64" s="73"/>
      <c r="I64" s="73"/>
      <c r="J64" s="73"/>
    </row>
    <row r="65" ht="15" customHeight="1">
      <c r="B65" s="73" t="s">
        <v>496</v>
      </c>
      <c r="C65" s="73"/>
      <c r="D65" s="73"/>
      <c r="E65" s="73"/>
      <c r="F65" s="73"/>
      <c r="G65" s="73"/>
      <c r="H65" s="73"/>
      <c r="I65" s="73"/>
      <c r="J65" s="73"/>
    </row>
    <row r="66" ht="15" customHeight="1"/>
    <row r="67" ht="15" customHeight="1"/>
    <row r="68" ht="15" customHeight="1"/>
    <row r="69" ht="15" customHeight="1"/>
    <row r="70" ht="15" customHeight="1"/>
    <row r="71" ht="15" customHeight="1"/>
    <row r="72" ht="15" customHeight="1"/>
    <row r="73" ht="15" customHeight="1">
      <c r="B73" s="72" t="s">
        <v>122</v>
      </c>
      <c r="C73" s="72"/>
      <c r="D73" s="72"/>
      <c r="E73" s="72"/>
      <c r="F73" s="72"/>
      <c r="G73" s="72"/>
      <c r="H73" s="72"/>
      <c r="I73" s="72"/>
      <c r="J73" s="72"/>
    </row>
    <row r="74" ht="15" customHeight="1">
      <c r="B74" s="73" t="s">
        <v>123</v>
      </c>
      <c r="C74" s="73"/>
      <c r="D74" s="73"/>
      <c r="E74" s="73"/>
      <c r="F74" s="73"/>
      <c r="G74" s="73"/>
      <c r="H74" s="73"/>
      <c r="I74" s="73"/>
      <c r="J74" s="73"/>
    </row>
    <row r="75" ht="15" customHeight="1">
      <c r="B75" s="73" t="s">
        <v>124</v>
      </c>
      <c r="C75" s="73"/>
      <c r="D75" s="73"/>
      <c r="E75" s="73"/>
      <c r="F75" s="73"/>
      <c r="G75" s="73"/>
      <c r="H75" s="73"/>
      <c r="I75" s="73"/>
      <c r="J75" s="73"/>
    </row>
    <row r="76" ht="15" customHeight="1"/>
    <row r="77" ht="15" customHeight="1"/>
    <row r="78" ht="15" customHeight="1"/>
    <row r="79" ht="15" customHeight="1">
      <c r="B79" s="72" t="s">
        <v>125</v>
      </c>
      <c r="C79" s="72"/>
      <c r="D79" s="72"/>
      <c r="E79" s="72"/>
      <c r="F79" s="72"/>
      <c r="G79" s="72"/>
      <c r="H79" s="72"/>
      <c r="I79" s="72"/>
      <c r="J79" s="72"/>
    </row>
    <row r="80" ht="15" customHeight="1">
      <c r="B80" s="73" t="s">
        <v>497</v>
      </c>
      <c r="C80" s="73"/>
      <c r="D80" s="73"/>
      <c r="E80" s="73"/>
      <c r="F80" s="73"/>
      <c r="G80" s="73"/>
      <c r="H80" s="73"/>
      <c r="I80" s="73"/>
      <c r="J80" s="73"/>
    </row>
    <row r="81" ht="15" customHeight="1">
      <c r="B81" s="73" t="s">
        <v>127</v>
      </c>
      <c r="C81" s="73"/>
      <c r="D81" s="73"/>
      <c r="E81" s="73"/>
      <c r="F81" s="73"/>
      <c r="G81" s="73"/>
      <c r="H81" s="73"/>
      <c r="I81" s="73"/>
      <c r="J81" s="73"/>
    </row>
    <row r="82" ht="15" customHeight="1"/>
    <row r="83" ht="15" customHeight="1"/>
    <row r="84" ht="15" customHeight="1"/>
    <row r="85" ht="15" customHeight="1"/>
    <row r="86" ht="15" customHeight="1">
      <c r="B86" s="49" t="s">
        <v>128</v>
      </c>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c r="AH86" s="49"/>
      <c r="AI86" s="49"/>
      <c r="AJ86" s="49"/>
      <c r="AK86" s="49"/>
      <c r="AL86" s="49"/>
      <c r="AM86" s="49"/>
      <c r="AN86" s="49"/>
      <c r="AO86" s="49"/>
      <c r="AP86" s="49"/>
      <c r="AQ86" s="49"/>
      <c r="AR86" s="49"/>
      <c r="AS86" s="49"/>
      <c r="AT86" s="49"/>
      <c r="AU86" s="49"/>
      <c r="AV86" s="49"/>
      <c r="AW86" s="49"/>
      <c r="AX86" s="49"/>
      <c r="AY86" s="49"/>
      <c r="AZ86" s="49"/>
      <c r="BA86" s="49"/>
      <c r="BB86" s="49"/>
      <c r="BC86" s="49"/>
      <c r="BD86" s="49"/>
      <c r="BE86" s="49"/>
      <c r="BF86" s="49"/>
      <c r="BG86" s="49"/>
      <c r="BH86" s="49"/>
      <c r="BI86" s="49"/>
      <c r="BJ86" s="49"/>
      <c r="BK86" s="49"/>
      <c r="BL86" s="49"/>
      <c r="BM86" s="49"/>
      <c r="BN86" s="49"/>
      <c r="BO86" s="49"/>
      <c r="BP86" s="49"/>
      <c r="BQ86" s="49"/>
      <c r="BR86" s="49"/>
      <c r="BS86" s="49"/>
      <c r="BT86" s="49"/>
      <c r="BU86" s="49"/>
      <c r="BV86" s="49"/>
      <c r="BW86" s="49"/>
      <c r="BX86" s="49"/>
      <c r="BY86" s="49"/>
      <c r="BZ86" s="49"/>
      <c r="CA86" s="49"/>
      <c r="CB86" s="49"/>
      <c r="CC86" s="49"/>
      <c r="CD86" s="70" t="s">
        <v>94</v>
      </c>
      <c r="CE86" s="70"/>
      <c r="CF86" s="70"/>
      <c r="CG86" s="70"/>
      <c r="CH86" s="70"/>
      <c r="CI86" s="70"/>
    </row>
    <row r="87" ht="15" customHeight="1">
      <c r="B87" s="49"/>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c r="AH87" s="49"/>
      <c r="AI87" s="49"/>
      <c r="AJ87" s="49"/>
      <c r="AK87" s="49"/>
      <c r="AL87" s="49"/>
      <c r="AM87" s="49"/>
      <c r="AN87" s="49"/>
      <c r="AO87" s="49"/>
      <c r="AP87" s="49"/>
      <c r="AQ87" s="49"/>
      <c r="AR87" s="49"/>
      <c r="AS87" s="49"/>
      <c r="AT87" s="49"/>
      <c r="AU87" s="49"/>
      <c r="AV87" s="49"/>
      <c r="AW87" s="49"/>
      <c r="AX87" s="49"/>
      <c r="AY87" s="49"/>
      <c r="AZ87" s="49"/>
      <c r="BA87" s="49"/>
      <c r="BB87" s="49"/>
      <c r="BC87" s="49"/>
      <c r="BD87" s="49"/>
      <c r="BE87" s="49"/>
      <c r="BF87" s="49"/>
      <c r="BG87" s="49"/>
      <c r="BH87" s="49"/>
      <c r="BI87" s="49"/>
      <c r="BJ87" s="49"/>
      <c r="BK87" s="49"/>
      <c r="BL87" s="49"/>
      <c r="BM87" s="49"/>
      <c r="BN87" s="49"/>
      <c r="BO87" s="49"/>
      <c r="BP87" s="49"/>
      <c r="BQ87" s="49"/>
      <c r="BR87" s="49"/>
      <c r="BS87" s="49"/>
      <c r="BT87" s="49"/>
      <c r="BU87" s="49"/>
      <c r="BV87" s="49"/>
      <c r="BW87" s="49"/>
      <c r="BX87" s="49"/>
      <c r="BY87" s="49"/>
      <c r="BZ87" s="49"/>
      <c r="CA87" s="49"/>
      <c r="CB87" s="49"/>
      <c r="CC87" s="49"/>
      <c r="CD87" s="70"/>
      <c r="CE87" s="70"/>
      <c r="CF87" s="70"/>
      <c r="CG87" s="70"/>
      <c r="CH87" s="70"/>
      <c r="CI87" s="70"/>
    </row>
    <row r="88" ht="15" customHeight="1">
      <c r="B88" s="44" t="s">
        <v>129</v>
      </c>
      <c r="C88" s="44"/>
      <c r="D88" s="44"/>
      <c r="E88" s="44"/>
      <c r="F88" s="44"/>
      <c r="G88" s="44"/>
      <c r="H88" s="44"/>
      <c r="I88" s="44"/>
      <c r="J88" s="44"/>
      <c r="K88" s="44"/>
      <c r="L88" s="44"/>
      <c r="M88" s="44"/>
      <c r="N88" s="44"/>
      <c r="O88" s="44"/>
      <c r="P88" s="44"/>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c r="AS88" s="44"/>
      <c r="AT88" s="44"/>
      <c r="AU88" s="44"/>
      <c r="AV88" s="44"/>
      <c r="AW88" s="44"/>
      <c r="AX88" s="44"/>
      <c r="AY88" s="44"/>
      <c r="AZ88" s="44"/>
      <c r="BA88" s="44"/>
      <c r="BB88" s="44"/>
      <c r="BC88" s="44"/>
      <c r="BD88" s="44"/>
      <c r="BE88" s="44"/>
      <c r="BF88" s="44"/>
      <c r="BG88" s="44"/>
      <c r="BH88" s="44"/>
      <c r="BI88" s="44"/>
      <c r="BJ88" s="44"/>
      <c r="BK88" s="44"/>
      <c r="BL88" s="44"/>
      <c r="BM88" s="44"/>
      <c r="BN88" s="44"/>
      <c r="BO88" s="44"/>
      <c r="BP88" s="44"/>
      <c r="BQ88" s="44"/>
      <c r="BR88" s="44"/>
      <c r="BS88" s="44"/>
      <c r="BT88" s="44"/>
      <c r="BU88" s="44"/>
      <c r="BV88" s="44"/>
      <c r="BW88" s="44"/>
      <c r="BX88" s="44"/>
      <c r="BY88" s="44"/>
      <c r="BZ88" s="44"/>
      <c r="CA88" s="44"/>
      <c r="CB88" s="44"/>
      <c r="CC88" s="44"/>
      <c r="CD88" s="44"/>
      <c r="CE88" s="44"/>
      <c r="CF88" s="44"/>
      <c r="CG88" s="44"/>
      <c r="CH88" s="44"/>
      <c r="CI88" s="44"/>
    </row>
    <row r="89" ht="15" customHeight="1">
      <c r="B89" s="71" t="s">
        <v>32</v>
      </c>
      <c r="C89" s="71"/>
      <c r="D89" s="71"/>
      <c r="E89" s="71"/>
      <c r="F89" s="71"/>
      <c r="G89" s="71"/>
      <c r="H89" s="71"/>
      <c r="I89" s="71"/>
      <c r="J89" s="71"/>
      <c r="L89" s="62" t="s">
        <v>74</v>
      </c>
      <c r="M89" s="62"/>
      <c r="N89" s="62"/>
      <c r="O89" s="62"/>
      <c r="P89" s="62"/>
      <c r="Q89" s="62"/>
      <c r="R89" s="62"/>
      <c r="S89" s="62"/>
      <c r="T89" s="62"/>
      <c r="U89" s="62"/>
      <c r="W89" s="63" t="s">
        <v>96</v>
      </c>
      <c r="X89" s="63"/>
      <c r="Y89" s="63"/>
      <c r="Z89" s="63"/>
      <c r="AA89" s="63"/>
      <c r="AB89" s="63"/>
      <c r="AC89" s="63"/>
      <c r="AD89" s="63"/>
      <c r="AE89" s="63"/>
      <c r="AF89" s="63"/>
      <c r="AH89" s="64" t="s">
        <v>97</v>
      </c>
      <c r="AI89" s="64"/>
      <c r="AJ89" s="64"/>
      <c r="AK89" s="64"/>
      <c r="AL89" s="64"/>
      <c r="AM89" s="64"/>
      <c r="AN89" s="64"/>
      <c r="AO89" s="64"/>
      <c r="AP89" s="64"/>
      <c r="AQ89" s="64"/>
      <c r="AS89" s="65" t="s">
        <v>98</v>
      </c>
      <c r="AT89" s="65"/>
      <c r="AU89" s="65"/>
      <c r="AV89" s="65"/>
      <c r="AW89" s="65"/>
      <c r="AX89" s="65"/>
      <c r="AY89" s="65"/>
      <c r="AZ89" s="65"/>
      <c r="BA89" s="65"/>
      <c r="BB89" s="65"/>
      <c r="BD89" s="80" t="s">
        <v>487</v>
      </c>
      <c r="BE89" s="80"/>
      <c r="BF89" s="80"/>
      <c r="BG89" s="80"/>
      <c r="BH89" s="80"/>
      <c r="BI89" s="80"/>
      <c r="BJ89" s="80"/>
      <c r="BK89" s="80"/>
      <c r="BL89" s="80"/>
      <c r="BM89" s="80"/>
      <c r="BO89" s="84" t="s">
        <v>488</v>
      </c>
      <c r="BP89" s="84"/>
      <c r="BQ89" s="84"/>
      <c r="BR89" s="84"/>
      <c r="BS89" s="84"/>
      <c r="BT89" s="84"/>
      <c r="BU89" s="84"/>
      <c r="BV89" s="84"/>
      <c r="BW89" s="84"/>
      <c r="BX89" s="84"/>
      <c r="BZ89" s="88" t="s">
        <v>489</v>
      </c>
      <c r="CA89" s="88"/>
      <c r="CB89" s="88"/>
      <c r="CC89" s="88"/>
      <c r="CD89" s="88"/>
      <c r="CE89" s="88"/>
      <c r="CF89" s="88"/>
      <c r="CG89" s="88"/>
      <c r="CH89" s="88"/>
      <c r="CI89" s="88"/>
    </row>
    <row r="90" ht="15" customHeight="1">
      <c r="L90" s="45" t="s">
        <v>130</v>
      </c>
      <c r="M90" s="45"/>
      <c r="N90" s="45"/>
      <c r="O90" s="45"/>
      <c r="P90" s="45"/>
      <c r="Q90" s="45"/>
      <c r="R90" s="45"/>
      <c r="S90" s="45"/>
      <c r="T90" s="45"/>
      <c r="U90" s="45"/>
      <c r="V90" s="45"/>
      <c r="W90" s="45"/>
      <c r="X90" s="45"/>
      <c r="Y90" s="45"/>
      <c r="Z90" s="45"/>
      <c r="AA90" s="45"/>
      <c r="AB90" s="45"/>
      <c r="AC90" s="45"/>
      <c r="AD90" s="45"/>
      <c r="AE90" s="45"/>
      <c r="AF90" s="45"/>
      <c r="AG90" s="45"/>
      <c r="AH90" s="45"/>
      <c r="AI90" s="45"/>
      <c r="AJ90" s="45"/>
      <c r="AK90" s="45"/>
      <c r="AL90" s="45"/>
      <c r="AM90" s="45"/>
      <c r="AN90" s="45"/>
      <c r="AO90" s="45"/>
      <c r="AP90" s="45"/>
      <c r="AQ90" s="45"/>
      <c r="AR90" s="45"/>
      <c r="AS90" s="45"/>
      <c r="AT90" s="45"/>
      <c r="AU90" s="45"/>
      <c r="AV90" s="45"/>
      <c r="AW90" s="45"/>
      <c r="AX90" s="45"/>
      <c r="AY90" s="45"/>
      <c r="AZ90" s="45"/>
      <c r="BA90" s="45"/>
      <c r="BB90" s="45"/>
      <c r="BC90" s="45"/>
      <c r="BD90" s="45"/>
      <c r="BE90" s="45"/>
      <c r="BF90" s="45"/>
      <c r="BG90" s="45"/>
      <c r="BH90" s="45"/>
      <c r="BI90" s="45"/>
      <c r="BJ90" s="45"/>
      <c r="BK90" s="45"/>
      <c r="BL90" s="45"/>
      <c r="BM90" s="45"/>
      <c r="BN90" s="45"/>
      <c r="BO90" s="45"/>
      <c r="BP90" s="45"/>
      <c r="BQ90" s="45"/>
      <c r="BR90" s="45"/>
      <c r="BS90" s="45"/>
      <c r="BT90" s="45"/>
      <c r="BU90" s="45"/>
      <c r="BV90" s="45"/>
      <c r="BW90" s="45"/>
      <c r="BX90" s="45"/>
      <c r="BY90" s="45"/>
      <c r="BZ90" s="45"/>
      <c r="CA90" s="45"/>
      <c r="CB90" s="45"/>
      <c r="CC90" s="45"/>
      <c r="CD90" s="45"/>
      <c r="CE90" s="45"/>
      <c r="CF90" s="45"/>
      <c r="CG90" s="45"/>
      <c r="CH90" s="45"/>
      <c r="CI90" s="45"/>
    </row>
    <row r="91" ht="15" customHeight="1">
      <c r="B91" s="72" t="s">
        <v>131</v>
      </c>
      <c r="C91" s="72"/>
      <c r="D91" s="72"/>
      <c r="E91" s="72"/>
      <c r="F91" s="72"/>
      <c r="G91" s="72"/>
      <c r="H91" s="72"/>
      <c r="I91" s="72"/>
      <c r="J91" s="72"/>
    </row>
    <row r="92" ht="15" customHeight="1">
      <c r="B92" s="73" t="s">
        <v>132</v>
      </c>
      <c r="C92" s="73"/>
      <c r="D92" s="73"/>
      <c r="E92" s="73"/>
      <c r="F92" s="73"/>
      <c r="G92" s="73"/>
      <c r="H92" s="73"/>
      <c r="I92" s="73"/>
      <c r="J92" s="73"/>
    </row>
    <row r="93" ht="15" customHeight="1"/>
    <row r="94" ht="15" customHeight="1">
      <c r="B94" s="72" t="s">
        <v>133</v>
      </c>
      <c r="C94" s="72"/>
      <c r="D94" s="72"/>
      <c r="E94" s="72"/>
      <c r="F94" s="72"/>
      <c r="G94" s="72"/>
      <c r="H94" s="72"/>
      <c r="I94" s="72"/>
      <c r="J94" s="72"/>
    </row>
    <row r="95" ht="15" customHeight="1">
      <c r="B95" s="73" t="s">
        <v>134</v>
      </c>
      <c r="C95" s="73"/>
      <c r="D95" s="73"/>
      <c r="E95" s="73"/>
      <c r="F95" s="73"/>
      <c r="G95" s="73"/>
      <c r="H95" s="73"/>
      <c r="I95" s="73"/>
      <c r="J95" s="73"/>
    </row>
    <row r="96" ht="15" customHeight="1"/>
    <row r="97" ht="15" customHeight="1">
      <c r="B97" s="72" t="s">
        <v>135</v>
      </c>
      <c r="C97" s="72"/>
      <c r="D97" s="72"/>
      <c r="E97" s="72"/>
      <c r="F97" s="72"/>
      <c r="G97" s="72"/>
      <c r="H97" s="72"/>
      <c r="I97" s="72"/>
      <c r="J97" s="72"/>
    </row>
    <row r="98" ht="15" customHeight="1">
      <c r="B98" s="73" t="s">
        <v>136</v>
      </c>
      <c r="C98" s="73"/>
      <c r="D98" s="73"/>
      <c r="E98" s="73"/>
      <c r="F98" s="73"/>
      <c r="G98" s="73"/>
      <c r="H98" s="73"/>
      <c r="I98" s="73"/>
      <c r="J98" s="73"/>
    </row>
    <row r="99" ht="15" customHeight="1"/>
    <row r="100" ht="15" customHeight="1">
      <c r="B100" s="72" t="s">
        <v>137</v>
      </c>
      <c r="C100" s="72"/>
      <c r="D100" s="72"/>
      <c r="E100" s="72"/>
      <c r="F100" s="72"/>
      <c r="G100" s="72"/>
      <c r="H100" s="72"/>
      <c r="I100" s="72"/>
      <c r="J100" s="72"/>
    </row>
    <row r="101" ht="15" customHeight="1">
      <c r="B101" s="73" t="s">
        <v>138</v>
      </c>
      <c r="C101" s="73"/>
      <c r="D101" s="73"/>
      <c r="E101" s="73"/>
      <c r="F101" s="73"/>
      <c r="G101" s="73"/>
      <c r="H101" s="73"/>
      <c r="I101" s="73"/>
      <c r="J101" s="73"/>
    </row>
    <row r="102" ht="15" customHeight="1"/>
    <row r="103" ht="15" customHeight="1">
      <c r="B103" s="72" t="s">
        <v>139</v>
      </c>
      <c r="C103" s="72"/>
      <c r="D103" s="72"/>
      <c r="E103" s="72"/>
      <c r="F103" s="72"/>
      <c r="G103" s="72"/>
      <c r="H103" s="72"/>
      <c r="I103" s="72"/>
      <c r="J103" s="72"/>
    </row>
    <row r="104" ht="15" customHeight="1">
      <c r="B104" s="73" t="s">
        <v>140</v>
      </c>
      <c r="C104" s="73"/>
      <c r="D104" s="73"/>
      <c r="E104" s="73"/>
      <c r="F104" s="73"/>
      <c r="G104" s="73"/>
      <c r="H104" s="73"/>
      <c r="I104" s="73"/>
      <c r="J104" s="73"/>
    </row>
    <row r="105" ht="15" customHeight="1"/>
    <row r="106" ht="15" customHeight="1">
      <c r="B106" s="72" t="s">
        <v>141</v>
      </c>
      <c r="C106" s="72"/>
      <c r="D106" s="72"/>
      <c r="E106" s="72"/>
      <c r="F106" s="72"/>
      <c r="G106" s="72"/>
      <c r="H106" s="72"/>
      <c r="I106" s="72"/>
      <c r="J106" s="72"/>
    </row>
    <row r="107" ht="15" customHeight="1">
      <c r="B107" s="73" t="s">
        <v>142</v>
      </c>
      <c r="C107" s="73"/>
      <c r="D107" s="73"/>
      <c r="E107" s="73"/>
      <c r="F107" s="73"/>
      <c r="G107" s="73"/>
      <c r="H107" s="73"/>
      <c r="I107" s="73"/>
      <c r="J107" s="73"/>
    </row>
    <row r="108" ht="15" customHeight="1"/>
    <row r="109" ht="15" customHeight="1">
      <c r="B109" s="72" t="s">
        <v>143</v>
      </c>
      <c r="C109" s="72"/>
      <c r="D109" s="72"/>
      <c r="E109" s="72"/>
      <c r="F109" s="72"/>
      <c r="G109" s="72"/>
      <c r="H109" s="72"/>
      <c r="I109" s="72"/>
      <c r="J109" s="72"/>
    </row>
    <row r="110" ht="15" customHeight="1">
      <c r="B110" s="73" t="s">
        <v>144</v>
      </c>
      <c r="C110" s="73"/>
      <c r="D110" s="73"/>
      <c r="E110" s="73"/>
      <c r="F110" s="73"/>
      <c r="G110" s="73"/>
      <c r="H110" s="73"/>
      <c r="I110" s="73"/>
      <c r="J110" s="73"/>
    </row>
    <row r="111" ht="15" customHeight="1"/>
    <row r="112" ht="15" customHeight="1">
      <c r="B112" s="72" t="s">
        <v>145</v>
      </c>
      <c r="C112" s="72"/>
      <c r="D112" s="72"/>
      <c r="E112" s="72"/>
      <c r="F112" s="72"/>
      <c r="G112" s="72"/>
      <c r="H112" s="72"/>
      <c r="I112" s="72"/>
      <c r="J112" s="72"/>
    </row>
    <row r="113" ht="15" customHeight="1">
      <c r="B113" s="73" t="s">
        <v>146</v>
      </c>
      <c r="C113" s="73"/>
      <c r="D113" s="73"/>
      <c r="E113" s="73"/>
      <c r="F113" s="73"/>
      <c r="G113" s="73"/>
      <c r="H113" s="73"/>
      <c r="I113" s="73"/>
      <c r="J113" s="73"/>
    </row>
    <row r="114" ht="15" customHeight="1"/>
    <row r="115" ht="15" customHeight="1">
      <c r="B115" s="72" t="s">
        <v>147</v>
      </c>
      <c r="C115" s="72"/>
      <c r="D115" s="72"/>
      <c r="E115" s="72"/>
      <c r="F115" s="72"/>
      <c r="G115" s="72"/>
      <c r="H115" s="72"/>
      <c r="I115" s="72"/>
      <c r="J115" s="72"/>
    </row>
    <row r="116" ht="15" customHeight="1">
      <c r="B116" s="73" t="s">
        <v>148</v>
      </c>
      <c r="C116" s="73"/>
      <c r="D116" s="73"/>
      <c r="E116" s="73"/>
      <c r="F116" s="73"/>
      <c r="G116" s="73"/>
      <c r="H116" s="73"/>
      <c r="I116" s="73"/>
      <c r="J116" s="73"/>
    </row>
    <row r="117" ht="15" customHeight="1"/>
    <row r="118" ht="15" customHeight="1"/>
    <row r="119" ht="15" customHeight="1">
      <c r="B119" s="72" t="s">
        <v>149</v>
      </c>
      <c r="C119" s="72"/>
      <c r="D119" s="72"/>
      <c r="E119" s="72"/>
      <c r="F119" s="72"/>
      <c r="G119" s="72"/>
      <c r="H119" s="72"/>
      <c r="I119" s="72"/>
      <c r="J119" s="72"/>
    </row>
    <row r="120" ht="15" customHeight="1">
      <c r="B120" s="73" t="s">
        <v>150</v>
      </c>
      <c r="C120" s="73"/>
      <c r="D120" s="73"/>
      <c r="E120" s="73"/>
      <c r="F120" s="73"/>
      <c r="G120" s="73"/>
      <c r="H120" s="73"/>
      <c r="I120" s="73"/>
      <c r="J120" s="73"/>
    </row>
    <row r="121" ht="15" customHeight="1">
      <c r="B121" s="73" t="s">
        <v>151</v>
      </c>
      <c r="C121" s="73"/>
      <c r="D121" s="73"/>
      <c r="E121" s="73"/>
      <c r="F121" s="73"/>
      <c r="G121" s="73"/>
      <c r="H121" s="73"/>
      <c r="I121" s="73"/>
      <c r="J121" s="73"/>
    </row>
    <row r="122" ht="15" customHeight="1">
      <c r="B122" s="73" t="s">
        <v>152</v>
      </c>
      <c r="C122" s="73"/>
      <c r="D122" s="73"/>
      <c r="E122" s="73"/>
      <c r="F122" s="73"/>
      <c r="G122" s="73"/>
      <c r="H122" s="73"/>
      <c r="I122" s="73"/>
      <c r="J122" s="73"/>
    </row>
    <row r="123" ht="15" customHeight="1"/>
    <row r="124" ht="15" customHeight="1"/>
    <row r="125" ht="15" customHeight="1"/>
    <row r="126" ht="15" customHeight="1"/>
    <row r="127" ht="15" customHeight="1"/>
    <row r="128" ht="15" customHeight="1"/>
    <row r="129" ht="15" customHeight="1"/>
    <row r="130" ht="15" customHeight="1">
      <c r="B130" s="49" t="s">
        <v>153</v>
      </c>
      <c r="C130" s="49"/>
      <c r="D130" s="49"/>
      <c r="E130" s="49"/>
      <c r="F130" s="49"/>
      <c r="G130" s="49"/>
      <c r="H130" s="49"/>
      <c r="I130" s="49"/>
      <c r="J130" s="49"/>
      <c r="K130" s="49"/>
      <c r="L130" s="49"/>
      <c r="M130" s="49"/>
      <c r="N130" s="49"/>
      <c r="O130" s="49"/>
      <c r="P130" s="49"/>
      <c r="Q130" s="49"/>
      <c r="R130" s="49"/>
      <c r="S130" s="49"/>
      <c r="T130" s="49"/>
      <c r="U130" s="49"/>
      <c r="V130" s="49"/>
      <c r="W130" s="49"/>
      <c r="X130" s="49"/>
      <c r="Y130" s="49"/>
      <c r="Z130" s="49"/>
      <c r="AA130" s="49"/>
      <c r="AB130" s="49"/>
      <c r="AC130" s="49"/>
      <c r="AD130" s="49"/>
      <c r="AE130" s="49"/>
      <c r="AF130" s="49"/>
      <c r="AG130" s="49"/>
      <c r="AH130" s="49"/>
      <c r="AI130" s="49"/>
      <c r="AJ130" s="49"/>
      <c r="AK130" s="49"/>
      <c r="AL130" s="49"/>
      <c r="AM130" s="49"/>
      <c r="AN130" s="49"/>
      <c r="AO130" s="49"/>
      <c r="AP130" s="49"/>
      <c r="AQ130" s="49"/>
      <c r="AR130" s="49"/>
      <c r="AS130" s="49"/>
      <c r="AT130" s="49"/>
      <c r="AU130" s="49"/>
      <c r="AV130" s="49"/>
      <c r="AW130" s="49"/>
      <c r="AX130" s="49"/>
      <c r="AY130" s="49"/>
      <c r="AZ130" s="49"/>
      <c r="BA130" s="49"/>
      <c r="BB130" s="49"/>
      <c r="BC130" s="49"/>
      <c r="BD130" s="49"/>
      <c r="BE130" s="49"/>
      <c r="BF130" s="49"/>
      <c r="BG130" s="49"/>
      <c r="BH130" s="49"/>
      <c r="BI130" s="49"/>
      <c r="BJ130" s="49"/>
      <c r="BK130" s="49"/>
      <c r="BL130" s="49"/>
      <c r="BM130" s="49"/>
      <c r="BN130" s="49"/>
      <c r="BO130" s="49"/>
      <c r="BP130" s="49"/>
      <c r="BQ130" s="49"/>
      <c r="BR130" s="49"/>
      <c r="BS130" s="49"/>
      <c r="BT130" s="49"/>
      <c r="BU130" s="49"/>
      <c r="BV130" s="49"/>
      <c r="BW130" s="49"/>
      <c r="BX130" s="49"/>
      <c r="BY130" s="49"/>
      <c r="BZ130" s="49"/>
      <c r="CA130" s="49"/>
      <c r="CB130" s="49"/>
      <c r="CC130" s="49"/>
      <c r="CD130" s="70" t="s">
        <v>94</v>
      </c>
      <c r="CE130" s="70"/>
      <c r="CF130" s="70"/>
      <c r="CG130" s="70"/>
      <c r="CH130" s="70"/>
      <c r="CI130" s="70"/>
    </row>
    <row r="131" ht="15" customHeight="1">
      <c r="B131" s="49"/>
      <c r="C131" s="49"/>
      <c r="D131" s="49"/>
      <c r="E131" s="49"/>
      <c r="F131" s="49"/>
      <c r="G131" s="49"/>
      <c r="H131" s="49"/>
      <c r="I131" s="49"/>
      <c r="J131" s="49"/>
      <c r="K131" s="49"/>
      <c r="L131" s="49"/>
      <c r="M131" s="49"/>
      <c r="N131" s="49"/>
      <c r="O131" s="49"/>
      <c r="P131" s="49"/>
      <c r="Q131" s="49"/>
      <c r="R131" s="49"/>
      <c r="S131" s="49"/>
      <c r="T131" s="49"/>
      <c r="U131" s="49"/>
      <c r="V131" s="49"/>
      <c r="W131" s="49"/>
      <c r="X131" s="49"/>
      <c r="Y131" s="49"/>
      <c r="Z131" s="49"/>
      <c r="AA131" s="49"/>
      <c r="AB131" s="49"/>
      <c r="AC131" s="49"/>
      <c r="AD131" s="49"/>
      <c r="AE131" s="49"/>
      <c r="AF131" s="49"/>
      <c r="AG131" s="49"/>
      <c r="AH131" s="49"/>
      <c r="AI131" s="49"/>
      <c r="AJ131" s="49"/>
      <c r="AK131" s="49"/>
      <c r="AL131" s="49"/>
      <c r="AM131" s="49"/>
      <c r="AN131" s="49"/>
      <c r="AO131" s="49"/>
      <c r="AP131" s="49"/>
      <c r="AQ131" s="49"/>
      <c r="AR131" s="49"/>
      <c r="AS131" s="49"/>
      <c r="AT131" s="49"/>
      <c r="AU131" s="49"/>
      <c r="AV131" s="49"/>
      <c r="AW131" s="49"/>
      <c r="AX131" s="49"/>
      <c r="AY131" s="49"/>
      <c r="AZ131" s="49"/>
      <c r="BA131" s="49"/>
      <c r="BB131" s="49"/>
      <c r="BC131" s="49"/>
      <c r="BD131" s="49"/>
      <c r="BE131" s="49"/>
      <c r="BF131" s="49"/>
      <c r="BG131" s="49"/>
      <c r="BH131" s="49"/>
      <c r="BI131" s="49"/>
      <c r="BJ131" s="49"/>
      <c r="BK131" s="49"/>
      <c r="BL131" s="49"/>
      <c r="BM131" s="49"/>
      <c r="BN131" s="49"/>
      <c r="BO131" s="49"/>
      <c r="BP131" s="49"/>
      <c r="BQ131" s="49"/>
      <c r="BR131" s="49"/>
      <c r="BS131" s="49"/>
      <c r="BT131" s="49"/>
      <c r="BU131" s="49"/>
      <c r="BV131" s="49"/>
      <c r="BW131" s="49"/>
      <c r="BX131" s="49"/>
      <c r="BY131" s="49"/>
      <c r="BZ131" s="49"/>
      <c r="CA131" s="49"/>
      <c r="CB131" s="49"/>
      <c r="CC131" s="49"/>
      <c r="CD131" s="70"/>
      <c r="CE131" s="70"/>
      <c r="CF131" s="70"/>
      <c r="CG131" s="70"/>
      <c r="CH131" s="70"/>
      <c r="CI131" s="70"/>
    </row>
    <row r="132" ht="15" customHeight="1">
      <c r="B132" s="44" t="s">
        <v>498</v>
      </c>
      <c r="C132" s="44"/>
      <c r="D132" s="44"/>
      <c r="E132" s="44"/>
      <c r="F132" s="44"/>
      <c r="G132" s="44"/>
      <c r="H132" s="44"/>
      <c r="I132" s="44"/>
      <c r="J132" s="44"/>
      <c r="K132" s="44"/>
      <c r="L132" s="44"/>
      <c r="M132" s="44"/>
      <c r="N132" s="44"/>
      <c r="O132" s="44"/>
      <c r="P132" s="44"/>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c r="AS132" s="44"/>
      <c r="AT132" s="44"/>
      <c r="AU132" s="44"/>
      <c r="AV132" s="44"/>
      <c r="AW132" s="44"/>
      <c r="AX132" s="44"/>
      <c r="AY132" s="44"/>
      <c r="AZ132" s="44"/>
      <c r="BA132" s="44"/>
      <c r="BB132" s="44"/>
      <c r="BC132" s="44"/>
      <c r="BD132" s="44"/>
      <c r="BE132" s="44"/>
      <c r="BF132" s="44"/>
      <c r="BG132" s="44"/>
      <c r="BH132" s="44"/>
      <c r="BI132" s="44"/>
      <c r="BJ132" s="44"/>
      <c r="BK132" s="44"/>
      <c r="BL132" s="44"/>
      <c r="BM132" s="44"/>
      <c r="BN132" s="44"/>
      <c r="BO132" s="44"/>
      <c r="BP132" s="44"/>
      <c r="BQ132" s="44"/>
      <c r="BR132" s="44"/>
      <c r="BS132" s="44"/>
      <c r="BT132" s="44"/>
      <c r="BU132" s="44"/>
      <c r="BV132" s="44"/>
      <c r="BW132" s="44"/>
      <c r="BX132" s="44"/>
      <c r="BY132" s="44"/>
      <c r="BZ132" s="44"/>
      <c r="CA132" s="44"/>
      <c r="CB132" s="44"/>
      <c r="CC132" s="44"/>
      <c r="CD132" s="44"/>
      <c r="CE132" s="44"/>
      <c r="CF132" s="44"/>
      <c r="CG132" s="44"/>
      <c r="CH132" s="44"/>
      <c r="CI132" s="44"/>
    </row>
    <row r="133" ht="15" customHeight="1">
      <c r="B133" s="71" t="s">
        <v>32</v>
      </c>
      <c r="C133" s="71"/>
      <c r="D133" s="71"/>
      <c r="E133" s="71"/>
      <c r="F133" s="71"/>
      <c r="G133" s="71"/>
      <c r="H133" s="71"/>
      <c r="I133" s="71"/>
      <c r="J133" s="71"/>
      <c r="L133" s="62" t="s">
        <v>74</v>
      </c>
      <c r="M133" s="62"/>
      <c r="N133" s="62"/>
      <c r="O133" s="62"/>
      <c r="P133" s="62"/>
      <c r="Q133" s="62"/>
      <c r="R133" s="62"/>
      <c r="S133" s="62"/>
      <c r="T133" s="62"/>
      <c r="U133" s="62"/>
      <c r="W133" s="63" t="s">
        <v>96</v>
      </c>
      <c r="X133" s="63"/>
      <c r="Y133" s="63"/>
      <c r="Z133" s="63"/>
      <c r="AA133" s="63"/>
      <c r="AB133" s="63"/>
      <c r="AC133" s="63"/>
      <c r="AD133" s="63"/>
      <c r="AE133" s="63"/>
      <c r="AF133" s="63"/>
      <c r="AH133" s="64" t="s">
        <v>97</v>
      </c>
      <c r="AI133" s="64"/>
      <c r="AJ133" s="64"/>
      <c r="AK133" s="64"/>
      <c r="AL133" s="64"/>
      <c r="AM133" s="64"/>
      <c r="AN133" s="64"/>
      <c r="AO133" s="64"/>
      <c r="AP133" s="64"/>
      <c r="AQ133" s="64"/>
      <c r="AS133" s="65" t="s">
        <v>98</v>
      </c>
      <c r="AT133" s="65"/>
      <c r="AU133" s="65"/>
      <c r="AV133" s="65"/>
      <c r="AW133" s="65"/>
      <c r="AX133" s="65"/>
      <c r="AY133" s="65"/>
      <c r="AZ133" s="65"/>
      <c r="BA133" s="65"/>
      <c r="BB133" s="65"/>
      <c r="BD133" s="80" t="s">
        <v>487</v>
      </c>
      <c r="BE133" s="80"/>
      <c r="BF133" s="80"/>
      <c r="BG133" s="80"/>
      <c r="BH133" s="80"/>
      <c r="BI133" s="80"/>
      <c r="BJ133" s="80"/>
      <c r="BK133" s="80"/>
      <c r="BL133" s="80"/>
      <c r="BM133" s="80"/>
      <c r="BO133" s="84" t="s">
        <v>488</v>
      </c>
      <c r="BP133" s="84"/>
      <c r="BQ133" s="84"/>
      <c r="BR133" s="84"/>
      <c r="BS133" s="84"/>
      <c r="BT133" s="84"/>
      <c r="BU133" s="84"/>
      <c r="BV133" s="84"/>
      <c r="BW133" s="84"/>
      <c r="BX133" s="84"/>
      <c r="BZ133" s="88" t="s">
        <v>489</v>
      </c>
      <c r="CA133" s="88"/>
      <c r="CB133" s="88"/>
      <c r="CC133" s="88"/>
      <c r="CD133" s="88"/>
      <c r="CE133" s="88"/>
      <c r="CF133" s="88"/>
      <c r="CG133" s="88"/>
      <c r="CH133" s="88"/>
      <c r="CI133" s="88"/>
    </row>
    <row r="134" ht="15" customHeight="1"/>
    <row r="135" ht="15" customHeight="1">
      <c r="B135" s="72" t="s">
        <v>155</v>
      </c>
      <c r="C135" s="72"/>
      <c r="D135" s="72"/>
      <c r="E135" s="72"/>
      <c r="F135" s="72"/>
      <c r="G135" s="72"/>
      <c r="H135" s="72"/>
      <c r="I135" s="72"/>
      <c r="J135" s="72"/>
    </row>
    <row r="136" ht="15" customHeight="1">
      <c r="B136" s="73" t="s">
        <v>156</v>
      </c>
      <c r="C136" s="73"/>
      <c r="D136" s="73"/>
      <c r="E136" s="73"/>
      <c r="F136" s="73"/>
      <c r="G136" s="73"/>
      <c r="H136" s="73"/>
      <c r="I136" s="73"/>
      <c r="J136" s="73"/>
    </row>
    <row r="137" ht="15" customHeight="1">
      <c r="B137" s="73" t="s">
        <v>499</v>
      </c>
      <c r="C137" s="73"/>
      <c r="D137" s="73"/>
      <c r="E137" s="73"/>
      <c r="F137" s="73"/>
      <c r="G137" s="73"/>
      <c r="H137" s="73"/>
      <c r="I137" s="73"/>
      <c r="J137" s="73"/>
    </row>
    <row r="138" ht="15" customHeight="1"/>
    <row r="139" ht="15" customHeight="1"/>
    <row r="140" ht="15" customHeight="1"/>
    <row r="141" ht="15" customHeight="1">
      <c r="B141" s="72" t="s">
        <v>158</v>
      </c>
      <c r="C141" s="72"/>
      <c r="D141" s="72"/>
      <c r="E141" s="72"/>
      <c r="F141" s="72"/>
      <c r="G141" s="72"/>
      <c r="H141" s="72"/>
      <c r="I141" s="72"/>
      <c r="J141" s="72"/>
    </row>
    <row r="142" ht="15" customHeight="1">
      <c r="B142" s="73" t="s">
        <v>159</v>
      </c>
      <c r="C142" s="73"/>
      <c r="D142" s="73"/>
      <c r="E142" s="73"/>
      <c r="F142" s="73"/>
      <c r="G142" s="73"/>
      <c r="H142" s="73"/>
      <c r="I142" s="73"/>
      <c r="J142" s="73"/>
    </row>
    <row r="143" ht="15" customHeight="1">
      <c r="B143" s="73" t="s">
        <v>500</v>
      </c>
      <c r="C143" s="73"/>
      <c r="D143" s="73"/>
      <c r="E143" s="73"/>
      <c r="F143" s="73"/>
      <c r="G143" s="73"/>
      <c r="H143" s="73"/>
      <c r="I143" s="73"/>
      <c r="J143" s="73"/>
    </row>
    <row r="144" ht="15" customHeight="1"/>
    <row r="145" ht="15" customHeight="1"/>
    <row r="146" ht="15" customHeight="1">
      <c r="B146" s="72" t="s">
        <v>161</v>
      </c>
      <c r="C146" s="72"/>
      <c r="D146" s="72"/>
      <c r="E146" s="72"/>
      <c r="F146" s="72"/>
      <c r="G146" s="72"/>
      <c r="H146" s="72"/>
      <c r="I146" s="72"/>
      <c r="J146" s="72"/>
    </row>
    <row r="147" ht="15" customHeight="1">
      <c r="B147" s="73" t="s">
        <v>162</v>
      </c>
      <c r="C147" s="73"/>
      <c r="D147" s="73"/>
      <c r="E147" s="73"/>
      <c r="F147" s="73"/>
      <c r="G147" s="73"/>
      <c r="H147" s="73"/>
      <c r="I147" s="73"/>
      <c r="J147" s="73"/>
    </row>
    <row r="148" ht="15" customHeight="1">
      <c r="B148" s="73" t="s">
        <v>163</v>
      </c>
      <c r="C148" s="73"/>
      <c r="D148" s="73"/>
      <c r="E148" s="73"/>
      <c r="F148" s="73"/>
      <c r="G148" s="73"/>
      <c r="H148" s="73"/>
      <c r="I148" s="73"/>
      <c r="J148" s="73"/>
    </row>
    <row r="149" ht="15" customHeight="1"/>
    <row r="150" ht="15" customHeight="1"/>
    <row r="151" ht="15" customHeight="1"/>
    <row r="152" ht="15" customHeight="1">
      <c r="B152" s="72" t="s">
        <v>434</v>
      </c>
      <c r="C152" s="72"/>
      <c r="D152" s="72"/>
      <c r="E152" s="72"/>
      <c r="F152" s="72"/>
      <c r="G152" s="72"/>
      <c r="H152" s="72"/>
      <c r="I152" s="72"/>
      <c r="J152" s="72"/>
    </row>
    <row r="153" ht="15" customHeight="1">
      <c r="B153" s="73" t="s">
        <v>165</v>
      </c>
      <c r="C153" s="73"/>
      <c r="D153" s="73"/>
      <c r="E153" s="73"/>
      <c r="F153" s="73"/>
      <c r="G153" s="73"/>
      <c r="H153" s="73"/>
      <c r="I153" s="73"/>
      <c r="J153" s="73"/>
    </row>
    <row r="154" ht="15" customHeight="1">
      <c r="B154" s="73" t="s">
        <v>501</v>
      </c>
      <c r="C154" s="73"/>
      <c r="D154" s="73"/>
      <c r="E154" s="73"/>
      <c r="F154" s="73"/>
      <c r="G154" s="73"/>
      <c r="H154" s="73"/>
      <c r="I154" s="73"/>
      <c r="J154" s="73"/>
    </row>
    <row r="155" ht="15" customHeight="1"/>
    <row r="156" ht="15" customHeight="1"/>
    <row r="157" ht="15" customHeight="1"/>
    <row r="158" ht="15" customHeight="1">
      <c r="B158" s="72" t="s">
        <v>502</v>
      </c>
      <c r="C158" s="72"/>
      <c r="D158" s="72"/>
      <c r="E158" s="72"/>
      <c r="F158" s="72"/>
      <c r="G158" s="72"/>
      <c r="H158" s="72"/>
      <c r="I158" s="72"/>
      <c r="J158" s="72"/>
    </row>
    <row r="159" ht="15" customHeight="1">
      <c r="B159" s="73" t="s">
        <v>166</v>
      </c>
      <c r="C159" s="73"/>
      <c r="D159" s="73"/>
      <c r="E159" s="73"/>
      <c r="F159" s="73"/>
      <c r="G159" s="73"/>
      <c r="H159" s="73"/>
      <c r="I159" s="73"/>
      <c r="J159" s="73"/>
    </row>
    <row r="160" ht="15" customHeight="1">
      <c r="B160" s="73" t="s">
        <v>503</v>
      </c>
      <c r="C160" s="73"/>
      <c r="D160" s="73"/>
      <c r="E160" s="73"/>
      <c r="F160" s="73"/>
      <c r="G160" s="73"/>
      <c r="H160" s="73"/>
      <c r="I160" s="73"/>
      <c r="J160" s="73"/>
    </row>
    <row r="161" ht="15" customHeight="1"/>
    <row r="162" ht="15" customHeight="1">
      <c r="B162" s="49" t="s">
        <v>167</v>
      </c>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c r="AH162" s="49"/>
      <c r="AI162" s="49"/>
      <c r="AJ162" s="49"/>
      <c r="AK162" s="49"/>
      <c r="AL162" s="49"/>
      <c r="AM162" s="49"/>
      <c r="AN162" s="49"/>
      <c r="AO162" s="49"/>
      <c r="AP162" s="49"/>
      <c r="AQ162" s="49"/>
      <c r="AR162" s="49"/>
      <c r="AS162" s="49"/>
      <c r="AT162" s="49"/>
      <c r="AU162" s="49"/>
      <c r="AV162" s="49"/>
      <c r="AW162" s="49"/>
      <c r="AX162" s="49"/>
      <c r="AY162" s="49"/>
      <c r="AZ162" s="49"/>
      <c r="BA162" s="49"/>
      <c r="BB162" s="49"/>
      <c r="BC162" s="49"/>
      <c r="BD162" s="49"/>
      <c r="BE162" s="49"/>
      <c r="BF162" s="49"/>
      <c r="BG162" s="49"/>
      <c r="BH162" s="49"/>
      <c r="BI162" s="49"/>
      <c r="BJ162" s="49"/>
      <c r="BK162" s="49"/>
      <c r="BL162" s="49"/>
      <c r="BM162" s="49"/>
      <c r="BN162" s="49"/>
      <c r="BO162" s="49"/>
      <c r="BP162" s="49"/>
      <c r="BQ162" s="49"/>
      <c r="BR162" s="49"/>
      <c r="BS162" s="49"/>
      <c r="BT162" s="49"/>
      <c r="BU162" s="49"/>
      <c r="BV162" s="49"/>
      <c r="BW162" s="49"/>
      <c r="BX162" s="49"/>
      <c r="BY162" s="49"/>
      <c r="BZ162" s="49"/>
      <c r="CA162" s="49"/>
      <c r="CB162" s="49"/>
      <c r="CC162" s="49"/>
      <c r="CD162" s="70" t="s">
        <v>94</v>
      </c>
      <c r="CE162" s="70"/>
      <c r="CF162" s="70"/>
      <c r="CG162" s="70"/>
      <c r="CH162" s="70"/>
      <c r="CI162" s="70"/>
    </row>
    <row r="16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c r="AH163" s="49"/>
      <c r="AI163" s="49"/>
      <c r="AJ163" s="49"/>
      <c r="AK163" s="49"/>
      <c r="AL163" s="49"/>
      <c r="AM163" s="49"/>
      <c r="AN163" s="49"/>
      <c r="AO163" s="49"/>
      <c r="AP163" s="49"/>
      <c r="AQ163" s="49"/>
      <c r="AR163" s="49"/>
      <c r="AS163" s="49"/>
      <c r="AT163" s="49"/>
      <c r="AU163" s="49"/>
      <c r="AV163" s="49"/>
      <c r="AW163" s="49"/>
      <c r="AX163" s="49"/>
      <c r="AY163" s="49"/>
      <c r="AZ163" s="49"/>
      <c r="BA163" s="49"/>
      <c r="BB163" s="49"/>
      <c r="BC163" s="49"/>
      <c r="BD163" s="49"/>
      <c r="BE163" s="49"/>
      <c r="BF163" s="49"/>
      <c r="BG163" s="49"/>
      <c r="BH163" s="49"/>
      <c r="BI163" s="49"/>
      <c r="BJ163" s="49"/>
      <c r="BK163" s="49"/>
      <c r="BL163" s="49"/>
      <c r="BM163" s="49"/>
      <c r="BN163" s="49"/>
      <c r="BO163" s="49"/>
      <c r="BP163" s="49"/>
      <c r="BQ163" s="49"/>
      <c r="BR163" s="49"/>
      <c r="BS163" s="49"/>
      <c r="BT163" s="49"/>
      <c r="BU163" s="49"/>
      <c r="BV163" s="49"/>
      <c r="BW163" s="49"/>
      <c r="BX163" s="49"/>
      <c r="BY163" s="49"/>
      <c r="BZ163" s="49"/>
      <c r="CA163" s="49"/>
      <c r="CB163" s="49"/>
      <c r="CC163" s="49"/>
      <c r="CD163" s="70"/>
      <c r="CE163" s="70"/>
      <c r="CF163" s="70"/>
      <c r="CG163" s="70"/>
      <c r="CH163" s="70"/>
      <c r="CI163" s="70"/>
    </row>
    <row r="164" ht="15" customHeight="1">
      <c r="B164" s="44" t="s">
        <v>504</v>
      </c>
      <c r="C164" s="44"/>
      <c r="D164" s="44"/>
      <c r="E164" s="44"/>
      <c r="F164" s="44"/>
      <c r="G164" s="44"/>
      <c r="H164" s="44"/>
      <c r="I164" s="44"/>
      <c r="J164" s="44"/>
      <c r="K164" s="44"/>
      <c r="L164" s="44"/>
      <c r="M164" s="44"/>
      <c r="N164" s="44"/>
      <c r="O164" s="44"/>
      <c r="P164" s="44"/>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c r="AS164" s="44"/>
      <c r="AT164" s="44"/>
      <c r="AU164" s="44"/>
      <c r="AV164" s="44"/>
      <c r="AW164" s="44"/>
      <c r="AX164" s="44"/>
      <c r="AY164" s="44"/>
      <c r="AZ164" s="44"/>
      <c r="BA164" s="44"/>
      <c r="BB164" s="44"/>
      <c r="BC164" s="44"/>
      <c r="BD164" s="44"/>
      <c r="BE164" s="44"/>
      <c r="BF164" s="44"/>
      <c r="BG164" s="44"/>
      <c r="BH164" s="44"/>
      <c r="BI164" s="44"/>
      <c r="BJ164" s="44"/>
      <c r="BK164" s="44"/>
      <c r="BL164" s="44"/>
      <c r="BM164" s="44"/>
      <c r="BN164" s="44"/>
      <c r="BO164" s="44"/>
      <c r="BP164" s="44"/>
      <c r="BQ164" s="44"/>
      <c r="BR164" s="44"/>
      <c r="BS164" s="44"/>
      <c r="BT164" s="44"/>
      <c r="BU164" s="44"/>
      <c r="BV164" s="44"/>
      <c r="BW164" s="44"/>
      <c r="BX164" s="44"/>
      <c r="BY164" s="44"/>
      <c r="BZ164" s="44"/>
      <c r="CA164" s="44"/>
      <c r="CB164" s="44"/>
      <c r="CC164" s="44"/>
      <c r="CD164" s="44"/>
      <c r="CE164" s="44"/>
      <c r="CF164" s="44"/>
      <c r="CG164" s="44"/>
      <c r="CH164" s="44"/>
      <c r="CI164" s="44"/>
    </row>
    <row r="165" ht="15" customHeight="1">
      <c r="B165" s="71" t="s">
        <v>32</v>
      </c>
      <c r="C165" s="71"/>
      <c r="D165" s="71"/>
      <c r="E165" s="71"/>
      <c r="F165" s="71"/>
      <c r="G165" s="71"/>
      <c r="H165" s="71"/>
      <c r="I165" s="71"/>
      <c r="J165" s="71"/>
      <c r="L165" s="62" t="s">
        <v>74</v>
      </c>
      <c r="M165" s="62"/>
      <c r="N165" s="62"/>
      <c r="O165" s="62"/>
      <c r="P165" s="62"/>
      <c r="Q165" s="62"/>
      <c r="R165" s="62"/>
      <c r="S165" s="62"/>
      <c r="T165" s="62"/>
      <c r="U165" s="62"/>
      <c r="W165" s="63" t="s">
        <v>96</v>
      </c>
      <c r="X165" s="63"/>
      <c r="Y165" s="63"/>
      <c r="Z165" s="63"/>
      <c r="AA165" s="63"/>
      <c r="AB165" s="63"/>
      <c r="AC165" s="63"/>
      <c r="AD165" s="63"/>
      <c r="AE165" s="63"/>
      <c r="AF165" s="63"/>
      <c r="AH165" s="64" t="s">
        <v>97</v>
      </c>
      <c r="AI165" s="64"/>
      <c r="AJ165" s="64"/>
      <c r="AK165" s="64"/>
      <c r="AL165" s="64"/>
      <c r="AM165" s="64"/>
      <c r="AN165" s="64"/>
      <c r="AO165" s="64"/>
      <c r="AP165" s="64"/>
      <c r="AQ165" s="64"/>
      <c r="AS165" s="65" t="s">
        <v>98</v>
      </c>
      <c r="AT165" s="65"/>
      <c r="AU165" s="65"/>
      <c r="AV165" s="65"/>
      <c r="AW165" s="65"/>
      <c r="AX165" s="65"/>
      <c r="AY165" s="65"/>
      <c r="AZ165" s="65"/>
      <c r="BA165" s="65"/>
      <c r="BB165" s="65"/>
      <c r="BD165" s="80" t="s">
        <v>487</v>
      </c>
      <c r="BE165" s="80"/>
      <c r="BF165" s="80"/>
      <c r="BG165" s="80"/>
      <c r="BH165" s="80"/>
      <c r="BI165" s="80"/>
      <c r="BJ165" s="80"/>
      <c r="BK165" s="80"/>
      <c r="BL165" s="80"/>
      <c r="BM165" s="80"/>
      <c r="BO165" s="84" t="s">
        <v>488</v>
      </c>
      <c r="BP165" s="84"/>
      <c r="BQ165" s="84"/>
      <c r="BR165" s="84"/>
      <c r="BS165" s="84"/>
      <c r="BT165" s="84"/>
      <c r="BU165" s="84"/>
      <c r="BV165" s="84"/>
      <c r="BW165" s="84"/>
      <c r="BX165" s="84"/>
      <c r="BZ165" s="88" t="s">
        <v>489</v>
      </c>
      <c r="CA165" s="88"/>
      <c r="CB165" s="88"/>
      <c r="CC165" s="88"/>
      <c r="CD165" s="88"/>
      <c r="CE165" s="88"/>
      <c r="CF165" s="88"/>
      <c r="CG165" s="88"/>
      <c r="CH165" s="88"/>
      <c r="CI165" s="88"/>
    </row>
    <row r="166" ht="15" customHeight="1"/>
    <row r="167" ht="15" customHeight="1">
      <c r="B167" s="72" t="s">
        <v>169</v>
      </c>
      <c r="C167" s="72"/>
      <c r="D167" s="72"/>
      <c r="E167" s="72"/>
      <c r="F167" s="72"/>
      <c r="G167" s="72"/>
      <c r="H167" s="72"/>
      <c r="I167" s="72"/>
      <c r="J167" s="72"/>
    </row>
    <row r="168" ht="15" customHeight="1">
      <c r="B168" s="73" t="s">
        <v>170</v>
      </c>
      <c r="C168" s="73"/>
      <c r="D168" s="73"/>
      <c r="E168" s="73"/>
      <c r="F168" s="73"/>
      <c r="G168" s="73"/>
      <c r="H168" s="73"/>
      <c r="I168" s="73"/>
      <c r="J168" s="73"/>
    </row>
    <row r="169" ht="15" customHeight="1"/>
    <row r="170" ht="15" customHeight="1">
      <c r="B170" s="72" t="s">
        <v>171</v>
      </c>
      <c r="C170" s="72"/>
      <c r="D170" s="72"/>
      <c r="E170" s="72"/>
      <c r="F170" s="72"/>
      <c r="G170" s="72"/>
      <c r="H170" s="72"/>
      <c r="I170" s="72"/>
      <c r="J170" s="72"/>
    </row>
    <row r="171" ht="15" customHeight="1">
      <c r="B171" s="73" t="s">
        <v>172</v>
      </c>
      <c r="C171" s="73"/>
      <c r="D171" s="73"/>
      <c r="E171" s="73"/>
      <c r="F171" s="73"/>
      <c r="G171" s="73"/>
      <c r="H171" s="73"/>
      <c r="I171" s="73"/>
      <c r="J171" s="73"/>
    </row>
    <row r="172" ht="15" customHeight="1"/>
    <row r="173" ht="15" customHeight="1">
      <c r="B173" s="72" t="s">
        <v>173</v>
      </c>
      <c r="C173" s="72"/>
      <c r="D173" s="72"/>
      <c r="E173" s="72"/>
      <c r="F173" s="72"/>
      <c r="G173" s="72"/>
      <c r="H173" s="72"/>
      <c r="I173" s="72"/>
      <c r="J173" s="72"/>
    </row>
    <row r="174" ht="15" customHeight="1">
      <c r="B174" s="73" t="s">
        <v>174</v>
      </c>
      <c r="C174" s="73"/>
      <c r="D174" s="73"/>
      <c r="E174" s="73"/>
      <c r="F174" s="73"/>
      <c r="G174" s="73"/>
      <c r="H174" s="73"/>
      <c r="I174" s="73"/>
      <c r="J174" s="73"/>
    </row>
    <row r="175" ht="15" customHeight="1"/>
    <row r="176" ht="15" customHeight="1"/>
    <row r="177" ht="15" customHeight="1"/>
    <row r="178" ht="15" customHeight="1">
      <c r="B178" s="72" t="s">
        <v>175</v>
      </c>
      <c r="C178" s="72"/>
      <c r="D178" s="72"/>
      <c r="E178" s="72"/>
      <c r="F178" s="72"/>
      <c r="G178" s="72"/>
      <c r="H178" s="72"/>
      <c r="I178" s="72"/>
      <c r="J178" s="72"/>
    </row>
    <row r="179" ht="15" customHeight="1">
      <c r="B179" s="73" t="s">
        <v>176</v>
      </c>
      <c r="C179" s="73"/>
      <c r="D179" s="73"/>
      <c r="E179" s="73"/>
      <c r="F179" s="73"/>
      <c r="G179" s="73"/>
      <c r="H179" s="73"/>
      <c r="I179" s="73"/>
      <c r="J179" s="73"/>
    </row>
    <row r="180" ht="15" customHeight="1"/>
    <row r="181" ht="15" customHeight="1"/>
    <row r="182" ht="15" customHeight="1">
      <c r="B182" s="49" t="s">
        <v>177</v>
      </c>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c r="AH182" s="49"/>
      <c r="AI182" s="49"/>
      <c r="AJ182" s="49"/>
      <c r="AK182" s="49"/>
      <c r="AL182" s="49"/>
      <c r="AM182" s="49"/>
      <c r="AN182" s="49"/>
      <c r="AO182" s="49"/>
      <c r="AP182" s="49"/>
      <c r="AQ182" s="49"/>
      <c r="AR182" s="49"/>
      <c r="AS182" s="49"/>
      <c r="AT182" s="49"/>
      <c r="AU182" s="49"/>
      <c r="AV182" s="49"/>
      <c r="AW182" s="49"/>
      <c r="AX182" s="49"/>
      <c r="AY182" s="49"/>
      <c r="AZ182" s="49"/>
      <c r="BA182" s="49"/>
      <c r="BB182" s="49"/>
      <c r="BC182" s="49"/>
      <c r="BD182" s="49"/>
      <c r="BE182" s="49"/>
      <c r="BF182" s="49"/>
      <c r="BG182" s="49"/>
      <c r="BH182" s="49"/>
      <c r="BI182" s="49"/>
      <c r="BJ182" s="49"/>
      <c r="BK182" s="49"/>
      <c r="BL182" s="49"/>
      <c r="BM182" s="49"/>
      <c r="BN182" s="49"/>
      <c r="BO182" s="49"/>
      <c r="BP182" s="49"/>
      <c r="BQ182" s="49"/>
      <c r="BR182" s="49"/>
      <c r="BS182" s="49"/>
      <c r="BT182" s="49"/>
      <c r="BU182" s="49"/>
      <c r="BV182" s="49"/>
      <c r="BW182" s="49"/>
      <c r="BX182" s="49"/>
      <c r="BY182" s="49"/>
      <c r="BZ182" s="49"/>
      <c r="CA182" s="49"/>
      <c r="CB182" s="49"/>
      <c r="CC182" s="49"/>
      <c r="CD182" s="70" t="s">
        <v>94</v>
      </c>
      <c r="CE182" s="70"/>
      <c r="CF182" s="70"/>
      <c r="CG182" s="70"/>
      <c r="CH182" s="70"/>
      <c r="CI182" s="70"/>
    </row>
    <row r="18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c r="AH183" s="49"/>
      <c r="AI183" s="49"/>
      <c r="AJ183" s="49"/>
      <c r="AK183" s="49"/>
      <c r="AL183" s="49"/>
      <c r="AM183" s="49"/>
      <c r="AN183" s="49"/>
      <c r="AO183" s="49"/>
      <c r="AP183" s="49"/>
      <c r="AQ183" s="49"/>
      <c r="AR183" s="49"/>
      <c r="AS183" s="49"/>
      <c r="AT183" s="49"/>
      <c r="AU183" s="49"/>
      <c r="AV183" s="49"/>
      <c r="AW183" s="49"/>
      <c r="AX183" s="49"/>
      <c r="AY183" s="49"/>
      <c r="AZ183" s="49"/>
      <c r="BA183" s="49"/>
      <c r="BB183" s="49"/>
      <c r="BC183" s="49"/>
      <c r="BD183" s="49"/>
      <c r="BE183" s="49"/>
      <c r="BF183" s="49"/>
      <c r="BG183" s="49"/>
      <c r="BH183" s="49"/>
      <c r="BI183" s="49"/>
      <c r="BJ183" s="49"/>
      <c r="BK183" s="49"/>
      <c r="BL183" s="49"/>
      <c r="BM183" s="49"/>
      <c r="BN183" s="49"/>
      <c r="BO183" s="49"/>
      <c r="BP183" s="49"/>
      <c r="BQ183" s="49"/>
      <c r="BR183" s="49"/>
      <c r="BS183" s="49"/>
      <c r="BT183" s="49"/>
      <c r="BU183" s="49"/>
      <c r="BV183" s="49"/>
      <c r="BW183" s="49"/>
      <c r="BX183" s="49"/>
      <c r="BY183" s="49"/>
      <c r="BZ183" s="49"/>
      <c r="CA183" s="49"/>
      <c r="CB183" s="49"/>
      <c r="CC183" s="49"/>
      <c r="CD183" s="70"/>
      <c r="CE183" s="70"/>
      <c r="CF183" s="70"/>
      <c r="CG183" s="70"/>
      <c r="CH183" s="70"/>
      <c r="CI183" s="70"/>
    </row>
    <row r="184" ht="15" customHeight="1">
      <c r="B184" s="44" t="s">
        <v>505</v>
      </c>
      <c r="C184" s="44"/>
      <c r="D184" s="44"/>
      <c r="E184" s="44"/>
      <c r="F184" s="44"/>
      <c r="G184" s="44"/>
      <c r="H184" s="44"/>
      <c r="I184" s="44"/>
      <c r="J184" s="44"/>
      <c r="K184" s="44"/>
      <c r="L184" s="44"/>
      <c r="M184" s="44"/>
      <c r="N184" s="44"/>
      <c r="O184" s="44"/>
      <c r="P184" s="44"/>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c r="AS184" s="44"/>
      <c r="AT184" s="44"/>
      <c r="AU184" s="44"/>
      <c r="AV184" s="44"/>
      <c r="AW184" s="44"/>
      <c r="AX184" s="44"/>
      <c r="AY184" s="44"/>
      <c r="AZ184" s="44"/>
      <c r="BA184" s="44"/>
      <c r="BB184" s="44"/>
      <c r="BC184" s="44"/>
      <c r="BD184" s="44"/>
      <c r="BE184" s="44"/>
      <c r="BF184" s="44"/>
      <c r="BG184" s="44"/>
      <c r="BH184" s="44"/>
      <c r="BI184" s="44"/>
      <c r="BJ184" s="44"/>
      <c r="BK184" s="44"/>
      <c r="BL184" s="44"/>
      <c r="BM184" s="44"/>
      <c r="BN184" s="44"/>
      <c r="BO184" s="44"/>
      <c r="BP184" s="44"/>
      <c r="BQ184" s="44"/>
      <c r="BR184" s="44"/>
      <c r="BS184" s="44"/>
      <c r="BT184" s="44"/>
      <c r="BU184" s="44"/>
      <c r="BV184" s="44"/>
      <c r="BW184" s="44"/>
      <c r="BX184" s="44"/>
      <c r="BY184" s="44"/>
      <c r="BZ184" s="44"/>
      <c r="CA184" s="44"/>
      <c r="CB184" s="44"/>
      <c r="CC184" s="44"/>
      <c r="CD184" s="44"/>
      <c r="CE184" s="44"/>
      <c r="CF184" s="44"/>
      <c r="CG184" s="44"/>
      <c r="CH184" s="44"/>
      <c r="CI184" s="44"/>
    </row>
    <row r="185" ht="15" customHeight="1">
      <c r="B185" s="71" t="s">
        <v>32</v>
      </c>
      <c r="C185" s="71"/>
      <c r="D185" s="71"/>
      <c r="E185" s="71"/>
      <c r="F185" s="71"/>
      <c r="G185" s="71"/>
      <c r="H185" s="71"/>
      <c r="I185" s="71"/>
      <c r="J185" s="71"/>
      <c r="L185" s="62" t="s">
        <v>74</v>
      </c>
      <c r="M185" s="62"/>
      <c r="N185" s="62"/>
      <c r="O185" s="62"/>
      <c r="P185" s="62"/>
      <c r="Q185" s="62"/>
      <c r="R185" s="62"/>
      <c r="S185" s="62"/>
      <c r="T185" s="62"/>
      <c r="U185" s="62"/>
      <c r="W185" s="63" t="s">
        <v>96</v>
      </c>
      <c r="X185" s="63"/>
      <c r="Y185" s="63"/>
      <c r="Z185" s="63"/>
      <c r="AA185" s="63"/>
      <c r="AB185" s="63"/>
      <c r="AC185" s="63"/>
      <c r="AD185" s="63"/>
      <c r="AE185" s="63"/>
      <c r="AF185" s="63"/>
      <c r="AH185" s="64" t="s">
        <v>97</v>
      </c>
      <c r="AI185" s="64"/>
      <c r="AJ185" s="64"/>
      <c r="AK185" s="64"/>
      <c r="AL185" s="64"/>
      <c r="AM185" s="64"/>
      <c r="AN185" s="64"/>
      <c r="AO185" s="64"/>
      <c r="AP185" s="64"/>
      <c r="AQ185" s="64"/>
      <c r="AS185" s="65" t="s">
        <v>98</v>
      </c>
      <c r="AT185" s="65"/>
      <c r="AU185" s="65"/>
      <c r="AV185" s="65"/>
      <c r="AW185" s="65"/>
      <c r="AX185" s="65"/>
      <c r="AY185" s="65"/>
      <c r="AZ185" s="65"/>
      <c r="BA185" s="65"/>
      <c r="BB185" s="65"/>
      <c r="BD185" s="80" t="s">
        <v>487</v>
      </c>
      <c r="BE185" s="80"/>
      <c r="BF185" s="80"/>
      <c r="BG185" s="80"/>
      <c r="BH185" s="80"/>
      <c r="BI185" s="80"/>
      <c r="BJ185" s="80"/>
      <c r="BK185" s="80"/>
      <c r="BL185" s="80"/>
      <c r="BM185" s="80"/>
      <c r="BO185" s="84" t="s">
        <v>488</v>
      </c>
      <c r="BP185" s="84"/>
      <c r="BQ185" s="84"/>
      <c r="BR185" s="84"/>
      <c r="BS185" s="84"/>
      <c r="BT185" s="84"/>
      <c r="BU185" s="84"/>
      <c r="BV185" s="84"/>
      <c r="BW185" s="84"/>
      <c r="BX185" s="84"/>
      <c r="BZ185" s="88" t="s">
        <v>489</v>
      </c>
      <c r="CA185" s="88"/>
      <c r="CB185" s="88"/>
      <c r="CC185" s="88"/>
      <c r="CD185" s="88"/>
      <c r="CE185" s="88"/>
      <c r="CF185" s="88"/>
      <c r="CG185" s="88"/>
      <c r="CH185" s="88"/>
      <c r="CI185" s="88"/>
    </row>
    <row r="186" ht="15" customHeight="1"/>
    <row r="187" ht="15" customHeight="1">
      <c r="B187" s="72" t="s">
        <v>179</v>
      </c>
      <c r="C187" s="72"/>
      <c r="D187" s="72"/>
      <c r="E187" s="72"/>
      <c r="F187" s="72"/>
      <c r="G187" s="72"/>
      <c r="H187" s="72"/>
      <c r="I187" s="72"/>
      <c r="J187" s="72"/>
    </row>
    <row r="188" ht="15" customHeight="1">
      <c r="B188" s="73" t="s">
        <v>180</v>
      </c>
      <c r="C188" s="73"/>
      <c r="D188" s="73"/>
      <c r="E188" s="73"/>
      <c r="F188" s="73"/>
      <c r="G188" s="73"/>
      <c r="H188" s="73"/>
      <c r="I188" s="73"/>
      <c r="J188" s="73"/>
    </row>
    <row r="189" ht="15" customHeight="1">
      <c r="B189" s="73" t="s">
        <v>506</v>
      </c>
      <c r="C189" s="73"/>
      <c r="D189" s="73"/>
      <c r="E189" s="73"/>
      <c r="F189" s="73"/>
      <c r="G189" s="73"/>
      <c r="H189" s="73"/>
      <c r="I189" s="73"/>
      <c r="J189" s="73"/>
    </row>
    <row r="190" ht="15" customHeight="1"/>
    <row r="191" ht="15" customHeight="1"/>
    <row r="192" ht="15" customHeight="1"/>
    <row r="193" ht="15" customHeight="1"/>
    <row r="194" ht="15" customHeight="1"/>
    <row r="195" ht="15" customHeight="1"/>
    <row r="196" ht="15" customHeight="1"/>
    <row r="197" ht="15" customHeight="1">
      <c r="B197" s="72" t="s">
        <v>507</v>
      </c>
      <c r="C197" s="72"/>
      <c r="D197" s="72"/>
      <c r="E197" s="72"/>
      <c r="F197" s="72"/>
      <c r="G197" s="72"/>
      <c r="H197" s="72"/>
      <c r="I197" s="72"/>
      <c r="J197" s="72"/>
    </row>
    <row r="198" ht="15" customHeight="1">
      <c r="B198" s="73" t="s">
        <v>508</v>
      </c>
      <c r="C198" s="73"/>
      <c r="D198" s="73"/>
      <c r="E198" s="73"/>
      <c r="F198" s="73"/>
      <c r="G198" s="73"/>
      <c r="H198" s="73"/>
      <c r="I198" s="73"/>
      <c r="J198" s="73"/>
    </row>
    <row r="199" ht="15" customHeight="1">
      <c r="B199" s="73" t="s">
        <v>509</v>
      </c>
      <c r="C199" s="73"/>
      <c r="D199" s="73"/>
      <c r="E199" s="73"/>
      <c r="F199" s="73"/>
      <c r="G199" s="73"/>
      <c r="H199" s="73"/>
      <c r="I199" s="73"/>
      <c r="J199" s="73"/>
    </row>
    <row r="200" ht="15" customHeight="1"/>
    <row r="201" ht="15" customHeight="1"/>
    <row r="202" ht="15" customHeight="1"/>
    <row r="203" ht="15" customHeight="1"/>
    <row r="204" ht="15" customHeight="1"/>
    <row r="205" ht="15" customHeight="1"/>
    <row r="206" ht="15" customHeight="1"/>
    <row r="207" ht="15" customHeight="1">
      <c r="B207" s="49" t="s">
        <v>188</v>
      </c>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c r="AH207" s="49"/>
      <c r="AI207" s="49"/>
      <c r="AJ207" s="49"/>
      <c r="AK207" s="49"/>
      <c r="AL207" s="49"/>
      <c r="AM207" s="49"/>
      <c r="AN207" s="49"/>
      <c r="AO207" s="49"/>
      <c r="AP207" s="49"/>
      <c r="AQ207" s="49"/>
      <c r="AR207" s="49"/>
      <c r="AS207" s="49"/>
      <c r="AT207" s="49"/>
      <c r="AU207" s="49"/>
      <c r="AV207" s="49"/>
      <c r="AW207" s="49"/>
      <c r="AX207" s="49"/>
      <c r="AY207" s="49"/>
      <c r="AZ207" s="49"/>
      <c r="BA207" s="49"/>
      <c r="BB207" s="49"/>
      <c r="BC207" s="49"/>
      <c r="BD207" s="49"/>
      <c r="BE207" s="49"/>
      <c r="BF207" s="49"/>
      <c r="BG207" s="49"/>
      <c r="BH207" s="49"/>
      <c r="BI207" s="49"/>
      <c r="BJ207" s="49"/>
      <c r="BK207" s="49"/>
      <c r="BL207" s="49"/>
      <c r="BM207" s="49"/>
      <c r="BN207" s="49"/>
      <c r="BO207" s="49"/>
      <c r="BP207" s="49"/>
      <c r="BQ207" s="49"/>
      <c r="BR207" s="49"/>
      <c r="BS207" s="49"/>
      <c r="BT207" s="49"/>
      <c r="BU207" s="49"/>
      <c r="BV207" s="49"/>
      <c r="BW207" s="49"/>
      <c r="BX207" s="49"/>
      <c r="BY207" s="49"/>
      <c r="BZ207" s="49"/>
      <c r="CA207" s="49"/>
      <c r="CB207" s="49"/>
      <c r="CC207" s="49"/>
      <c r="CD207" s="70" t="s">
        <v>94</v>
      </c>
      <c r="CE207" s="70"/>
      <c r="CF207" s="70"/>
      <c r="CG207" s="70"/>
      <c r="CH207" s="70"/>
      <c r="CI207" s="70"/>
    </row>
    <row r="208"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c r="AH208" s="49"/>
      <c r="AI208" s="49"/>
      <c r="AJ208" s="49"/>
      <c r="AK208" s="49"/>
      <c r="AL208" s="49"/>
      <c r="AM208" s="49"/>
      <c r="AN208" s="49"/>
      <c r="AO208" s="49"/>
      <c r="AP208" s="49"/>
      <c r="AQ208" s="49"/>
      <c r="AR208" s="49"/>
      <c r="AS208" s="49"/>
      <c r="AT208" s="49"/>
      <c r="AU208" s="49"/>
      <c r="AV208" s="49"/>
      <c r="AW208" s="49"/>
      <c r="AX208" s="49"/>
      <c r="AY208" s="49"/>
      <c r="AZ208" s="49"/>
      <c r="BA208" s="49"/>
      <c r="BB208" s="49"/>
      <c r="BC208" s="49"/>
      <c r="BD208" s="49"/>
      <c r="BE208" s="49"/>
      <c r="BF208" s="49"/>
      <c r="BG208" s="49"/>
      <c r="BH208" s="49"/>
      <c r="BI208" s="49"/>
      <c r="BJ208" s="49"/>
      <c r="BK208" s="49"/>
      <c r="BL208" s="49"/>
      <c r="BM208" s="49"/>
      <c r="BN208" s="49"/>
      <c r="BO208" s="49"/>
      <c r="BP208" s="49"/>
      <c r="BQ208" s="49"/>
      <c r="BR208" s="49"/>
      <c r="BS208" s="49"/>
      <c r="BT208" s="49"/>
      <c r="BU208" s="49"/>
      <c r="BV208" s="49"/>
      <c r="BW208" s="49"/>
      <c r="BX208" s="49"/>
      <c r="BY208" s="49"/>
      <c r="BZ208" s="49"/>
      <c r="CA208" s="49"/>
      <c r="CB208" s="49"/>
      <c r="CC208" s="49"/>
      <c r="CD208" s="70"/>
      <c r="CE208" s="70"/>
      <c r="CF208" s="70"/>
      <c r="CG208" s="70"/>
      <c r="CH208" s="70"/>
      <c r="CI208" s="70"/>
    </row>
    <row r="209" ht="15" customHeight="1">
      <c r="B209" s="44" t="s">
        <v>510</v>
      </c>
      <c r="C209" s="44"/>
      <c r="D209" s="44"/>
      <c r="E209" s="44"/>
      <c r="F209" s="44"/>
      <c r="G209" s="44"/>
      <c r="H209" s="44"/>
      <c r="I209" s="44"/>
      <c r="J209" s="44"/>
      <c r="K209" s="44"/>
      <c r="L209" s="44"/>
      <c r="M209" s="44"/>
      <c r="N209" s="44"/>
      <c r="O209" s="44"/>
      <c r="P209" s="44"/>
      <c r="Q209" s="44"/>
      <c r="R209" s="44"/>
      <c r="S209" s="44"/>
      <c r="T209" s="44"/>
      <c r="U209" s="44"/>
      <c r="V209" s="44"/>
      <c r="W209" s="44"/>
      <c r="X209" s="44"/>
      <c r="Y209" s="44"/>
      <c r="Z209" s="44"/>
      <c r="AA209" s="44"/>
      <c r="AB209" s="44"/>
      <c r="AC209" s="44"/>
      <c r="AD209" s="44"/>
      <c r="AE209" s="44"/>
      <c r="AF209" s="44"/>
      <c r="AG209" s="44"/>
      <c r="AH209" s="44"/>
      <c r="AI209" s="44"/>
      <c r="AJ209" s="44"/>
      <c r="AK209" s="44"/>
      <c r="AL209" s="44"/>
      <c r="AM209" s="44"/>
      <c r="AN209" s="44"/>
      <c r="AO209" s="44"/>
      <c r="AP209" s="44"/>
      <c r="AQ209" s="44"/>
      <c r="AR209" s="44"/>
      <c r="AS209" s="44"/>
      <c r="AT209" s="44"/>
      <c r="AU209" s="44"/>
      <c r="AV209" s="44"/>
      <c r="AW209" s="44"/>
      <c r="AX209" s="44"/>
      <c r="AY209" s="44"/>
      <c r="AZ209" s="44"/>
      <c r="BA209" s="44"/>
      <c r="BB209" s="44"/>
      <c r="BC209" s="44"/>
      <c r="BD209" s="44"/>
      <c r="BE209" s="44"/>
      <c r="BF209" s="44"/>
      <c r="BG209" s="44"/>
      <c r="BH209" s="44"/>
      <c r="BI209" s="44"/>
      <c r="BJ209" s="44"/>
      <c r="BK209" s="44"/>
      <c r="BL209" s="44"/>
      <c r="BM209" s="44"/>
      <c r="BN209" s="44"/>
      <c r="BO209" s="44"/>
      <c r="BP209" s="44"/>
      <c r="BQ209" s="44"/>
      <c r="BR209" s="44"/>
      <c r="BS209" s="44"/>
      <c r="BT209" s="44"/>
      <c r="BU209" s="44"/>
      <c r="BV209" s="44"/>
      <c r="BW209" s="44"/>
      <c r="BX209" s="44"/>
      <c r="BY209" s="44"/>
      <c r="BZ209" s="44"/>
      <c r="CA209" s="44"/>
      <c r="CB209" s="44"/>
      <c r="CC209" s="44"/>
      <c r="CD209" s="44"/>
      <c r="CE209" s="44"/>
      <c r="CF209" s="44"/>
      <c r="CG209" s="44"/>
      <c r="CH209" s="44"/>
      <c r="CI209" s="44"/>
    </row>
    <row r="210" ht="15" customHeight="1"/>
    <row r="211" ht="15" customHeight="1"/>
    <row r="212" ht="15" customHeight="1"/>
    <row r="213" ht="15" customHeight="1"/>
    <row r="214" ht="15" customHeight="1"/>
    <row r="215" ht="15" customHeight="1"/>
    <row r="216" ht="15" customHeight="1"/>
    <row r="217" ht="15" customHeight="1"/>
    <row r="218" ht="15" customHeight="1"/>
  </sheetData>
  <mergeCells count="154">
    <mergeCell ref="B1:CI2"/>
    <mergeCell ref="B3:CI3"/>
    <mergeCell ref="B5:AO5"/>
    <mergeCell ref="R7:CI7"/>
    <mergeCell ref="R8:CI8"/>
    <mergeCell ref="R9:CI9"/>
    <mergeCell ref="R10:CI10"/>
    <mergeCell ref="R11:CI11"/>
    <mergeCell ref="B16:CC17"/>
    <mergeCell ref="CD16:CI17"/>
    <mergeCell ref="B18:CI18"/>
    <mergeCell ref="B19:J19"/>
    <mergeCell ref="L19:U19"/>
    <mergeCell ref="W19:AF19"/>
    <mergeCell ref="AH19:AQ19"/>
    <mergeCell ref="AS19:BB19"/>
    <mergeCell ref="BD19:BM19"/>
    <mergeCell ref="BO19:BX19"/>
    <mergeCell ref="BZ19:CI19"/>
    <mergeCell ref="B21:J21"/>
    <mergeCell ref="B22:J22"/>
    <mergeCell ref="B23:J23"/>
    <mergeCell ref="B27:J27"/>
    <mergeCell ref="B28:J28"/>
    <mergeCell ref="B29:J29"/>
    <mergeCell ref="B33:J33"/>
    <mergeCell ref="B34:J34"/>
    <mergeCell ref="B35:J35"/>
    <mergeCell ref="B39:J39"/>
    <mergeCell ref="B40:J40"/>
    <mergeCell ref="B41:J41"/>
    <mergeCell ref="B45:J45"/>
    <mergeCell ref="B46:J46"/>
    <mergeCell ref="B47:J47"/>
    <mergeCell ref="B51:J51"/>
    <mergeCell ref="B52:J52"/>
    <mergeCell ref="B53:J53"/>
    <mergeCell ref="B57:J57"/>
    <mergeCell ref="B58:J58"/>
    <mergeCell ref="B59:J59"/>
    <mergeCell ref="B63:J63"/>
    <mergeCell ref="B64:J64"/>
    <mergeCell ref="B65:J65"/>
    <mergeCell ref="B73:J73"/>
    <mergeCell ref="B74:J74"/>
    <mergeCell ref="B75:J75"/>
    <mergeCell ref="B79:J79"/>
    <mergeCell ref="B80:J80"/>
    <mergeCell ref="B81:J81"/>
    <mergeCell ref="B86:CC87"/>
    <mergeCell ref="CD86:CI87"/>
    <mergeCell ref="B88:CI88"/>
    <mergeCell ref="B89:J89"/>
    <mergeCell ref="L89:U89"/>
    <mergeCell ref="W89:AF89"/>
    <mergeCell ref="AH89:AQ89"/>
    <mergeCell ref="AS89:BB89"/>
    <mergeCell ref="BD89:BM89"/>
    <mergeCell ref="BO89:BX89"/>
    <mergeCell ref="BZ89:CI89"/>
    <mergeCell ref="L90:CI90"/>
    <mergeCell ref="B91:J91"/>
    <mergeCell ref="B92:J92"/>
    <mergeCell ref="B94:J94"/>
    <mergeCell ref="B95:J95"/>
    <mergeCell ref="B97:J97"/>
    <mergeCell ref="B98:J98"/>
    <mergeCell ref="B100:J100"/>
    <mergeCell ref="B101:J101"/>
    <mergeCell ref="B103:J103"/>
    <mergeCell ref="B104:J104"/>
    <mergeCell ref="B106:J106"/>
    <mergeCell ref="B107:J107"/>
    <mergeCell ref="B109:J109"/>
    <mergeCell ref="B110:J110"/>
    <mergeCell ref="B112:J112"/>
    <mergeCell ref="B113:J113"/>
    <mergeCell ref="B115:J115"/>
    <mergeCell ref="B116:J116"/>
    <mergeCell ref="B119:J119"/>
    <mergeCell ref="B120:J120"/>
    <mergeCell ref="B121:J121"/>
    <mergeCell ref="B122:J122"/>
    <mergeCell ref="B130:CC131"/>
    <mergeCell ref="CD130:CI131"/>
    <mergeCell ref="B132:CI132"/>
    <mergeCell ref="B133:J133"/>
    <mergeCell ref="L133:U133"/>
    <mergeCell ref="W133:AF133"/>
    <mergeCell ref="AH133:AQ133"/>
    <mergeCell ref="AS133:BB133"/>
    <mergeCell ref="BD133:BM133"/>
    <mergeCell ref="BO133:BX133"/>
    <mergeCell ref="BZ133:CI133"/>
    <mergeCell ref="B135:J135"/>
    <mergeCell ref="B136:J136"/>
    <mergeCell ref="B137:J137"/>
    <mergeCell ref="B141:J141"/>
    <mergeCell ref="B142:J142"/>
    <mergeCell ref="B143:J143"/>
    <mergeCell ref="B146:J146"/>
    <mergeCell ref="B147:J147"/>
    <mergeCell ref="B148:J148"/>
    <mergeCell ref="B152:J152"/>
    <mergeCell ref="B153:J153"/>
    <mergeCell ref="B154:J154"/>
    <mergeCell ref="B158:J158"/>
    <mergeCell ref="B159:J159"/>
    <mergeCell ref="B160:J160"/>
    <mergeCell ref="B162:CC163"/>
    <mergeCell ref="CD162:CI163"/>
    <mergeCell ref="B164:CI164"/>
    <mergeCell ref="B165:J165"/>
    <mergeCell ref="L165:U165"/>
    <mergeCell ref="W165:AF165"/>
    <mergeCell ref="AH165:AQ165"/>
    <mergeCell ref="AS165:BB165"/>
    <mergeCell ref="BD165:BM165"/>
    <mergeCell ref="BO165:BX165"/>
    <mergeCell ref="BZ165:CI165"/>
    <mergeCell ref="B167:J167"/>
    <mergeCell ref="B168:J168"/>
    <mergeCell ref="B170:J170"/>
    <mergeCell ref="B171:J171"/>
    <mergeCell ref="B173:J173"/>
    <mergeCell ref="B174:J174"/>
    <mergeCell ref="B178:J178"/>
    <mergeCell ref="B179:J179"/>
    <mergeCell ref="B182:CC183"/>
    <mergeCell ref="CD182:CI183"/>
    <mergeCell ref="B184:CI184"/>
    <mergeCell ref="B185:J185"/>
    <mergeCell ref="L185:U185"/>
    <mergeCell ref="W185:AF185"/>
    <mergeCell ref="AH185:AQ185"/>
    <mergeCell ref="AS185:BB185"/>
    <mergeCell ref="BD185:BM185"/>
    <mergeCell ref="BO185:BX185"/>
    <mergeCell ref="BZ185:CI185"/>
    <mergeCell ref="B187:J187"/>
    <mergeCell ref="B188:J188"/>
    <mergeCell ref="B189:J189"/>
    <mergeCell ref="B197:J197"/>
    <mergeCell ref="B198:J198"/>
    <mergeCell ref="B199:J199"/>
    <mergeCell ref="B207:CC208"/>
    <mergeCell ref="CD207:CI208"/>
    <mergeCell ref="B209:CI209"/>
    <mergeCell ref="B14:O14"/>
    <mergeCell ref="P14:AC14"/>
    <mergeCell ref="AD14:AQ14"/>
    <mergeCell ref="AR14:BE14"/>
    <mergeCell ref="BF14:BS14"/>
    <mergeCell ref="BT14:CG14"/>
  </mergeCells>
  <phoneticPr fontId="35"/>
  <hyperlinks>
    <hyperlink ref="CD16" location="'部品'!A1" display="▲ 先頭へ"/>
    <hyperlink ref="CD86" location="'部品'!A1" display="▲ 先頭へ"/>
    <hyperlink ref="CD130" location="'部品'!A1" display="▲ 先頭へ"/>
    <hyperlink ref="CD162" location="'部品'!A1" display="▲ 先頭へ"/>
    <hyperlink ref="CD182" location="'部品'!A1" display="▲ 先頭へ"/>
    <hyperlink ref="CD207" location="'部品'!A1" display="▲ 先頭へ"/>
    <hyperlink ref="B14" location="'部品'!A16" display="▶ A　ノード（16点接続）"/>
    <hyperlink ref="P14" location="'部品'!A86" display="▶ B　線（コネクタ）"/>
    <hyperlink ref="AD14" location="'部品'!A130" display="▶ C　コメント（ポイント・付記）"/>
    <hyperlink ref="AR14" location="'部品'!A162" display="▶ D　番号・ラベル"/>
    <hyperlink ref="BF14" location="'部品'!A182" display="▶ E　枠・ゾーン"/>
    <hyperlink ref="BT14" location="'部品'!A207" display="▶ F　凡例"/>
  </hyperlinks>
  <printOptions horizontalCentered="1"/>
  <pageMargins left="0.4" right="0.4" top="0.4" bottom="0.4" header="0.3" footer="0.3"/>
  <pageSetup paperSize="8" fitToHeight="0" orientation="landscape"/>
  <rowBreaks count="4" manualBreakCount="4">
    <brk id="56" max="16383" man="1"/>
    <brk id="85" max="16383" man="1"/>
    <brk id="129" max="16383" man="1"/>
    <brk id="181" max="16383" man="1"/>
  </rowBreaks>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F7F7F"/>
    <pageSetUpPr fitToPage="1"/>
  </sheetPr>
  <dimension ref="B1:L65"/>
  <sheetViews>
    <sheetView showGridLines="0" zoomScale="90" zoomScaleNormal="90" workbookViewId="0">
      <pane xSplit="3" ySplit="5" topLeftCell="D6" activePane="bottomRight" state="frozen"/>
      <selection pane="topRight" activeCell="D1" sqref="D1"/>
      <selection pane="bottomLeft" activeCell="A6" sqref="A6"/>
      <selection pane="bottomRight"/>
    </sheetView>
  </sheetViews>
  <sheetFormatPr defaultRowHeight="15" customHeight="1" x14ac:dyDescent="0.25"/>
  <cols>
    <col min="1" max="1" width="2.33203125" customWidth="1"/>
    <col min="2" max="2" width="6.6640625" customWidth="1"/>
    <col min="3" max="3" width="7.6640625" customWidth="1"/>
    <col min="4" max="4" width="18.6640625" customWidth="1"/>
    <col min="5" max="5" width="24.6640625" customWidth="1"/>
    <col min="6" max="6" width="15.6640625" customWidth="1"/>
    <col min="7" max="7" width="18.6640625" customWidth="1"/>
    <col min="8" max="8" width="13.6640625" customWidth="1"/>
    <col min="9" max="9" width="24.6640625" customWidth="1"/>
    <col min="10" max="10" width="18.6640625" customWidth="1"/>
    <col min="11" max="11" width="8.6640625" customWidth="1"/>
    <col min="12" max="12" width="26.6640625" customWidth="1"/>
  </cols>
  <sheetData>
    <row r="1" spans="2:12" ht="24" customHeight="1" x14ac:dyDescent="0.25">
      <c r="B1" s="76" t="s">
        <v>196</v>
      </c>
      <c r="C1" s="76"/>
      <c r="D1" s="76"/>
      <c r="E1" s="76"/>
      <c r="F1" s="76"/>
      <c r="G1" s="76"/>
      <c r="H1" s="76"/>
      <c r="I1" s="76"/>
      <c r="J1" s="76"/>
      <c r="K1" s="76"/>
      <c r="L1" s="76"/>
    </row>
    <row r="2" spans="2:12" ht="12.6" x14ac:dyDescent="0.25">
      <c r="B2" s="44" t="s">
        <v>197</v>
      </c>
      <c r="C2" s="44"/>
      <c r="D2" s="44"/>
      <c r="E2" s="44"/>
      <c r="F2" s="44"/>
      <c r="G2" s="44"/>
      <c r="H2" s="44"/>
      <c r="I2" s="44"/>
      <c r="J2" s="44"/>
      <c r="K2" s="44"/>
      <c r="L2" s="44"/>
    </row>
    <row r="3" spans="2:12" ht="12.6" x14ac:dyDescent="0.25">
      <c r="B3" s="77" t="s">
        <v>198</v>
      </c>
      <c r="C3" s="77"/>
      <c r="D3" s="77"/>
      <c r="E3" s="77"/>
      <c r="F3" s="77"/>
      <c r="G3" s="77"/>
      <c r="H3" s="77"/>
      <c r="I3" s="77"/>
      <c r="J3" s="77"/>
      <c r="K3" s="77"/>
      <c r="L3" s="77"/>
    </row>
    <row r="5" spans="2:12" ht="22.05" customHeight="1" x14ac:dyDescent="0.25">
      <c r="B5" s="15" t="s">
        <v>23</v>
      </c>
      <c r="C5" s="15" t="s">
        <v>199</v>
      </c>
      <c r="D5" s="15" t="s">
        <v>200</v>
      </c>
      <c r="E5" s="15" t="s">
        <v>201</v>
      </c>
      <c r="F5" s="15" t="s">
        <v>202</v>
      </c>
      <c r="G5" s="15" t="s">
        <v>203</v>
      </c>
      <c r="H5" s="15" t="s">
        <v>204</v>
      </c>
      <c r="I5" s="15" t="s">
        <v>205</v>
      </c>
      <c r="J5" s="15" t="s">
        <v>206</v>
      </c>
      <c r="K5" s="15" t="s">
        <v>207</v>
      </c>
      <c r="L5" s="15" t="s">
        <v>208</v>
      </c>
    </row>
    <row r="6" spans="2:12" ht="21" customHeight="1" x14ac:dyDescent="0.25">
      <c r="B6" s="16" t="s">
        <v>209</v>
      </c>
      <c r="C6" s="16" t="s">
        <v>44</v>
      </c>
      <c r="D6" s="16" t="s">
        <v>210</v>
      </c>
      <c r="E6" s="16" t="s">
        <v>211</v>
      </c>
      <c r="F6" s="16" t="s">
        <v>212</v>
      </c>
      <c r="G6" s="16" t="s">
        <v>213</v>
      </c>
      <c r="H6" s="16" t="s">
        <v>214</v>
      </c>
      <c r="I6" s="16" t="s">
        <v>215</v>
      </c>
      <c r="J6" s="16" t="s">
        <v>216</v>
      </c>
      <c r="K6" s="16" t="s">
        <v>217</v>
      </c>
      <c r="L6" s="16" t="s">
        <v>218</v>
      </c>
    </row>
    <row r="7" spans="2:12" ht="21" customHeight="1" x14ac:dyDescent="0.25">
      <c r="B7" s="16" t="s">
        <v>219</v>
      </c>
      <c r="C7" s="16" t="s">
        <v>44</v>
      </c>
      <c r="D7" s="16" t="s">
        <v>210</v>
      </c>
      <c r="E7" s="16" t="s">
        <v>220</v>
      </c>
      <c r="F7" s="16" t="s">
        <v>221</v>
      </c>
      <c r="G7" s="16" t="s">
        <v>222</v>
      </c>
      <c r="H7" s="16" t="s">
        <v>223</v>
      </c>
      <c r="I7" s="16" t="s">
        <v>215</v>
      </c>
      <c r="J7" s="16" t="s">
        <v>224</v>
      </c>
      <c r="K7" s="16" t="s">
        <v>217</v>
      </c>
      <c r="L7" s="16" t="s">
        <v>225</v>
      </c>
    </row>
    <row r="8" spans="2:12" ht="21" customHeight="1" x14ac:dyDescent="0.25">
      <c r="B8" s="16" t="s">
        <v>226</v>
      </c>
      <c r="C8" s="16" t="s">
        <v>44</v>
      </c>
      <c r="D8" s="16" t="s">
        <v>227</v>
      </c>
      <c r="E8" s="16" t="s">
        <v>228</v>
      </c>
      <c r="F8" s="16" t="s">
        <v>229</v>
      </c>
      <c r="G8" s="16" t="s">
        <v>230</v>
      </c>
      <c r="H8" s="16" t="s">
        <v>231</v>
      </c>
      <c r="I8" s="16" t="s">
        <v>232</v>
      </c>
      <c r="J8" s="16" t="s">
        <v>233</v>
      </c>
      <c r="K8" s="16" t="s">
        <v>217</v>
      </c>
      <c r="L8" s="16" t="s">
        <v>225</v>
      </c>
    </row>
    <row r="9" spans="2:12" ht="21" customHeight="1" x14ac:dyDescent="0.25">
      <c r="B9" s="16" t="s">
        <v>234</v>
      </c>
      <c r="C9" s="16" t="s">
        <v>48</v>
      </c>
      <c r="D9" s="16" t="s">
        <v>235</v>
      </c>
      <c r="E9" s="16" t="s">
        <v>236</v>
      </c>
      <c r="F9" s="16" t="s">
        <v>237</v>
      </c>
      <c r="G9" s="16" t="s">
        <v>238</v>
      </c>
      <c r="H9" s="16" t="s">
        <v>239</v>
      </c>
      <c r="I9" s="16" t="s">
        <v>240</v>
      </c>
      <c r="J9" s="16" t="s">
        <v>241</v>
      </c>
      <c r="K9" s="16" t="s">
        <v>133</v>
      </c>
      <c r="L9" s="16" t="s">
        <v>225</v>
      </c>
    </row>
    <row r="10" spans="2:12" ht="21" customHeight="1" x14ac:dyDescent="0.25">
      <c r="B10" s="16" t="s">
        <v>242</v>
      </c>
      <c r="C10" s="16" t="s">
        <v>48</v>
      </c>
      <c r="D10" s="16" t="s">
        <v>243</v>
      </c>
      <c r="E10" s="16" t="s">
        <v>236</v>
      </c>
      <c r="F10" s="16" t="s">
        <v>244</v>
      </c>
      <c r="G10" s="16" t="s">
        <v>245</v>
      </c>
      <c r="H10" s="16" t="s">
        <v>239</v>
      </c>
      <c r="I10" s="16" t="s">
        <v>240</v>
      </c>
      <c r="J10" s="16" t="s">
        <v>246</v>
      </c>
      <c r="K10" s="16" t="s">
        <v>133</v>
      </c>
      <c r="L10" s="16" t="s">
        <v>225</v>
      </c>
    </row>
    <row r="11" spans="2:12" ht="21" customHeight="1" x14ac:dyDescent="0.25">
      <c r="B11" s="16" t="s">
        <v>247</v>
      </c>
      <c r="C11" s="16" t="s">
        <v>52</v>
      </c>
      <c r="D11" s="16" t="s">
        <v>248</v>
      </c>
      <c r="E11" s="16" t="s">
        <v>249</v>
      </c>
      <c r="F11" s="16" t="s">
        <v>250</v>
      </c>
      <c r="G11" s="16" t="s">
        <v>251</v>
      </c>
      <c r="H11" s="16" t="s">
        <v>239</v>
      </c>
      <c r="I11" s="16" t="s">
        <v>252</v>
      </c>
      <c r="J11" s="16" t="s">
        <v>253</v>
      </c>
      <c r="K11" s="16" t="s">
        <v>133</v>
      </c>
      <c r="L11" s="16" t="s">
        <v>225</v>
      </c>
    </row>
    <row r="12" spans="2:12" ht="21" customHeight="1" x14ac:dyDescent="0.25">
      <c r="B12" s="16" t="s">
        <v>254</v>
      </c>
      <c r="C12" s="16" t="s">
        <v>56</v>
      </c>
      <c r="D12" s="16" t="s">
        <v>255</v>
      </c>
      <c r="E12" s="16" t="s">
        <v>228</v>
      </c>
      <c r="F12" s="16" t="s">
        <v>229</v>
      </c>
      <c r="G12" s="16" t="s">
        <v>256</v>
      </c>
      <c r="H12" s="16" t="s">
        <v>239</v>
      </c>
      <c r="I12" s="16" t="s">
        <v>232</v>
      </c>
      <c r="J12" s="16" t="s">
        <v>233</v>
      </c>
      <c r="K12" s="16" t="s">
        <v>133</v>
      </c>
      <c r="L12" s="16" t="s">
        <v>225</v>
      </c>
    </row>
    <row r="13" spans="2:12" ht="21" customHeight="1" x14ac:dyDescent="0.25">
      <c r="B13" s="16" t="s">
        <v>257</v>
      </c>
      <c r="C13" s="16" t="s">
        <v>56</v>
      </c>
      <c r="D13" s="16" t="s">
        <v>258</v>
      </c>
      <c r="E13" s="16" t="s">
        <v>259</v>
      </c>
      <c r="F13" s="16" t="s">
        <v>260</v>
      </c>
      <c r="G13" s="16" t="s">
        <v>261</v>
      </c>
      <c r="H13" s="16" t="s">
        <v>262</v>
      </c>
      <c r="I13" s="16" t="s">
        <v>263</v>
      </c>
      <c r="J13" s="16" t="s">
        <v>264</v>
      </c>
      <c r="K13" s="16" t="s">
        <v>217</v>
      </c>
      <c r="L13" s="16" t="s">
        <v>265</v>
      </c>
    </row>
    <row r="14" spans="2:12" ht="21" customHeight="1" x14ac:dyDescent="0.25">
      <c r="B14" s="16"/>
      <c r="C14" s="16"/>
      <c r="D14" s="16"/>
      <c r="E14" s="16"/>
      <c r="F14" s="16"/>
      <c r="G14" s="16"/>
      <c r="H14" s="16"/>
      <c r="I14" s="16"/>
      <c r="J14" s="16"/>
      <c r="K14" s="16"/>
      <c r="L14" s="16"/>
    </row>
    <row r="15" spans="2:12" ht="21" customHeight="1" x14ac:dyDescent="0.25">
      <c r="B15" s="16"/>
      <c r="C15" s="16"/>
      <c r="D15" s="16"/>
      <c r="E15" s="16"/>
      <c r="F15" s="16"/>
      <c r="G15" s="16"/>
      <c r="H15" s="16"/>
      <c r="I15" s="16"/>
      <c r="J15" s="16"/>
      <c r="K15" s="16"/>
      <c r="L15" s="16"/>
    </row>
    <row r="16" spans="2:12" ht="21" customHeight="1" x14ac:dyDescent="0.25">
      <c r="B16" s="16"/>
      <c r="C16" s="16"/>
      <c r="D16" s="16"/>
      <c r="E16" s="16"/>
      <c r="F16" s="16"/>
      <c r="G16" s="16"/>
      <c r="H16" s="16"/>
      <c r="I16" s="16"/>
      <c r="J16" s="16"/>
      <c r="K16" s="16"/>
      <c r="L16" s="16"/>
    </row>
    <row r="17" spans="2:12" ht="21" customHeight="1" x14ac:dyDescent="0.25">
      <c r="B17" s="16"/>
      <c r="C17" s="16"/>
      <c r="D17" s="16"/>
      <c r="E17" s="16"/>
      <c r="F17" s="16"/>
      <c r="G17" s="16"/>
      <c r="H17" s="16"/>
      <c r="I17" s="16"/>
      <c r="J17" s="16"/>
      <c r="K17" s="16"/>
      <c r="L17" s="16"/>
    </row>
    <row r="18" spans="2:12" ht="21" customHeight="1" x14ac:dyDescent="0.25">
      <c r="B18" s="16"/>
      <c r="C18" s="16"/>
      <c r="D18" s="16"/>
      <c r="E18" s="16"/>
      <c r="F18" s="16"/>
      <c r="G18" s="16"/>
      <c r="H18" s="16"/>
      <c r="I18" s="16"/>
      <c r="J18" s="16"/>
      <c r="K18" s="16"/>
      <c r="L18" s="16"/>
    </row>
    <row r="19" spans="2:12" ht="21" customHeight="1" x14ac:dyDescent="0.25">
      <c r="B19" s="16"/>
      <c r="C19" s="16"/>
      <c r="D19" s="16"/>
      <c r="E19" s="16"/>
      <c r="F19" s="16"/>
      <c r="G19" s="16"/>
      <c r="H19" s="16"/>
      <c r="I19" s="16"/>
      <c r="J19" s="16"/>
      <c r="K19" s="16"/>
      <c r="L19" s="16"/>
    </row>
    <row r="20" spans="2:12" ht="21" customHeight="1" x14ac:dyDescent="0.25">
      <c r="B20" s="16"/>
      <c r="C20" s="16"/>
      <c r="D20" s="16"/>
      <c r="E20" s="16"/>
      <c r="F20" s="16"/>
      <c r="G20" s="16"/>
      <c r="H20" s="16"/>
      <c r="I20" s="16"/>
      <c r="J20" s="16"/>
      <c r="K20" s="16"/>
      <c r="L20" s="16"/>
    </row>
    <row r="21" spans="2:12" ht="21" customHeight="1" x14ac:dyDescent="0.25">
      <c r="B21" s="16"/>
      <c r="C21" s="16"/>
      <c r="D21" s="16"/>
      <c r="E21" s="16"/>
      <c r="F21" s="16"/>
      <c r="G21" s="16"/>
      <c r="H21" s="16"/>
      <c r="I21" s="16"/>
      <c r="J21" s="16"/>
      <c r="K21" s="16"/>
      <c r="L21" s="16"/>
    </row>
    <row r="22" spans="2:12" ht="21" customHeight="1" x14ac:dyDescent="0.25">
      <c r="B22" s="16"/>
      <c r="C22" s="16"/>
      <c r="D22" s="16"/>
      <c r="E22" s="16"/>
      <c r="F22" s="16"/>
      <c r="G22" s="16"/>
      <c r="H22" s="16"/>
      <c r="I22" s="16"/>
      <c r="J22" s="16"/>
      <c r="K22" s="16"/>
      <c r="L22" s="16"/>
    </row>
    <row r="23" spans="2:12" ht="21" customHeight="1" x14ac:dyDescent="0.25">
      <c r="B23" s="16"/>
      <c r="C23" s="16"/>
      <c r="D23" s="16"/>
      <c r="E23" s="16"/>
      <c r="F23" s="16"/>
      <c r="G23" s="16"/>
      <c r="H23" s="16"/>
      <c r="I23" s="16"/>
      <c r="J23" s="16"/>
      <c r="K23" s="16"/>
      <c r="L23" s="16"/>
    </row>
    <row r="24" spans="2:12" ht="21" customHeight="1" x14ac:dyDescent="0.25">
      <c r="B24" s="16"/>
      <c r="C24" s="16"/>
      <c r="D24" s="16"/>
      <c r="E24" s="16"/>
      <c r="F24" s="16"/>
      <c r="G24" s="16"/>
      <c r="H24" s="16"/>
      <c r="I24" s="16"/>
      <c r="J24" s="16"/>
      <c r="K24" s="16"/>
      <c r="L24" s="16"/>
    </row>
    <row r="25" spans="2:12" ht="21" customHeight="1" x14ac:dyDescent="0.25">
      <c r="B25" s="16"/>
      <c r="C25" s="16"/>
      <c r="D25" s="16"/>
      <c r="E25" s="16"/>
      <c r="F25" s="16"/>
      <c r="G25" s="16"/>
      <c r="H25" s="16"/>
      <c r="I25" s="16"/>
      <c r="J25" s="16"/>
      <c r="K25" s="16"/>
      <c r="L25" s="16"/>
    </row>
    <row r="26" spans="2:12" ht="21" customHeight="1" x14ac:dyDescent="0.25">
      <c r="B26" s="16"/>
      <c r="C26" s="16"/>
      <c r="D26" s="16"/>
      <c r="E26" s="16"/>
      <c r="F26" s="16"/>
      <c r="G26" s="16"/>
      <c r="H26" s="16"/>
      <c r="I26" s="16"/>
      <c r="J26" s="16"/>
      <c r="K26" s="16"/>
      <c r="L26" s="16"/>
    </row>
    <row r="27" spans="2:12" ht="21" customHeight="1" x14ac:dyDescent="0.25">
      <c r="B27" s="16"/>
      <c r="C27" s="16"/>
      <c r="D27" s="16"/>
      <c r="E27" s="16"/>
      <c r="F27" s="16"/>
      <c r="G27" s="16"/>
      <c r="H27" s="16"/>
      <c r="I27" s="16"/>
      <c r="J27" s="16"/>
      <c r="K27" s="16"/>
      <c r="L27" s="16"/>
    </row>
    <row r="28" spans="2:12" ht="21" customHeight="1" x14ac:dyDescent="0.25">
      <c r="B28" s="16"/>
      <c r="C28" s="16"/>
      <c r="D28" s="16"/>
      <c r="E28" s="16"/>
      <c r="F28" s="16"/>
      <c r="G28" s="16"/>
      <c r="H28" s="16"/>
      <c r="I28" s="16"/>
      <c r="J28" s="16"/>
      <c r="K28" s="16"/>
      <c r="L28" s="16"/>
    </row>
    <row r="29" spans="2:12" ht="21" customHeight="1" x14ac:dyDescent="0.25">
      <c r="B29" s="16"/>
      <c r="C29" s="16"/>
      <c r="D29" s="16"/>
      <c r="E29" s="16"/>
      <c r="F29" s="16"/>
      <c r="G29" s="16"/>
      <c r="H29" s="16"/>
      <c r="I29" s="16"/>
      <c r="J29" s="16"/>
      <c r="K29" s="16"/>
      <c r="L29" s="16"/>
    </row>
    <row r="30" spans="2:12" ht="21" customHeight="1" x14ac:dyDescent="0.25">
      <c r="B30" s="16"/>
      <c r="C30" s="16"/>
      <c r="D30" s="16"/>
      <c r="E30" s="16"/>
      <c r="F30" s="16"/>
      <c r="G30" s="16"/>
      <c r="H30" s="16"/>
      <c r="I30" s="16"/>
      <c r="J30" s="16"/>
      <c r="K30" s="16"/>
      <c r="L30" s="16"/>
    </row>
    <row r="31" spans="2:12" ht="21" customHeight="1" x14ac:dyDescent="0.25">
      <c r="B31" s="16"/>
      <c r="C31" s="16"/>
      <c r="D31" s="16"/>
      <c r="E31" s="16"/>
      <c r="F31" s="16"/>
      <c r="G31" s="16"/>
      <c r="H31" s="16"/>
      <c r="I31" s="16"/>
      <c r="J31" s="16"/>
      <c r="K31" s="16"/>
      <c r="L31" s="16"/>
    </row>
    <row r="32" spans="2:12" ht="21" customHeight="1" x14ac:dyDescent="0.25">
      <c r="B32" s="16"/>
      <c r="C32" s="16"/>
      <c r="D32" s="16"/>
      <c r="E32" s="16"/>
      <c r="F32" s="16"/>
      <c r="G32" s="16"/>
      <c r="H32" s="16"/>
      <c r="I32" s="16"/>
      <c r="J32" s="16"/>
      <c r="K32" s="16"/>
      <c r="L32" s="16"/>
    </row>
    <row r="33" spans="2:12" ht="21" customHeight="1" x14ac:dyDescent="0.25">
      <c r="B33" s="16"/>
      <c r="C33" s="16"/>
      <c r="D33" s="16"/>
      <c r="E33" s="16"/>
      <c r="F33" s="16"/>
      <c r="G33" s="16"/>
      <c r="H33" s="16"/>
      <c r="I33" s="16"/>
      <c r="J33" s="16"/>
      <c r="K33" s="16"/>
      <c r="L33" s="16"/>
    </row>
    <row r="34" spans="2:12" ht="21" customHeight="1" x14ac:dyDescent="0.25">
      <c r="B34" s="16"/>
      <c r="C34" s="16"/>
      <c r="D34" s="16"/>
      <c r="E34" s="16"/>
      <c r="F34" s="16"/>
      <c r="G34" s="16"/>
      <c r="H34" s="16"/>
      <c r="I34" s="16"/>
      <c r="J34" s="16"/>
      <c r="K34" s="16"/>
      <c r="L34" s="16"/>
    </row>
    <row r="35" spans="2:12" ht="21" customHeight="1" x14ac:dyDescent="0.25">
      <c r="B35" s="16"/>
      <c r="C35" s="16"/>
      <c r="D35" s="16"/>
      <c r="E35" s="16"/>
      <c r="F35" s="16"/>
      <c r="G35" s="16"/>
      <c r="H35" s="16"/>
      <c r="I35" s="16"/>
      <c r="J35" s="16"/>
      <c r="K35" s="16"/>
      <c r="L35" s="16"/>
    </row>
    <row r="36" spans="2:12" ht="21" customHeight="1" x14ac:dyDescent="0.25">
      <c r="B36" s="16"/>
      <c r="C36" s="16"/>
      <c r="D36" s="16"/>
      <c r="E36" s="16"/>
      <c r="F36" s="16"/>
      <c r="G36" s="16"/>
      <c r="H36" s="16"/>
      <c r="I36" s="16"/>
      <c r="J36" s="16"/>
      <c r="K36" s="16"/>
      <c r="L36" s="16"/>
    </row>
    <row r="37" spans="2:12" ht="21" customHeight="1" x14ac:dyDescent="0.25">
      <c r="B37" s="16"/>
      <c r="C37" s="16"/>
      <c r="D37" s="16"/>
      <c r="E37" s="16"/>
      <c r="F37" s="16"/>
      <c r="G37" s="16"/>
      <c r="H37" s="16"/>
      <c r="I37" s="16"/>
      <c r="J37" s="16"/>
      <c r="K37" s="16"/>
      <c r="L37" s="16"/>
    </row>
    <row r="38" spans="2:12" ht="21" customHeight="1" x14ac:dyDescent="0.25">
      <c r="B38" s="16"/>
      <c r="C38" s="16"/>
      <c r="D38" s="16"/>
      <c r="E38" s="16"/>
      <c r="F38" s="16"/>
      <c r="G38" s="16"/>
      <c r="H38" s="16"/>
      <c r="I38" s="16"/>
      <c r="J38" s="16"/>
      <c r="K38" s="16"/>
      <c r="L38" s="16"/>
    </row>
    <row r="39" spans="2:12" ht="21" customHeight="1" x14ac:dyDescent="0.25">
      <c r="B39" s="16"/>
      <c r="C39" s="16"/>
      <c r="D39" s="16"/>
      <c r="E39" s="16"/>
      <c r="F39" s="16"/>
      <c r="G39" s="16"/>
      <c r="H39" s="16"/>
      <c r="I39" s="16"/>
      <c r="J39" s="16"/>
      <c r="K39" s="16"/>
      <c r="L39" s="16"/>
    </row>
    <row r="40" spans="2:12" ht="21" customHeight="1" x14ac:dyDescent="0.25">
      <c r="B40" s="16"/>
      <c r="C40" s="16"/>
      <c r="D40" s="16"/>
      <c r="E40" s="16"/>
      <c r="F40" s="16"/>
      <c r="G40" s="16"/>
      <c r="H40" s="16"/>
      <c r="I40" s="16"/>
      <c r="J40" s="16"/>
      <c r="K40" s="16"/>
      <c r="L40" s="16"/>
    </row>
    <row r="41" spans="2:12" ht="21" customHeight="1" x14ac:dyDescent="0.25">
      <c r="B41" s="16"/>
      <c r="C41" s="16"/>
      <c r="D41" s="16"/>
      <c r="E41" s="16"/>
      <c r="F41" s="16"/>
      <c r="G41" s="16"/>
      <c r="H41" s="16"/>
      <c r="I41" s="16"/>
      <c r="J41" s="16"/>
      <c r="K41" s="16"/>
      <c r="L41" s="16"/>
    </row>
    <row r="42" spans="2:12" ht="21" customHeight="1" x14ac:dyDescent="0.25">
      <c r="B42" s="16"/>
      <c r="C42" s="16"/>
      <c r="D42" s="16"/>
      <c r="E42" s="16"/>
      <c r="F42" s="16"/>
      <c r="G42" s="16"/>
      <c r="H42" s="16"/>
      <c r="I42" s="16"/>
      <c r="J42" s="16"/>
      <c r="K42" s="16"/>
      <c r="L42" s="16"/>
    </row>
    <row r="43" spans="2:12" ht="21" customHeight="1" x14ac:dyDescent="0.25">
      <c r="B43" s="16"/>
      <c r="C43" s="16"/>
      <c r="D43" s="16"/>
      <c r="E43" s="16"/>
      <c r="F43" s="16"/>
      <c r="G43" s="16"/>
      <c r="H43" s="16"/>
      <c r="I43" s="16"/>
      <c r="J43" s="16"/>
      <c r="K43" s="16"/>
      <c r="L43" s="16"/>
    </row>
    <row r="44" spans="2:12" ht="21" customHeight="1" x14ac:dyDescent="0.25">
      <c r="B44" s="16"/>
      <c r="C44" s="16"/>
      <c r="D44" s="16"/>
      <c r="E44" s="16"/>
      <c r="F44" s="16"/>
      <c r="G44" s="16"/>
      <c r="H44" s="16"/>
      <c r="I44" s="16"/>
      <c r="J44" s="16"/>
      <c r="K44" s="16"/>
      <c r="L44" s="16"/>
    </row>
    <row r="45" spans="2:12" ht="21" customHeight="1" x14ac:dyDescent="0.25">
      <c r="B45" s="16"/>
      <c r="C45" s="16"/>
      <c r="D45" s="16"/>
      <c r="E45" s="16"/>
      <c r="F45" s="16"/>
      <c r="G45" s="16"/>
      <c r="H45" s="16"/>
      <c r="I45" s="16"/>
      <c r="J45" s="16"/>
      <c r="K45" s="16"/>
      <c r="L45" s="16"/>
    </row>
    <row r="46" spans="2:12" ht="21" customHeight="1" x14ac:dyDescent="0.25">
      <c r="B46" s="16"/>
      <c r="C46" s="16"/>
      <c r="D46" s="16"/>
      <c r="E46" s="16"/>
      <c r="F46" s="16"/>
      <c r="G46" s="16"/>
      <c r="H46" s="16"/>
      <c r="I46" s="16"/>
      <c r="J46" s="16"/>
      <c r="K46" s="16"/>
      <c r="L46" s="16"/>
    </row>
    <row r="47" spans="2:12" ht="21" customHeight="1" x14ac:dyDescent="0.25">
      <c r="B47" s="16"/>
      <c r="C47" s="16"/>
      <c r="D47" s="16"/>
      <c r="E47" s="16"/>
      <c r="F47" s="16"/>
      <c r="G47" s="16"/>
      <c r="H47" s="16"/>
      <c r="I47" s="16"/>
      <c r="J47" s="16"/>
      <c r="K47" s="16"/>
      <c r="L47" s="16"/>
    </row>
    <row r="48" spans="2:12" ht="21" customHeight="1" x14ac:dyDescent="0.25">
      <c r="B48" s="16"/>
      <c r="C48" s="16"/>
      <c r="D48" s="16"/>
      <c r="E48" s="16"/>
      <c r="F48" s="16"/>
      <c r="G48" s="16"/>
      <c r="H48" s="16"/>
      <c r="I48" s="16"/>
      <c r="J48" s="16"/>
      <c r="K48" s="16"/>
      <c r="L48" s="16"/>
    </row>
    <row r="49" spans="2:12" ht="21" customHeight="1" x14ac:dyDescent="0.25">
      <c r="B49" s="16"/>
      <c r="C49" s="16"/>
      <c r="D49" s="16"/>
      <c r="E49" s="16"/>
      <c r="F49" s="16"/>
      <c r="G49" s="16"/>
      <c r="H49" s="16"/>
      <c r="I49" s="16"/>
      <c r="J49" s="16"/>
      <c r="K49" s="16"/>
      <c r="L49" s="16"/>
    </row>
    <row r="50" spans="2:12" ht="21" customHeight="1" x14ac:dyDescent="0.25">
      <c r="B50" s="16"/>
      <c r="C50" s="16"/>
      <c r="D50" s="16"/>
      <c r="E50" s="16"/>
      <c r="F50" s="16"/>
      <c r="G50" s="16"/>
      <c r="H50" s="16"/>
      <c r="I50" s="16"/>
      <c r="J50" s="16"/>
      <c r="K50" s="16"/>
      <c r="L50" s="16"/>
    </row>
    <row r="51" spans="2:12" ht="21" customHeight="1" x14ac:dyDescent="0.25">
      <c r="B51" s="16"/>
      <c r="C51" s="16"/>
      <c r="D51" s="16"/>
      <c r="E51" s="16"/>
      <c r="F51" s="16"/>
      <c r="G51" s="16"/>
      <c r="H51" s="16"/>
      <c r="I51" s="16"/>
      <c r="J51" s="16"/>
      <c r="K51" s="16"/>
      <c r="L51" s="16"/>
    </row>
    <row r="52" spans="2:12" ht="21" customHeight="1" x14ac:dyDescent="0.25">
      <c r="B52" s="16"/>
      <c r="C52" s="16"/>
      <c r="D52" s="16"/>
      <c r="E52" s="16"/>
      <c r="F52" s="16"/>
      <c r="G52" s="16"/>
      <c r="H52" s="16"/>
      <c r="I52" s="16"/>
      <c r="J52" s="16"/>
      <c r="K52" s="16"/>
      <c r="L52" s="16"/>
    </row>
    <row r="53" spans="2:12" ht="21" customHeight="1" x14ac:dyDescent="0.25">
      <c r="B53" s="16"/>
      <c r="C53" s="16"/>
      <c r="D53" s="16"/>
      <c r="E53" s="16"/>
      <c r="F53" s="16"/>
      <c r="G53" s="16"/>
      <c r="H53" s="16"/>
      <c r="I53" s="16"/>
      <c r="J53" s="16"/>
      <c r="K53" s="16"/>
      <c r="L53" s="16"/>
    </row>
    <row r="54" spans="2:12" ht="21" customHeight="1" x14ac:dyDescent="0.25">
      <c r="B54" s="16"/>
      <c r="C54" s="16"/>
      <c r="D54" s="16"/>
      <c r="E54" s="16"/>
      <c r="F54" s="16"/>
      <c r="G54" s="16"/>
      <c r="H54" s="16"/>
      <c r="I54" s="16"/>
      <c r="J54" s="16"/>
      <c r="K54" s="16"/>
      <c r="L54" s="16"/>
    </row>
    <row r="55" spans="2:12" ht="21" customHeight="1" x14ac:dyDescent="0.25">
      <c r="B55" s="16"/>
      <c r="C55" s="16"/>
      <c r="D55" s="16"/>
      <c r="E55" s="16"/>
      <c r="F55" s="16"/>
      <c r="G55" s="16"/>
      <c r="H55" s="16"/>
      <c r="I55" s="16"/>
      <c r="J55" s="16"/>
      <c r="K55" s="16"/>
      <c r="L55" s="16"/>
    </row>
    <row r="56" spans="2:12" ht="21" customHeight="1" x14ac:dyDescent="0.25">
      <c r="B56" s="16"/>
      <c r="C56" s="16"/>
      <c r="D56" s="16"/>
      <c r="E56" s="16"/>
      <c r="F56" s="16"/>
      <c r="G56" s="16"/>
      <c r="H56" s="16"/>
      <c r="I56" s="16"/>
      <c r="J56" s="16"/>
      <c r="K56" s="16"/>
      <c r="L56" s="16"/>
    </row>
    <row r="57" spans="2:12" ht="21" customHeight="1" x14ac:dyDescent="0.25">
      <c r="B57" s="16"/>
      <c r="C57" s="16"/>
      <c r="D57" s="16"/>
      <c r="E57" s="16"/>
      <c r="F57" s="16"/>
      <c r="G57" s="16"/>
      <c r="H57" s="16"/>
      <c r="I57" s="16"/>
      <c r="J57" s="16"/>
      <c r="K57" s="16"/>
      <c r="L57" s="16"/>
    </row>
    <row r="58" spans="2:12" ht="21" customHeight="1" x14ac:dyDescent="0.25">
      <c r="B58" s="16"/>
      <c r="C58" s="16"/>
      <c r="D58" s="16"/>
      <c r="E58" s="16"/>
      <c r="F58" s="16"/>
      <c r="G58" s="16"/>
      <c r="H58" s="16"/>
      <c r="I58" s="16"/>
      <c r="J58" s="16"/>
      <c r="K58" s="16"/>
      <c r="L58" s="16"/>
    </row>
    <row r="59" spans="2:12" ht="21" customHeight="1" x14ac:dyDescent="0.25">
      <c r="B59" s="16"/>
      <c r="C59" s="16"/>
      <c r="D59" s="16"/>
      <c r="E59" s="16"/>
      <c r="F59" s="16"/>
      <c r="G59" s="16"/>
      <c r="H59" s="16"/>
      <c r="I59" s="16"/>
      <c r="J59" s="16"/>
      <c r="K59" s="16"/>
      <c r="L59" s="16"/>
    </row>
    <row r="60" spans="2:12" ht="21" customHeight="1" x14ac:dyDescent="0.25">
      <c r="B60" s="16"/>
      <c r="C60" s="16"/>
      <c r="D60" s="16"/>
      <c r="E60" s="16"/>
      <c r="F60" s="16"/>
      <c r="G60" s="16"/>
      <c r="H60" s="16"/>
      <c r="I60" s="16"/>
      <c r="J60" s="16"/>
      <c r="K60" s="16"/>
      <c r="L60" s="16"/>
    </row>
    <row r="61" spans="2:12" ht="21" customHeight="1" x14ac:dyDescent="0.25">
      <c r="B61" s="16"/>
      <c r="C61" s="16"/>
      <c r="D61" s="16"/>
      <c r="E61" s="16"/>
      <c r="F61" s="16"/>
      <c r="G61" s="16"/>
      <c r="H61" s="16"/>
      <c r="I61" s="16"/>
      <c r="J61" s="16"/>
      <c r="K61" s="16"/>
      <c r="L61" s="16"/>
    </row>
    <row r="62" spans="2:12" ht="21" customHeight="1" x14ac:dyDescent="0.25">
      <c r="B62" s="16"/>
      <c r="C62" s="16"/>
      <c r="D62" s="16"/>
      <c r="E62" s="16"/>
      <c r="F62" s="16"/>
      <c r="G62" s="16"/>
      <c r="H62" s="16"/>
      <c r="I62" s="16"/>
      <c r="J62" s="16"/>
      <c r="K62" s="16"/>
      <c r="L62" s="16"/>
    </row>
    <row r="63" spans="2:12" ht="21" customHeight="1" x14ac:dyDescent="0.25">
      <c r="B63" s="16"/>
      <c r="C63" s="16"/>
      <c r="D63" s="16"/>
      <c r="E63" s="16"/>
      <c r="F63" s="16"/>
      <c r="G63" s="16"/>
      <c r="H63" s="16"/>
      <c r="I63" s="16"/>
      <c r="J63" s="16"/>
      <c r="K63" s="16"/>
      <c r="L63" s="16"/>
    </row>
    <row r="64" spans="2:12" ht="21" customHeight="1" x14ac:dyDescent="0.25">
      <c r="B64" s="16"/>
      <c r="C64" s="16"/>
      <c r="D64" s="16"/>
      <c r="E64" s="16"/>
      <c r="F64" s="16"/>
      <c r="G64" s="16"/>
      <c r="H64" s="16"/>
      <c r="I64" s="16"/>
      <c r="J64" s="16"/>
      <c r="K64" s="16"/>
      <c r="L64" s="16"/>
    </row>
    <row r="65" spans="2:12" ht="21" customHeight="1" x14ac:dyDescent="0.25">
      <c r="B65" s="16"/>
      <c r="C65" s="16"/>
      <c r="D65" s="16"/>
      <c r="E65" s="16"/>
      <c r="F65" s="16"/>
      <c r="G65" s="16"/>
      <c r="H65" s="16"/>
      <c r="I65" s="16"/>
      <c r="J65" s="16"/>
      <c r="K65" s="16"/>
      <c r="L65" s="16"/>
    </row>
  </sheetData>
  <mergeCells count="3">
    <mergeCell ref="B1:L1"/>
    <mergeCell ref="B2:L2"/>
    <mergeCell ref="B3:L3"/>
  </mergeCells>
  <phoneticPr fontId="35"/>
  <conditionalFormatting sqref="B6:C65">
    <cfRule type="expression" dxfId="7" priority="1">
      <formula>$C6="A"</formula>
    </cfRule>
    <cfRule type="expression" dxfId="6" priority="2">
      <formula>$C6="B"</formula>
    </cfRule>
    <cfRule type="expression" dxfId="5" priority="3">
      <formula>$C6="C"</formula>
    </cfRule>
    <cfRule type="expression" dxfId="27" priority="5">
      <formula>$C6="D"</formula>
    </cfRule>
    <cfRule type="expression" dxfId="28" priority="6">
      <formula>$C6="E"</formula>
    </cfRule>
    <cfRule type="expression" dxfId="29" priority="7">
      <formula>$C6="F"</formula>
    </cfRule>
    <cfRule type="expression" dxfId="4" priority="4">
      <formula>$C6="共通"</formula>
    </cfRule>
  </conditionalFormatting>
  <dataValidations count="3">
    <dataValidation type="list" errorStyle="warning" allowBlank="1" showInputMessage="1" showErrorMessage="1" error="一覧から選択してください（そのまま入力する場合は「はい」）" promptTitle="ルート" prompt="A〜F：ルートA〜F／共通（ルート名は表紙で定義）" sqref="C6:C65" xr:uid="{00000000-0002-0000-0500-000000000000}">
      <formula1>"A,B,C,D,E,F,共通"</formula1>
    </dataValidation>
    <dataValidation type="list" errorStyle="warning" allowBlank="1" showInputMessage="1" showErrorMessage="1" error="一覧から選択してください（そのまま入力する場合は「はい」）" promptTitle="連携方式" prompt="連携方式を選択" sqref="F6:F65" xr:uid="{00000000-0002-0000-0500-000001000000}">
      <formula1>"API（オンライン）,画面（オンライン）,イベント,バッチ（API）,ファイル転送,DB連携,メッセージ,監視,その他"</formula1>
    </dataValidation>
    <dataValidation type="list" errorStyle="warning" allowBlank="1" showInputMessage="1" showErrorMessage="1" error="一覧から選択してください（そのまま入力する場合は「はい」）" promptTitle="方向" prompt="片方向／双方向" sqref="K6:K65" xr:uid="{00000000-0002-0000-0500-000002000000}">
      <formula1>"片方向,双方向"</formula1>
    </dataValidation>
  </dataValidations>
  <pageMargins left="0.4" right="0.4" top="0.5" bottom="0.5" header="0.3" footer="0.3"/>
  <pageSetup paperSize="8" fitToHeight="0" orientation="landscape"/>
  <headerFooter>
    <oddFooter>&amp;L&amp;8&amp;K7F7F7F&amp;A&amp;R&amp;8&amp;K7F7F7F&amp;P / &amp;N</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F7F7F"/>
    <pageSetUpPr fitToPage="1"/>
  </sheetPr>
  <dimension ref="B1:I65"/>
  <sheetViews>
    <sheetView showGridLines="0" zoomScale="90" zoomScaleNormal="90" workbookViewId="0">
      <pane xSplit="3" ySplit="5" topLeftCell="D6" activePane="bottomRight" state="frozen"/>
      <selection pane="topRight" activeCell="D1" sqref="D1"/>
      <selection pane="bottomLeft" activeCell="A6" sqref="A6"/>
      <selection pane="bottomRight"/>
    </sheetView>
  </sheetViews>
  <sheetFormatPr defaultRowHeight="15" customHeight="1" x14ac:dyDescent="0.25"/>
  <cols>
    <col min="1" max="1" width="2.33203125" customWidth="1"/>
    <col min="2" max="3" width="7.6640625" customWidth="1"/>
    <col min="4" max="4" width="20.6640625" customWidth="1"/>
    <col min="5" max="5" width="24.6640625" customWidth="1"/>
    <col min="6" max="6" width="26.6640625" customWidth="1"/>
    <col min="7" max="7" width="20.6640625" customWidth="1"/>
    <col min="8" max="8" width="12.6640625" customWidth="1"/>
    <col min="9" max="9" width="28.6640625" customWidth="1"/>
  </cols>
  <sheetData>
    <row r="1" spans="2:9" ht="24" customHeight="1" x14ac:dyDescent="0.25">
      <c r="B1" s="76" t="s">
        <v>266</v>
      </c>
      <c r="C1" s="76"/>
      <c r="D1" s="76"/>
      <c r="E1" s="76"/>
      <c r="F1" s="76"/>
      <c r="G1" s="76"/>
      <c r="H1" s="76"/>
      <c r="I1" s="76"/>
    </row>
    <row r="2" spans="2:9" ht="12.6" x14ac:dyDescent="0.25">
      <c r="B2" s="44" t="s">
        <v>267</v>
      </c>
      <c r="C2" s="44"/>
      <c r="D2" s="44"/>
      <c r="E2" s="44"/>
      <c r="F2" s="44"/>
      <c r="G2" s="44"/>
      <c r="H2" s="44"/>
      <c r="I2" s="44"/>
    </row>
    <row r="3" spans="2:9" ht="12.6" x14ac:dyDescent="0.25">
      <c r="B3" s="77" t="s">
        <v>198</v>
      </c>
      <c r="C3" s="77"/>
      <c r="D3" s="77"/>
      <c r="E3" s="77"/>
      <c r="F3" s="77"/>
      <c r="G3" s="77"/>
      <c r="H3" s="77"/>
      <c r="I3" s="77"/>
    </row>
    <row r="5" spans="2:9" ht="22.05" customHeight="1" x14ac:dyDescent="0.25">
      <c r="B5" s="15" t="s">
        <v>268</v>
      </c>
      <c r="C5" s="15" t="s">
        <v>199</v>
      </c>
      <c r="D5" s="15" t="s">
        <v>269</v>
      </c>
      <c r="E5" s="15" t="s">
        <v>270</v>
      </c>
      <c r="F5" s="15" t="s">
        <v>271</v>
      </c>
      <c r="G5" s="15" t="s">
        <v>272</v>
      </c>
      <c r="H5" s="15" t="s">
        <v>273</v>
      </c>
      <c r="I5" s="15" t="s">
        <v>208</v>
      </c>
    </row>
    <row r="6" spans="2:9" ht="21" customHeight="1" x14ac:dyDescent="0.25">
      <c r="B6" s="16" t="s">
        <v>274</v>
      </c>
      <c r="C6" s="16" t="s">
        <v>44</v>
      </c>
      <c r="D6" s="16" t="s">
        <v>210</v>
      </c>
      <c r="E6" s="16" t="s">
        <v>275</v>
      </c>
      <c r="F6" s="16" t="s">
        <v>276</v>
      </c>
      <c r="G6" s="16" t="s">
        <v>277</v>
      </c>
      <c r="H6" s="16" t="s">
        <v>278</v>
      </c>
      <c r="I6" s="16" t="s">
        <v>225</v>
      </c>
    </row>
    <row r="7" spans="2:9" ht="21" customHeight="1" x14ac:dyDescent="0.25">
      <c r="B7" s="16" t="s">
        <v>279</v>
      </c>
      <c r="C7" s="16" t="s">
        <v>44</v>
      </c>
      <c r="D7" s="16" t="s">
        <v>280</v>
      </c>
      <c r="E7" s="16" t="s">
        <v>281</v>
      </c>
      <c r="F7" s="16" t="s">
        <v>282</v>
      </c>
      <c r="G7" s="16" t="s">
        <v>283</v>
      </c>
      <c r="H7" s="16" t="s">
        <v>284</v>
      </c>
      <c r="I7" s="16" t="s">
        <v>225</v>
      </c>
    </row>
    <row r="8" spans="2:9" ht="21" customHeight="1" x14ac:dyDescent="0.25">
      <c r="B8" s="16" t="s">
        <v>285</v>
      </c>
      <c r="C8" s="16" t="s">
        <v>44</v>
      </c>
      <c r="D8" s="16" t="s">
        <v>286</v>
      </c>
      <c r="E8" s="16" t="s">
        <v>287</v>
      </c>
      <c r="F8" s="16" t="s">
        <v>288</v>
      </c>
      <c r="G8" s="16" t="s">
        <v>283</v>
      </c>
      <c r="H8" s="16" t="s">
        <v>289</v>
      </c>
      <c r="I8" s="16" t="s">
        <v>290</v>
      </c>
    </row>
    <row r="9" spans="2:9" ht="21" customHeight="1" x14ac:dyDescent="0.25">
      <c r="B9" s="16" t="s">
        <v>291</v>
      </c>
      <c r="C9" s="16" t="s">
        <v>44</v>
      </c>
      <c r="D9" s="16" t="s">
        <v>292</v>
      </c>
      <c r="E9" s="16" t="s">
        <v>293</v>
      </c>
      <c r="F9" s="16" t="s">
        <v>294</v>
      </c>
      <c r="G9" s="16" t="s">
        <v>283</v>
      </c>
      <c r="H9" s="16" t="s">
        <v>295</v>
      </c>
      <c r="I9" s="16" t="s">
        <v>225</v>
      </c>
    </row>
    <row r="10" spans="2:9" ht="21" customHeight="1" x14ac:dyDescent="0.25">
      <c r="B10" s="16" t="s">
        <v>296</v>
      </c>
      <c r="C10" s="16" t="s">
        <v>44</v>
      </c>
      <c r="D10" s="16" t="s">
        <v>297</v>
      </c>
      <c r="E10" s="16" t="s">
        <v>298</v>
      </c>
      <c r="F10" s="16" t="s">
        <v>299</v>
      </c>
      <c r="G10" s="16" t="s">
        <v>300</v>
      </c>
      <c r="H10" s="16" t="s">
        <v>284</v>
      </c>
      <c r="I10" s="16" t="s">
        <v>225</v>
      </c>
    </row>
    <row r="11" spans="2:9" ht="21" customHeight="1" x14ac:dyDescent="0.25">
      <c r="B11" s="16" t="s">
        <v>301</v>
      </c>
      <c r="C11" s="16" t="s">
        <v>48</v>
      </c>
      <c r="D11" s="16" t="s">
        <v>235</v>
      </c>
      <c r="E11" s="16" t="s">
        <v>302</v>
      </c>
      <c r="F11" s="16" t="s">
        <v>303</v>
      </c>
      <c r="G11" s="16" t="s">
        <v>304</v>
      </c>
      <c r="H11" s="16" t="s">
        <v>278</v>
      </c>
      <c r="I11" s="16" t="s">
        <v>305</v>
      </c>
    </row>
    <row r="12" spans="2:9" ht="21" customHeight="1" x14ac:dyDescent="0.25">
      <c r="B12" s="16" t="s">
        <v>306</v>
      </c>
      <c r="C12" s="16" t="s">
        <v>48</v>
      </c>
      <c r="D12" s="16" t="s">
        <v>243</v>
      </c>
      <c r="E12" s="16" t="s">
        <v>307</v>
      </c>
      <c r="F12" s="16" t="s">
        <v>308</v>
      </c>
      <c r="G12" s="16" t="s">
        <v>309</v>
      </c>
      <c r="H12" s="16" t="s">
        <v>284</v>
      </c>
      <c r="I12" s="16" t="s">
        <v>225</v>
      </c>
    </row>
    <row r="13" spans="2:9" ht="21" customHeight="1" x14ac:dyDescent="0.25">
      <c r="B13" s="16" t="s">
        <v>310</v>
      </c>
      <c r="C13" s="16" t="s">
        <v>48</v>
      </c>
      <c r="D13" s="16" t="s">
        <v>311</v>
      </c>
      <c r="E13" s="16" t="s">
        <v>312</v>
      </c>
      <c r="F13" s="16" t="s">
        <v>313</v>
      </c>
      <c r="G13" s="16" t="s">
        <v>314</v>
      </c>
      <c r="H13" s="16" t="s">
        <v>315</v>
      </c>
      <c r="I13" s="16" t="s">
        <v>316</v>
      </c>
    </row>
    <row r="14" spans="2:9" ht="21" customHeight="1" x14ac:dyDescent="0.25">
      <c r="B14" s="16" t="s">
        <v>317</v>
      </c>
      <c r="C14" s="16" t="s">
        <v>48</v>
      </c>
      <c r="D14" s="16" t="s">
        <v>318</v>
      </c>
      <c r="E14" s="16" t="s">
        <v>319</v>
      </c>
      <c r="F14" s="16" t="s">
        <v>320</v>
      </c>
      <c r="G14" s="16" t="s">
        <v>300</v>
      </c>
      <c r="H14" s="16" t="s">
        <v>284</v>
      </c>
      <c r="I14" s="16" t="s">
        <v>225</v>
      </c>
    </row>
    <row r="15" spans="2:9" ht="21" customHeight="1" x14ac:dyDescent="0.25">
      <c r="B15" s="16" t="s">
        <v>321</v>
      </c>
      <c r="C15" s="16" t="s">
        <v>52</v>
      </c>
      <c r="D15" s="16" t="s">
        <v>248</v>
      </c>
      <c r="E15" s="16" t="s">
        <v>322</v>
      </c>
      <c r="F15" s="16" t="s">
        <v>251</v>
      </c>
      <c r="G15" s="16" t="s">
        <v>323</v>
      </c>
      <c r="H15" s="16" t="s">
        <v>278</v>
      </c>
      <c r="I15" s="16" t="s">
        <v>225</v>
      </c>
    </row>
    <row r="16" spans="2:9" ht="21" customHeight="1" x14ac:dyDescent="0.25">
      <c r="B16" s="16" t="s">
        <v>324</v>
      </c>
      <c r="C16" s="16" t="s">
        <v>52</v>
      </c>
      <c r="D16" s="16" t="s">
        <v>325</v>
      </c>
      <c r="E16" s="16" t="s">
        <v>326</v>
      </c>
      <c r="F16" s="16" t="s">
        <v>327</v>
      </c>
      <c r="G16" s="16" t="s">
        <v>328</v>
      </c>
      <c r="H16" s="16" t="s">
        <v>284</v>
      </c>
      <c r="I16" s="16" t="s">
        <v>225</v>
      </c>
    </row>
    <row r="17" spans="2:9" ht="21" customHeight="1" x14ac:dyDescent="0.25">
      <c r="B17" s="16" t="s">
        <v>329</v>
      </c>
      <c r="C17" s="16" t="s">
        <v>56</v>
      </c>
      <c r="D17" s="16" t="s">
        <v>255</v>
      </c>
      <c r="E17" s="16" t="s">
        <v>330</v>
      </c>
      <c r="F17" s="16" t="s">
        <v>331</v>
      </c>
      <c r="G17" s="16" t="s">
        <v>300</v>
      </c>
      <c r="H17" s="16" t="s">
        <v>284</v>
      </c>
      <c r="I17" s="16" t="s">
        <v>225</v>
      </c>
    </row>
    <row r="18" spans="2:9" ht="21" customHeight="1" x14ac:dyDescent="0.25">
      <c r="B18" s="16" t="s">
        <v>332</v>
      </c>
      <c r="C18" s="16" t="s">
        <v>56</v>
      </c>
      <c r="D18" s="16" t="s">
        <v>333</v>
      </c>
      <c r="E18" s="16" t="s">
        <v>334</v>
      </c>
      <c r="F18" s="16" t="s">
        <v>256</v>
      </c>
      <c r="G18" s="16" t="s">
        <v>300</v>
      </c>
      <c r="H18" s="16" t="s">
        <v>295</v>
      </c>
      <c r="I18" s="16" t="s">
        <v>335</v>
      </c>
    </row>
    <row r="19" spans="2:9" ht="21" customHeight="1" x14ac:dyDescent="0.25">
      <c r="B19" s="16" t="s">
        <v>336</v>
      </c>
      <c r="C19" s="16" t="s">
        <v>56</v>
      </c>
      <c r="D19" s="16" t="s">
        <v>260</v>
      </c>
      <c r="E19" s="16" t="s">
        <v>337</v>
      </c>
      <c r="F19" s="16" t="s">
        <v>338</v>
      </c>
      <c r="G19" s="16" t="s">
        <v>283</v>
      </c>
      <c r="H19" s="16" t="s">
        <v>284</v>
      </c>
      <c r="I19" s="16" t="s">
        <v>225</v>
      </c>
    </row>
    <row r="20" spans="2:9" ht="21" customHeight="1" x14ac:dyDescent="0.25">
      <c r="B20" s="16"/>
      <c r="C20" s="16"/>
      <c r="D20" s="16"/>
      <c r="E20" s="16"/>
      <c r="F20" s="16"/>
      <c r="G20" s="16"/>
      <c r="H20" s="16"/>
      <c r="I20" s="16"/>
    </row>
    <row r="21" spans="2:9" ht="21" customHeight="1" x14ac:dyDescent="0.25">
      <c r="B21" s="16"/>
      <c r="C21" s="16"/>
      <c r="D21" s="16"/>
      <c r="E21" s="16"/>
      <c r="F21" s="16"/>
      <c r="G21" s="16"/>
      <c r="H21" s="16"/>
      <c r="I21" s="16"/>
    </row>
    <row r="22" spans="2:9" ht="21" customHeight="1" x14ac:dyDescent="0.25">
      <c r="B22" s="16"/>
      <c r="C22" s="16"/>
      <c r="D22" s="16"/>
      <c r="E22" s="16"/>
      <c r="F22" s="16"/>
      <c r="G22" s="16"/>
      <c r="H22" s="16"/>
      <c r="I22" s="16"/>
    </row>
    <row r="23" spans="2:9" ht="21" customHeight="1" x14ac:dyDescent="0.25">
      <c r="B23" s="16"/>
      <c r="C23" s="16"/>
      <c r="D23" s="16"/>
      <c r="E23" s="16"/>
      <c r="F23" s="16"/>
      <c r="G23" s="16"/>
      <c r="H23" s="16"/>
      <c r="I23" s="16"/>
    </row>
    <row r="24" spans="2:9" ht="21" customHeight="1" x14ac:dyDescent="0.25">
      <c r="B24" s="16"/>
      <c r="C24" s="16"/>
      <c r="D24" s="16"/>
      <c r="E24" s="16"/>
      <c r="F24" s="16"/>
      <c r="G24" s="16"/>
      <c r="H24" s="16"/>
      <c r="I24" s="16"/>
    </row>
    <row r="25" spans="2:9" ht="21" customHeight="1" x14ac:dyDescent="0.25">
      <c r="B25" s="16"/>
      <c r="C25" s="16"/>
      <c r="D25" s="16"/>
      <c r="E25" s="16"/>
      <c r="F25" s="16"/>
      <c r="G25" s="16"/>
      <c r="H25" s="16"/>
      <c r="I25" s="16"/>
    </row>
    <row r="26" spans="2:9" ht="21" customHeight="1" x14ac:dyDescent="0.25">
      <c r="B26" s="16"/>
      <c r="C26" s="16"/>
      <c r="D26" s="16"/>
      <c r="E26" s="16"/>
      <c r="F26" s="16"/>
      <c r="G26" s="16"/>
      <c r="H26" s="16"/>
      <c r="I26" s="16"/>
    </row>
    <row r="27" spans="2:9" ht="21" customHeight="1" x14ac:dyDescent="0.25">
      <c r="B27" s="16"/>
      <c r="C27" s="16"/>
      <c r="D27" s="16"/>
      <c r="E27" s="16"/>
      <c r="F27" s="16"/>
      <c r="G27" s="16"/>
      <c r="H27" s="16"/>
      <c r="I27" s="16"/>
    </row>
    <row r="28" spans="2:9" ht="21" customHeight="1" x14ac:dyDescent="0.25">
      <c r="B28" s="16"/>
      <c r="C28" s="16"/>
      <c r="D28" s="16"/>
      <c r="E28" s="16"/>
      <c r="F28" s="16"/>
      <c r="G28" s="16"/>
      <c r="H28" s="16"/>
      <c r="I28" s="16"/>
    </row>
    <row r="29" spans="2:9" ht="21" customHeight="1" x14ac:dyDescent="0.25">
      <c r="B29" s="16"/>
      <c r="C29" s="16"/>
      <c r="D29" s="16"/>
      <c r="E29" s="16"/>
      <c r="F29" s="16"/>
      <c r="G29" s="16"/>
      <c r="H29" s="16"/>
      <c r="I29" s="16"/>
    </row>
    <row r="30" spans="2:9" ht="21" customHeight="1" x14ac:dyDescent="0.25">
      <c r="B30" s="16"/>
      <c r="C30" s="16"/>
      <c r="D30" s="16"/>
      <c r="E30" s="16"/>
      <c r="F30" s="16"/>
      <c r="G30" s="16"/>
      <c r="H30" s="16"/>
      <c r="I30" s="16"/>
    </row>
    <row r="31" spans="2:9" ht="21" customHeight="1" x14ac:dyDescent="0.25">
      <c r="B31" s="16"/>
      <c r="C31" s="16"/>
      <c r="D31" s="16"/>
      <c r="E31" s="16"/>
      <c r="F31" s="16"/>
      <c r="G31" s="16"/>
      <c r="H31" s="16"/>
      <c r="I31" s="16"/>
    </row>
    <row r="32" spans="2:9" ht="21" customHeight="1" x14ac:dyDescent="0.25">
      <c r="B32" s="16"/>
      <c r="C32" s="16"/>
      <c r="D32" s="16"/>
      <c r="E32" s="16"/>
      <c r="F32" s="16"/>
      <c r="G32" s="16"/>
      <c r="H32" s="16"/>
      <c r="I32" s="16"/>
    </row>
    <row r="33" spans="2:9" ht="21" customHeight="1" x14ac:dyDescent="0.25">
      <c r="B33" s="16"/>
      <c r="C33" s="16"/>
      <c r="D33" s="16"/>
      <c r="E33" s="16"/>
      <c r="F33" s="16"/>
      <c r="G33" s="16"/>
      <c r="H33" s="16"/>
      <c r="I33" s="16"/>
    </row>
    <row r="34" spans="2:9" ht="21" customHeight="1" x14ac:dyDescent="0.25">
      <c r="B34" s="16"/>
      <c r="C34" s="16"/>
      <c r="D34" s="16"/>
      <c r="E34" s="16"/>
      <c r="F34" s="16"/>
      <c r="G34" s="16"/>
      <c r="H34" s="16"/>
      <c r="I34" s="16"/>
    </row>
    <row r="35" spans="2:9" ht="21" customHeight="1" x14ac:dyDescent="0.25">
      <c r="B35" s="16"/>
      <c r="C35" s="16"/>
      <c r="D35" s="16"/>
      <c r="E35" s="16"/>
      <c r="F35" s="16"/>
      <c r="G35" s="16"/>
      <c r="H35" s="16"/>
      <c r="I35" s="16"/>
    </row>
    <row r="36" spans="2:9" ht="21" customHeight="1" x14ac:dyDescent="0.25">
      <c r="B36" s="16"/>
      <c r="C36" s="16"/>
      <c r="D36" s="16"/>
      <c r="E36" s="16"/>
      <c r="F36" s="16"/>
      <c r="G36" s="16"/>
      <c r="H36" s="16"/>
      <c r="I36" s="16"/>
    </row>
    <row r="37" spans="2:9" ht="21" customHeight="1" x14ac:dyDescent="0.25">
      <c r="B37" s="16"/>
      <c r="C37" s="16"/>
      <c r="D37" s="16"/>
      <c r="E37" s="16"/>
      <c r="F37" s="16"/>
      <c r="G37" s="16"/>
      <c r="H37" s="16"/>
      <c r="I37" s="16"/>
    </row>
    <row r="38" spans="2:9" ht="21" customHeight="1" x14ac:dyDescent="0.25">
      <c r="B38" s="16"/>
      <c r="C38" s="16"/>
      <c r="D38" s="16"/>
      <c r="E38" s="16"/>
      <c r="F38" s="16"/>
      <c r="G38" s="16"/>
      <c r="H38" s="16"/>
      <c r="I38" s="16"/>
    </row>
    <row r="39" spans="2:9" ht="21" customHeight="1" x14ac:dyDescent="0.25">
      <c r="B39" s="16"/>
      <c r="C39" s="16"/>
      <c r="D39" s="16"/>
      <c r="E39" s="16"/>
      <c r="F39" s="16"/>
      <c r="G39" s="16"/>
      <c r="H39" s="16"/>
      <c r="I39" s="16"/>
    </row>
    <row r="40" spans="2:9" ht="21" customHeight="1" x14ac:dyDescent="0.25">
      <c r="B40" s="16"/>
      <c r="C40" s="16"/>
      <c r="D40" s="16"/>
      <c r="E40" s="16"/>
      <c r="F40" s="16"/>
      <c r="G40" s="16"/>
      <c r="H40" s="16"/>
      <c r="I40" s="16"/>
    </row>
    <row r="41" spans="2:9" ht="21" customHeight="1" x14ac:dyDescent="0.25">
      <c r="B41" s="16"/>
      <c r="C41" s="16"/>
      <c r="D41" s="16"/>
      <c r="E41" s="16"/>
      <c r="F41" s="16"/>
      <c r="G41" s="16"/>
      <c r="H41" s="16"/>
      <c r="I41" s="16"/>
    </row>
    <row r="42" spans="2:9" ht="21" customHeight="1" x14ac:dyDescent="0.25">
      <c r="B42" s="16"/>
      <c r="C42" s="16"/>
      <c r="D42" s="16"/>
      <c r="E42" s="16"/>
      <c r="F42" s="16"/>
      <c r="G42" s="16"/>
      <c r="H42" s="16"/>
      <c r="I42" s="16"/>
    </row>
    <row r="43" spans="2:9" ht="21" customHeight="1" x14ac:dyDescent="0.25">
      <c r="B43" s="16"/>
      <c r="C43" s="16"/>
      <c r="D43" s="16"/>
      <c r="E43" s="16"/>
      <c r="F43" s="16"/>
      <c r="G43" s="16"/>
      <c r="H43" s="16"/>
      <c r="I43" s="16"/>
    </row>
    <row r="44" spans="2:9" ht="21" customHeight="1" x14ac:dyDescent="0.25">
      <c r="B44" s="16"/>
      <c r="C44" s="16"/>
      <c r="D44" s="16"/>
      <c r="E44" s="16"/>
      <c r="F44" s="16"/>
      <c r="G44" s="16"/>
      <c r="H44" s="16"/>
      <c r="I44" s="16"/>
    </row>
    <row r="45" spans="2:9" ht="21" customHeight="1" x14ac:dyDescent="0.25">
      <c r="B45" s="16"/>
      <c r="C45" s="16"/>
      <c r="D45" s="16"/>
      <c r="E45" s="16"/>
      <c r="F45" s="16"/>
      <c r="G45" s="16"/>
      <c r="H45" s="16"/>
      <c r="I45" s="16"/>
    </row>
    <row r="46" spans="2:9" ht="21" customHeight="1" x14ac:dyDescent="0.25">
      <c r="B46" s="16"/>
      <c r="C46" s="16"/>
      <c r="D46" s="16"/>
      <c r="E46" s="16"/>
      <c r="F46" s="16"/>
      <c r="G46" s="16"/>
      <c r="H46" s="16"/>
      <c r="I46" s="16"/>
    </row>
    <row r="47" spans="2:9" ht="21" customHeight="1" x14ac:dyDescent="0.25">
      <c r="B47" s="16"/>
      <c r="C47" s="16"/>
      <c r="D47" s="16"/>
      <c r="E47" s="16"/>
      <c r="F47" s="16"/>
      <c r="G47" s="16"/>
      <c r="H47" s="16"/>
      <c r="I47" s="16"/>
    </row>
    <row r="48" spans="2:9" ht="21" customHeight="1" x14ac:dyDescent="0.25">
      <c r="B48" s="16"/>
      <c r="C48" s="16"/>
      <c r="D48" s="16"/>
      <c r="E48" s="16"/>
      <c r="F48" s="16"/>
      <c r="G48" s="16"/>
      <c r="H48" s="16"/>
      <c r="I48" s="16"/>
    </row>
    <row r="49" spans="2:9" ht="21" customHeight="1" x14ac:dyDescent="0.25">
      <c r="B49" s="16"/>
      <c r="C49" s="16"/>
      <c r="D49" s="16"/>
      <c r="E49" s="16"/>
      <c r="F49" s="16"/>
      <c r="G49" s="16"/>
      <c r="H49" s="16"/>
      <c r="I49" s="16"/>
    </row>
    <row r="50" spans="2:9" ht="21" customHeight="1" x14ac:dyDescent="0.25">
      <c r="B50" s="16"/>
      <c r="C50" s="16"/>
      <c r="D50" s="16"/>
      <c r="E50" s="16"/>
      <c r="F50" s="16"/>
      <c r="G50" s="16"/>
      <c r="H50" s="16"/>
      <c r="I50" s="16"/>
    </row>
    <row r="51" spans="2:9" ht="21" customHeight="1" x14ac:dyDescent="0.25">
      <c r="B51" s="16"/>
      <c r="C51" s="16"/>
      <c r="D51" s="16"/>
      <c r="E51" s="16"/>
      <c r="F51" s="16"/>
      <c r="G51" s="16"/>
      <c r="H51" s="16"/>
      <c r="I51" s="16"/>
    </row>
    <row r="52" spans="2:9" ht="21" customHeight="1" x14ac:dyDescent="0.25">
      <c r="B52" s="16"/>
      <c r="C52" s="16"/>
      <c r="D52" s="16"/>
      <c r="E52" s="16"/>
      <c r="F52" s="16"/>
      <c r="G52" s="16"/>
      <c r="H52" s="16"/>
      <c r="I52" s="16"/>
    </row>
    <row r="53" spans="2:9" ht="21" customHeight="1" x14ac:dyDescent="0.25">
      <c r="B53" s="16"/>
      <c r="C53" s="16"/>
      <c r="D53" s="16"/>
      <c r="E53" s="16"/>
      <c r="F53" s="16"/>
      <c r="G53" s="16"/>
      <c r="H53" s="16"/>
      <c r="I53" s="16"/>
    </row>
    <row r="54" spans="2:9" ht="21" customHeight="1" x14ac:dyDescent="0.25">
      <c r="B54" s="16"/>
      <c r="C54" s="16"/>
      <c r="D54" s="16"/>
      <c r="E54" s="16"/>
      <c r="F54" s="16"/>
      <c r="G54" s="16"/>
      <c r="H54" s="16"/>
      <c r="I54" s="16"/>
    </row>
    <row r="55" spans="2:9" ht="21" customHeight="1" x14ac:dyDescent="0.25">
      <c r="B55" s="16"/>
      <c r="C55" s="16"/>
      <c r="D55" s="16"/>
      <c r="E55" s="16"/>
      <c r="F55" s="16"/>
      <c r="G55" s="16"/>
      <c r="H55" s="16"/>
      <c r="I55" s="16"/>
    </row>
    <row r="56" spans="2:9" ht="21" customHeight="1" x14ac:dyDescent="0.25">
      <c r="B56" s="16"/>
      <c r="C56" s="16"/>
      <c r="D56" s="16"/>
      <c r="E56" s="16"/>
      <c r="F56" s="16"/>
      <c r="G56" s="16"/>
      <c r="H56" s="16"/>
      <c r="I56" s="16"/>
    </row>
    <row r="57" spans="2:9" ht="21" customHeight="1" x14ac:dyDescent="0.25">
      <c r="B57" s="16"/>
      <c r="C57" s="16"/>
      <c r="D57" s="16"/>
      <c r="E57" s="16"/>
      <c r="F57" s="16"/>
      <c r="G57" s="16"/>
      <c r="H57" s="16"/>
      <c r="I57" s="16"/>
    </row>
    <row r="58" spans="2:9" ht="21" customHeight="1" x14ac:dyDescent="0.25">
      <c r="B58" s="16"/>
      <c r="C58" s="16"/>
      <c r="D58" s="16"/>
      <c r="E58" s="16"/>
      <c r="F58" s="16"/>
      <c r="G58" s="16"/>
      <c r="H58" s="16"/>
      <c r="I58" s="16"/>
    </row>
    <row r="59" spans="2:9" ht="21" customHeight="1" x14ac:dyDescent="0.25">
      <c r="B59" s="16"/>
      <c r="C59" s="16"/>
      <c r="D59" s="16"/>
      <c r="E59" s="16"/>
      <c r="F59" s="16"/>
      <c r="G59" s="16"/>
      <c r="H59" s="16"/>
      <c r="I59" s="16"/>
    </row>
    <row r="60" spans="2:9" ht="21" customHeight="1" x14ac:dyDescent="0.25">
      <c r="B60" s="16"/>
      <c r="C60" s="16"/>
      <c r="D60" s="16"/>
      <c r="E60" s="16"/>
      <c r="F60" s="16"/>
      <c r="G60" s="16"/>
      <c r="H60" s="16"/>
      <c r="I60" s="16"/>
    </row>
    <row r="61" spans="2:9" ht="21" customHeight="1" x14ac:dyDescent="0.25">
      <c r="B61" s="16"/>
      <c r="C61" s="16"/>
      <c r="D61" s="16"/>
      <c r="E61" s="16"/>
      <c r="F61" s="16"/>
      <c r="G61" s="16"/>
      <c r="H61" s="16"/>
      <c r="I61" s="16"/>
    </row>
    <row r="62" spans="2:9" ht="21" customHeight="1" x14ac:dyDescent="0.25">
      <c r="B62" s="16"/>
      <c r="C62" s="16"/>
      <c r="D62" s="16"/>
      <c r="E62" s="16"/>
      <c r="F62" s="16"/>
      <c r="G62" s="16"/>
      <c r="H62" s="16"/>
      <c r="I62" s="16"/>
    </row>
    <row r="63" spans="2:9" ht="21" customHeight="1" x14ac:dyDescent="0.25">
      <c r="B63" s="16"/>
      <c r="C63" s="16"/>
      <c r="D63" s="16"/>
      <c r="E63" s="16"/>
      <c r="F63" s="16"/>
      <c r="G63" s="16"/>
      <c r="H63" s="16"/>
      <c r="I63" s="16"/>
    </row>
    <row r="64" spans="2:9" ht="21" customHeight="1" x14ac:dyDescent="0.25">
      <c r="B64" s="16"/>
      <c r="C64" s="16"/>
      <c r="D64" s="16"/>
      <c r="E64" s="16"/>
      <c r="F64" s="16"/>
      <c r="G64" s="16"/>
      <c r="H64" s="16"/>
      <c r="I64" s="16"/>
    </row>
    <row r="65" spans="2:9" ht="21" customHeight="1" x14ac:dyDescent="0.25">
      <c r="B65" s="16"/>
      <c r="C65" s="16"/>
      <c r="D65" s="16"/>
      <c r="E65" s="16"/>
      <c r="F65" s="16"/>
      <c r="G65" s="16"/>
      <c r="H65" s="16"/>
      <c r="I65" s="16"/>
    </row>
  </sheetData>
  <mergeCells count="3">
    <mergeCell ref="B1:I1"/>
    <mergeCell ref="B2:I2"/>
    <mergeCell ref="B3:I3"/>
  </mergeCells>
  <phoneticPr fontId="35"/>
  <conditionalFormatting sqref="B6:C65">
    <cfRule type="expression" dxfId="3" priority="1">
      <formula>$C6="A"</formula>
    </cfRule>
    <cfRule type="expression" dxfId="2" priority="2">
      <formula>$C6="B"</formula>
    </cfRule>
    <cfRule type="expression" dxfId="1" priority="3">
      <formula>$C6="C"</formula>
    </cfRule>
    <cfRule type="expression" dxfId="27" priority="5">
      <formula>$C6="D"</formula>
    </cfRule>
    <cfRule type="expression" dxfId="28" priority="6">
      <formula>$C6="E"</formula>
    </cfRule>
    <cfRule type="expression" dxfId="29" priority="7">
      <formula>$C6="F"</formula>
    </cfRule>
    <cfRule type="expression" dxfId="0" priority="4">
      <formula>$C6="共通"</formula>
    </cfRule>
  </conditionalFormatting>
  <dataValidations count="2">
    <dataValidation type="list" errorStyle="warning" allowBlank="1" showInputMessage="1" showErrorMessage="1" error="一覧から選択してください（そのまま入力する場合は「はい」）" promptTitle="ルート" prompt="A〜F：ルートA〜F／共通（複数ルートで共有）" sqref="C6:C65" xr:uid="{00000000-0002-0000-0600-000000000000}">
      <formula1>"A,B,C,D,E,F,共通"</formula1>
    </dataValidation>
    <dataValidation type="list" errorStyle="warning" allowBlank="1" showInputMessage="1" showErrorMessage="1" error="一覧から選択してください（そのまま入力する場合は「はい」）" promptTitle="図形" prompt="図で使った図形" sqref="H6:H65" xr:uid="{00000000-0002-0000-0600-000001000000}">
      <formula1>"角丸,角丸・強調,四角,円,円柱,カプセル,ファイル,システム枠"</formula1>
    </dataValidation>
  </dataValidations>
  <pageMargins left="0.4" right="0.4" top="0.5" bottom="0.5" header="0.3" footer="0.3"/>
  <pageSetup paperSize="8" fitToHeight="0" orientation="landscape"/>
  <headerFooter>
    <oddFooter>&amp;L&amp;8&amp;K7F7F7F&amp;A&amp;R&amp;8&amp;K7F7F7F&amp;P / &amp;N</oddFooter>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25</vt:i4>
      </vt:variant>
    </vt:vector>
  </HeadingPairs>
  <TitlesOfParts>
    <vt:vector size="32" baseType="lpstr">
      <vt:lpstr>表紙</vt:lpstr>
      <vt:lpstr>使い方</vt:lpstr>
      <vt:lpstr>構成図</vt:lpstr>
      <vt:lpstr>構成図_記入例</vt:lpstr>
      <vt:lpstr>部品</vt:lpstr>
      <vt:lpstr>連携一覧</vt:lpstr>
      <vt:lpstr>構成要素一覧</vt:lpstr>
      <vt:lpstr>構成図!Print_Area</vt:lpstr>
      <vt:lpstr>構成図_記入例!Print_Area</vt:lpstr>
      <vt:lpstr>構成要素一覧!Print_Area</vt:lpstr>
      <vt:lpstr>使い方!Print_Area</vt:lpstr>
      <vt:lpstr>表紙!Print_Area</vt:lpstr>
      <vt:lpstr>部品!Print_Area</vt:lpstr>
      <vt:lpstr>連携一覧!Print_Area</vt:lpstr>
      <vt:lpstr>構成要素一覧!Print_Titles</vt:lpstr>
      <vt:lpstr>連携一覧!Print_Titles</vt:lpstr>
      <vt:lpstr>システム名</vt:lpstr>
      <vt:lpstr>ルートA名</vt:lpstr>
      <vt:lpstr>ルートB名</vt:lpstr>
      <vt:lpstr>ルートC名</vt:lpstr>
      <vt:lpstr>ルートD名</vt:lpstr>
      <vt:lpstr>ルートE名</vt:lpstr>
      <vt:lpstr>ルートF名</vt:lpstr>
      <vt:lpstr>会社名</vt:lpstr>
      <vt:lpstr>機密区分</vt:lpstr>
      <vt:lpstr>更新日</vt:lpstr>
      <vt:lpstr>作成者</vt:lpstr>
      <vt:lpstr>作成日</vt:lpstr>
      <vt:lpstr>承認者</vt:lpstr>
      <vt:lpstr>版数</vt:lpstr>
      <vt:lpstr>文書番号</vt:lpstr>
      <vt:lpstr>文書名</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システム構成図テンプレート（方眼コネクタ版）</dc:title>
  <dc:subject>方眼に吸着する図形と12点接続のコネクタ、3色のルート色分けで描くシステム構成図テンプレート</dc:subject>
  <dc:creator/>
  <cp:keywords>システム構成図, AWS, Salesforce, テンプレート, 方眼, コネクタ</cp:keywords>
  <dc:description>既存テンプレート（現場とAWS）とは別ファイルの追加テンプレート</dc:description>
  <cp:lastModifiedBy>貴彦 吉澤</cp:lastModifiedBy>
  <dcterms:created xsi:type="dcterms:W3CDTF">2026-10-03T00:14:22Z</dcterms:created>
  <dcterms:modified xsi:type="dcterms:W3CDTF">2026-10-03T00:14:42Z</dcterms:modified>
</cp:coreProperties>
</file>